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Professionel\logicielChrono\"/>
    </mc:Choice>
  </mc:AlternateContent>
  <xr:revisionPtr revIDLastSave="0" documentId="13_ncr:1_{323D8F94-7B66-4D06-8094-C870CF133E87}" xr6:coauthVersionLast="47" xr6:coauthVersionMax="47" xr10:uidLastSave="{00000000-0000-0000-0000-000000000000}"/>
  <bookViews>
    <workbookView xWindow="28680" yWindow="-120" windowWidth="20730" windowHeight="11040" activeTab="3" xr2:uid="{E0266893-406E-4409-82B2-0A539E6E2CD4}"/>
  </bookViews>
  <sheets>
    <sheet name="Accueil" sheetId="4" r:id="rId1"/>
    <sheet name="Inscription" sheetId="1" r:id="rId2"/>
    <sheet name="classement" sheetId="3" r:id="rId3"/>
    <sheet name="info_general" sheetId="2" r:id="rId4"/>
    <sheet name="classement_catégorie" sheetId="5" r:id="rId5"/>
    <sheet name="Stat" sheetId="7" state="hidden" r:id="rId6"/>
    <sheet name="Statistiques" sheetId="6" r:id="rId7"/>
  </sheets>
  <definedNames>
    <definedName name="_xlnm._FilterDatabase" localSheetId="2" hidden="1">classement!$A$1:$Q$129</definedName>
    <definedName name="certif">Accueil!$N$3</definedName>
    <definedName name="club">Accueil!$N$2</definedName>
    <definedName name="Distance">Accueil!$N$1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51" i="1" l="1"/>
  <c r="F151" i="1"/>
  <c r="G12" i="2" l="1"/>
  <c r="C20" i="6"/>
  <c r="C19" i="6"/>
  <c r="E6" i="6"/>
  <c r="E2" i="6"/>
  <c r="E4" i="6"/>
  <c r="E14" i="6"/>
  <c r="F33" i="1"/>
  <c r="U43" i="1" l="1"/>
  <c r="U44" i="1"/>
  <c r="U45" i="1"/>
  <c r="U46" i="1"/>
  <c r="U47" i="1"/>
  <c r="U48" i="1"/>
  <c r="U49" i="1"/>
  <c r="U50" i="1"/>
  <c r="U51" i="1"/>
  <c r="U52" i="1"/>
  <c r="U53" i="1"/>
  <c r="U54" i="1"/>
  <c r="D28" i="6"/>
  <c r="U133" i="1"/>
  <c r="U134" i="1"/>
  <c r="U135" i="1"/>
  <c r="U136" i="1"/>
  <c r="U169" i="1"/>
  <c r="U4" i="1"/>
  <c r="G14" i="6"/>
  <c r="G19" i="6"/>
  <c r="U128" i="1"/>
  <c r="U129" i="1"/>
  <c r="U130" i="1"/>
  <c r="U131" i="1"/>
  <c r="U132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127" i="1"/>
  <c r="D10" i="2"/>
  <c r="C11" i="2"/>
  <c r="C10" i="2"/>
  <c r="C9" i="2"/>
  <c r="C8" i="2"/>
  <c r="D8" i="2"/>
  <c r="D5" i="2"/>
  <c r="C6" i="2"/>
  <c r="D7" i="2"/>
  <c r="C7" i="2"/>
  <c r="D6" i="2"/>
  <c r="C5" i="2"/>
  <c r="D4" i="2"/>
  <c r="C4" i="2"/>
  <c r="C3" i="2"/>
  <c r="D3" i="2"/>
  <c r="J17" i="6"/>
  <c r="F1" i="6"/>
  <c r="F21" i="6"/>
  <c r="L12" i="6" l="1"/>
  <c r="K12" i="6"/>
  <c r="J10" i="6"/>
  <c r="L10" i="6" s="1"/>
  <c r="J11" i="6"/>
  <c r="L11" i="6" s="1"/>
  <c r="J3" i="6"/>
  <c r="K3" i="6" s="1"/>
  <c r="J4" i="6"/>
  <c r="K4" i="6" s="1"/>
  <c r="J5" i="6"/>
  <c r="K5" i="6" s="1"/>
  <c r="J6" i="6"/>
  <c r="K6" i="6" s="1"/>
  <c r="J7" i="6"/>
  <c r="L7" i="6" s="1"/>
  <c r="J8" i="6"/>
  <c r="K8" i="6" s="1"/>
  <c r="J9" i="6"/>
  <c r="K9" i="6" s="1"/>
  <c r="J2" i="6"/>
  <c r="L2" i="6" s="1"/>
  <c r="L8" i="6" l="1"/>
  <c r="M8" i="6" s="1"/>
  <c r="L9" i="6"/>
  <c r="M9" i="6" s="1"/>
  <c r="K11" i="6"/>
  <c r="M11" i="6" s="1"/>
  <c r="K10" i="6"/>
  <c r="M10" i="6" s="1"/>
  <c r="K7" i="6"/>
  <c r="M7" i="6" s="1"/>
  <c r="K2" i="6"/>
  <c r="I2" i="6" s="1"/>
  <c r="L6" i="6"/>
  <c r="M6" i="6" s="1"/>
  <c r="L5" i="6"/>
  <c r="M5" i="6" s="1"/>
  <c r="L4" i="6"/>
  <c r="M4" i="6" s="1"/>
  <c r="L3" i="6"/>
  <c r="M3" i="6" s="1"/>
  <c r="M12" i="6"/>
  <c r="M2" i="6" l="1"/>
  <c r="I7" i="6"/>
  <c r="E15" i="6"/>
  <c r="G15" i="6" s="1"/>
  <c r="U58" i="1"/>
  <c r="G20" i="6"/>
  <c r="C14" i="6"/>
  <c r="E17" i="6"/>
  <c r="G17" i="6" s="1"/>
  <c r="E18" i="6"/>
  <c r="G18" i="6" s="1"/>
  <c r="E16" i="6"/>
  <c r="G16" i="6" s="1"/>
  <c r="E13" i="6"/>
  <c r="G13" i="6" s="1"/>
  <c r="C9" i="6"/>
  <c r="E3" i="6"/>
  <c r="G3" i="6" s="1"/>
  <c r="G2" i="6"/>
  <c r="E10" i="6"/>
  <c r="G10" i="6" s="1"/>
  <c r="E11" i="6"/>
  <c r="G11" i="6" s="1"/>
  <c r="E12" i="6"/>
  <c r="G12" i="6" s="1"/>
  <c r="E9" i="6"/>
  <c r="G9" i="6" s="1"/>
  <c r="E8" i="6"/>
  <c r="G8" i="6" s="1"/>
  <c r="G4" i="6"/>
  <c r="E5" i="6"/>
  <c r="G5" i="6" s="1"/>
  <c r="G6" i="6"/>
  <c r="E7" i="6"/>
  <c r="G7" i="6" s="1"/>
  <c r="G21" i="6" l="1"/>
  <c r="E21" i="6"/>
  <c r="C2" i="6"/>
  <c r="C21" i="6" s="1"/>
  <c r="H2" i="2"/>
  <c r="G23" i="6" l="1"/>
  <c r="C26" i="6"/>
  <c r="D26" i="6" s="1"/>
  <c r="A24" i="2"/>
  <c r="B24" i="2"/>
  <c r="A25" i="2"/>
  <c r="B23" i="2" l="1"/>
  <c r="B25" i="2"/>
  <c r="B2" i="2"/>
  <c r="N10" i="4" l="1"/>
  <c r="U3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55" i="1"/>
  <c r="U56" i="1"/>
  <c r="U57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2" i="1"/>
  <c r="N13" i="4" l="1"/>
  <c r="N15" i="4"/>
  <c r="N16" i="4" s="1"/>
  <c r="O6" i="4"/>
  <c r="F11" i="1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4" i="1"/>
  <c r="F5" i="1"/>
  <c r="F6" i="1"/>
  <c r="F7" i="1"/>
  <c r="F8" i="1"/>
  <c r="F9" i="1"/>
  <c r="F10" i="1"/>
  <c r="F3" i="1"/>
  <c r="F2" i="1"/>
  <c r="J3" i="1" l="1"/>
  <c r="K3" i="1" s="1"/>
  <c r="J2" i="1"/>
  <c r="N14" i="4" s="1"/>
  <c r="K2" i="1" l="1"/>
  <c r="R2" i="1" s="1"/>
  <c r="N12" i="4"/>
  <c r="R3" i="1" l="1"/>
</calcChain>
</file>

<file path=xl/sharedStrings.xml><?xml version="1.0" encoding="utf-8"?>
<sst xmlns="http://schemas.openxmlformats.org/spreadsheetml/2006/main" count="172" uniqueCount="119">
  <si>
    <t>Dossard</t>
  </si>
  <si>
    <t>NOM</t>
  </si>
  <si>
    <t>Prénom</t>
  </si>
  <si>
    <t>Catégorie</t>
  </si>
  <si>
    <t>Heure de départ</t>
  </si>
  <si>
    <t>Heure Arrivée</t>
  </si>
  <si>
    <t>Temps</t>
  </si>
  <si>
    <t>Vitesse</t>
  </si>
  <si>
    <t>Nom</t>
  </si>
  <si>
    <t>Prenom</t>
  </si>
  <si>
    <t>Sexe</t>
  </si>
  <si>
    <t>M</t>
  </si>
  <si>
    <t>Position</t>
  </si>
  <si>
    <t>sexe</t>
  </si>
  <si>
    <t>F</t>
  </si>
  <si>
    <t>Distance circuit :</t>
  </si>
  <si>
    <t>Club :</t>
  </si>
  <si>
    <t>Validation des certificats médicaux :</t>
  </si>
  <si>
    <t>Départ toutes les :</t>
  </si>
  <si>
    <t>Nombre total de départ :</t>
  </si>
  <si>
    <t>Mail</t>
  </si>
  <si>
    <t>Telephone</t>
  </si>
  <si>
    <t>Nombres de dossards restants :</t>
  </si>
  <si>
    <t>Moyens de paiements</t>
  </si>
  <si>
    <t>CB</t>
  </si>
  <si>
    <t>Liquide</t>
  </si>
  <si>
    <t>Autre</t>
  </si>
  <si>
    <t>Helloasso</t>
  </si>
  <si>
    <t>Cheque</t>
  </si>
  <si>
    <t>Payé</t>
  </si>
  <si>
    <t>Moyen de paiement</t>
  </si>
  <si>
    <t>Heure du premier départ :</t>
  </si>
  <si>
    <t>Club</t>
  </si>
  <si>
    <t>Certificat Médicale</t>
  </si>
  <si>
    <t>Nombre de coureurs arrivés :</t>
  </si>
  <si>
    <t>Ecart</t>
  </si>
  <si>
    <t>Configuration de la course</t>
  </si>
  <si>
    <t>Inscription des coureurs</t>
  </si>
  <si>
    <t>Pendant la course</t>
  </si>
  <si>
    <t>Résultats</t>
  </si>
  <si>
    <t>catégorie :</t>
  </si>
  <si>
    <t>Sexe :</t>
  </si>
  <si>
    <t>Scratch</t>
  </si>
  <si>
    <t>Catégorie:</t>
  </si>
  <si>
    <t>OUI</t>
  </si>
  <si>
    <t>Minime</t>
  </si>
  <si>
    <t>Cadet</t>
  </si>
  <si>
    <t>Junior</t>
  </si>
  <si>
    <t>Senior</t>
  </si>
  <si>
    <t>Espoir</t>
  </si>
  <si>
    <t>Rang</t>
  </si>
  <si>
    <t>Nombre de classé(e)s :</t>
  </si>
  <si>
    <t>suppression</t>
  </si>
  <si>
    <t>admin</t>
  </si>
  <si>
    <t>Mots de passe</t>
  </si>
  <si>
    <t>thomas</t>
  </si>
  <si>
    <t>Date de naissance</t>
  </si>
  <si>
    <t>L</t>
  </si>
  <si>
    <t>Certif</t>
  </si>
  <si>
    <t>Recherche</t>
  </si>
  <si>
    <t>trouve</t>
  </si>
  <si>
    <t>temps chrono</t>
  </si>
  <si>
    <t>Licence</t>
  </si>
  <si>
    <t>Super Ancien</t>
  </si>
  <si>
    <t>Ancien</t>
  </si>
  <si>
    <t>Super Vétéran</t>
  </si>
  <si>
    <t>Vétéran</t>
  </si>
  <si>
    <t>Handisport</t>
  </si>
  <si>
    <t>C</t>
  </si>
  <si>
    <t>D</t>
  </si>
  <si>
    <t>J</t>
  </si>
  <si>
    <t>P</t>
  </si>
  <si>
    <t>K</t>
  </si>
  <si>
    <t>N</t>
  </si>
  <si>
    <t>HelloAsso Paiemenent unique</t>
  </si>
  <si>
    <t>Q</t>
  </si>
  <si>
    <t>Correspondance hello asso (0 si inactif)</t>
  </si>
  <si>
    <t>Fédération (Catégorie)</t>
  </si>
  <si>
    <t>Commentaire</t>
  </si>
  <si>
    <t>O</t>
  </si>
  <si>
    <t>Arrivé</t>
  </si>
  <si>
    <t>Nombre de coureurs inscrits :</t>
  </si>
  <si>
    <t>Nombre de dossard manqauant à l'arrivée :</t>
  </si>
  <si>
    <t>Categories annexes</t>
  </si>
  <si>
    <t>Fédération</t>
  </si>
  <si>
    <t>Pass</t>
  </si>
  <si>
    <t>FFC</t>
  </si>
  <si>
    <t>FSGT</t>
  </si>
  <si>
    <t>Ufolep</t>
  </si>
  <si>
    <t>Triathlon</t>
  </si>
  <si>
    <t>Prix</t>
  </si>
  <si>
    <t>Argent recolté</t>
  </si>
  <si>
    <t>TOTAL</t>
  </si>
  <si>
    <t>Total</t>
  </si>
  <si>
    <t>fede</t>
  </si>
  <si>
    <t>date de naissance</t>
  </si>
  <si>
    <t>dossard</t>
  </si>
  <si>
    <t>Numéro de license</t>
  </si>
  <si>
    <t>num lic</t>
  </si>
  <si>
    <t>License</t>
  </si>
  <si>
    <t>Fédé :</t>
  </si>
  <si>
    <t>zoom impression</t>
  </si>
  <si>
    <t>Argent total de l'évènement</t>
  </si>
  <si>
    <t>Billeterie</t>
  </si>
  <si>
    <t>Désinscrit ayant payé</t>
  </si>
  <si>
    <t>DNS &amp; DNF</t>
  </si>
  <si>
    <t>naissance</t>
  </si>
  <si>
    <t>licence</t>
  </si>
  <si>
    <t>mail</t>
  </si>
  <si>
    <t>Téléphone</t>
  </si>
  <si>
    <t>Horaire</t>
  </si>
  <si>
    <t>Tarif</t>
  </si>
  <si>
    <t>Année en cours</t>
  </si>
  <si>
    <t>R</t>
  </si>
  <si>
    <t>Cheque ou sur place</t>
  </si>
  <si>
    <t>04/09/2022</t>
  </si>
  <si>
    <t>DELTA en Ordi arrivé et Ordi départ</t>
  </si>
  <si>
    <t>Nombre de dossard attitrés :</t>
  </si>
  <si>
    <t>Nombre Total inscrits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</si>
</sst>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[$-F400]h:mm:ss\ AM/PM"/>
    <numFmt numFmtId="165" formatCode="#,##0.00\ [$km]"/>
    <numFmt numFmtId="166" formatCode="0#&quot; &quot;##&quot; &quot;##&quot; &quot;##&quot; &quot;##"/>
    <numFmt numFmtId="167" formatCode="[$-F800]dddd\,\ mmmm\ dd\,\ yyyy"/>
    <numFmt numFmtId="168" formatCode="_-* #,##0.00\ [$km/h]_-;\-* #,##0.00\ [$km/h]_-;_-* &quot;-&quot;??\ [$km/h]_-;_-@_-"/>
    <numFmt numFmtId="169" formatCode="hh:mm:ss.0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0"/>
      <name val="Arial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vertAlign val="subscript"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2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1"/>
      </right>
      <top/>
      <bottom style="thin">
        <color theme="0" tint="-0.499984740745262"/>
      </bottom>
      <diagonal/>
    </border>
    <border>
      <left/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98">
    <xf numFmtId="0" fontId="0" fillId="0" borderId="0" xfId="0"/>
    <xf numFmtId="164" fontId="0" fillId="0" borderId="0" xfId="0" applyNumberFormat="1"/>
    <xf numFmtId="165" fontId="0" fillId="4" borderId="4" xfId="0" applyNumberFormat="1" applyFill="1" applyBorder="1"/>
    <xf numFmtId="0" fontId="0" fillId="4" borderId="2" xfId="0" applyFill="1" applyBorder="1"/>
    <xf numFmtId="0" fontId="0" fillId="0" borderId="0" xfId="0" applyBorder="1"/>
    <xf numFmtId="0" fontId="0" fillId="4" borderId="5" xfId="0" applyFill="1" applyBorder="1"/>
    <xf numFmtId="0" fontId="0" fillId="5" borderId="1" xfId="0" applyFill="1" applyBorder="1"/>
    <xf numFmtId="21" fontId="0" fillId="5" borderId="1" xfId="0" applyNumberFormat="1" applyFill="1" applyBorder="1" applyAlignment="1">
      <alignment horizontal="right"/>
    </xf>
    <xf numFmtId="21" fontId="0" fillId="0" borderId="0" xfId="0" applyNumberFormat="1"/>
    <xf numFmtId="0" fontId="0" fillId="7" borderId="1" xfId="0" applyFill="1" applyBorder="1"/>
    <xf numFmtId="0" fontId="0" fillId="9" borderId="7" xfId="0" applyFill="1" applyBorder="1"/>
    <xf numFmtId="0" fontId="0" fillId="0" borderId="7" xfId="0" applyBorder="1"/>
    <xf numFmtId="0" fontId="0" fillId="2" borderId="8" xfId="0" applyFill="1" applyBorder="1"/>
    <xf numFmtId="0" fontId="5" fillId="0" borderId="14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0" fillId="6" borderId="13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21" fontId="0" fillId="9" borderId="7" xfId="0" applyNumberFormat="1" applyFill="1" applyBorder="1" applyAlignment="1">
      <alignment horizontal="center"/>
    </xf>
    <xf numFmtId="21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9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6" borderId="9" xfId="0" applyFont="1" applyFill="1" applyBorder="1"/>
    <xf numFmtId="0" fontId="6" fillId="2" borderId="8" xfId="0" applyFont="1" applyFill="1" applyBorder="1"/>
    <xf numFmtId="0" fontId="6" fillId="9" borderId="7" xfId="0" applyFont="1" applyFill="1" applyBorder="1"/>
    <xf numFmtId="0" fontId="6" fillId="0" borderId="7" xfId="0" applyFont="1" applyBorder="1"/>
    <xf numFmtId="0" fontId="6" fillId="6" borderId="9" xfId="0" applyFont="1" applyFill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0" fontId="0" fillId="10" borderId="0" xfId="0" applyFill="1"/>
    <xf numFmtId="0" fontId="6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18" xfId="0" applyFont="1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11" borderId="21" xfId="0" applyFill="1" applyBorder="1"/>
    <xf numFmtId="0" fontId="0" fillId="11" borderId="17" xfId="0" applyFill="1" applyBorder="1"/>
    <xf numFmtId="0" fontId="0" fillId="0" borderId="17" xfId="0" applyBorder="1"/>
    <xf numFmtId="0" fontId="0" fillId="12" borderId="0" xfId="0" applyFill="1"/>
    <xf numFmtId="0" fontId="0" fillId="5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2" fillId="4" borderId="0" xfId="1" applyFill="1"/>
    <xf numFmtId="0" fontId="0" fillId="4" borderId="2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17" borderId="0" xfId="0" applyFill="1"/>
    <xf numFmtId="0" fontId="13" fillId="20" borderId="22" xfId="0" applyFont="1" applyFill="1" applyBorder="1"/>
    <xf numFmtId="0" fontId="0" fillId="19" borderId="22" xfId="0" applyFill="1" applyBorder="1"/>
    <xf numFmtId="0" fontId="0" fillId="18" borderId="22" xfId="0" applyFill="1" applyBorder="1"/>
    <xf numFmtId="0" fontId="0" fillId="0" borderId="22" xfId="0" applyBorder="1"/>
    <xf numFmtId="0" fontId="5" fillId="0" borderId="22" xfId="0" applyFont="1" applyBorder="1"/>
    <xf numFmtId="21" fontId="0" fillId="0" borderId="22" xfId="0" applyNumberFormat="1" applyBorder="1"/>
    <xf numFmtId="168" fontId="0" fillId="0" borderId="22" xfId="0" applyNumberFormat="1" applyBorder="1"/>
    <xf numFmtId="166" fontId="0" fillId="0" borderId="22" xfId="0" applyNumberFormat="1" applyBorder="1"/>
    <xf numFmtId="1" fontId="0" fillId="0" borderId="22" xfId="0" applyNumberFormat="1" applyBorder="1"/>
    <xf numFmtId="169" fontId="0" fillId="9" borderId="7" xfId="0" applyNumberFormat="1" applyFill="1" applyBorder="1" applyAlignment="1">
      <alignment horizontal="center"/>
    </xf>
    <xf numFmtId="47" fontId="0" fillId="0" borderId="0" xfId="0" applyNumberFormat="1"/>
    <xf numFmtId="169" fontId="0" fillId="2" borderId="8" xfId="0" applyNumberFormat="1" applyFill="1" applyBorder="1" applyAlignment="1">
      <alignment horizontal="center"/>
    </xf>
    <xf numFmtId="168" fontId="6" fillId="2" borderId="8" xfId="0" applyNumberFormat="1" applyFont="1" applyFill="1" applyBorder="1" applyAlignment="1">
      <alignment horizontal="center"/>
    </xf>
    <xf numFmtId="168" fontId="6" fillId="9" borderId="7" xfId="0" applyNumberFormat="1" applyFont="1" applyFill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0" fontId="0" fillId="21" borderId="0" xfId="0" applyFill="1"/>
    <xf numFmtId="0" fontId="14" fillId="0" borderId="0" xfId="0" applyFont="1" applyAlignment="1"/>
    <xf numFmtId="0" fontId="0" fillId="5" borderId="1" xfId="0" applyNumberFormat="1" applyFill="1" applyBorder="1"/>
    <xf numFmtId="0" fontId="0" fillId="0" borderId="22" xfId="0" applyBorder="1" applyAlignment="1">
      <alignment horizontal="right"/>
    </xf>
    <xf numFmtId="0" fontId="13" fillId="20" borderId="22" xfId="0" applyFont="1" applyFill="1" applyBorder="1" applyAlignment="1">
      <alignment horizontal="center"/>
    </xf>
    <xf numFmtId="0" fontId="15" fillId="0" borderId="22" xfId="0" applyFont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/>
    <xf numFmtId="0" fontId="0" fillId="19" borderId="1" xfId="0" applyFill="1" applyBorder="1"/>
    <xf numFmtId="44" fontId="0" fillId="19" borderId="1" xfId="2" applyFont="1" applyFill="1" applyBorder="1"/>
    <xf numFmtId="0" fontId="0" fillId="23" borderId="1" xfId="0" applyFill="1" applyBorder="1"/>
    <xf numFmtId="44" fontId="0" fillId="23" borderId="1" xfId="2" applyFont="1" applyFill="1" applyBorder="1"/>
    <xf numFmtId="44" fontId="0" fillId="23" borderId="1" xfId="2" applyFont="1" applyFill="1" applyBorder="1" applyAlignment="1">
      <alignment horizontal="center"/>
    </xf>
    <xf numFmtId="0" fontId="0" fillId="24" borderId="1" xfId="0" applyFill="1" applyBorder="1"/>
    <xf numFmtId="0" fontId="0" fillId="12" borderId="1" xfId="0" applyFill="1" applyBorder="1"/>
    <xf numFmtId="0" fontId="0" fillId="12" borderId="26" xfId="0" applyFill="1" applyBorder="1"/>
    <xf numFmtId="0" fontId="0" fillId="11" borderId="25" xfId="0" applyFill="1" applyBorder="1"/>
    <xf numFmtId="0" fontId="0" fillId="11" borderId="1" xfId="0" applyFill="1" applyBorder="1"/>
    <xf numFmtId="0" fontId="0" fillId="11" borderId="26" xfId="0" applyFill="1" applyBorder="1"/>
    <xf numFmtId="0" fontId="17" fillId="14" borderId="25" xfId="0" applyFont="1" applyFill="1" applyBorder="1"/>
    <xf numFmtId="0" fontId="18" fillId="4" borderId="1" xfId="0" applyFont="1" applyFill="1" applyBorder="1"/>
    <xf numFmtId="0" fontId="5" fillId="4" borderId="26" xfId="0" applyFont="1" applyFill="1" applyBorder="1"/>
    <xf numFmtId="0" fontId="5" fillId="4" borderId="25" xfId="0" applyFont="1" applyFill="1" applyBorder="1"/>
    <xf numFmtId="0" fontId="0" fillId="0" borderId="17" xfId="0" applyBorder="1" applyAlignment="1"/>
    <xf numFmtId="0" fontId="5" fillId="4" borderId="27" xfId="0" applyFont="1" applyFill="1" applyBorder="1"/>
    <xf numFmtId="0" fontId="5" fillId="2" borderId="22" xfId="0" applyFont="1" applyFill="1" applyBorder="1"/>
    <xf numFmtId="0" fontId="0" fillId="2" borderId="22" xfId="0" applyFill="1" applyBorder="1"/>
    <xf numFmtId="14" fontId="0" fillId="2" borderId="22" xfId="0" applyNumberFormat="1" applyFill="1" applyBorder="1" applyAlignment="1">
      <alignment horizontal="right"/>
    </xf>
    <xf numFmtId="21" fontId="0" fillId="2" borderId="22" xfId="0" applyNumberFormat="1" applyFill="1" applyBorder="1"/>
    <xf numFmtId="169" fontId="0" fillId="2" borderId="22" xfId="0" applyNumberFormat="1" applyFill="1" applyBorder="1"/>
    <xf numFmtId="168" fontId="0" fillId="2" borderId="22" xfId="0" applyNumberFormat="1" applyFill="1" applyBorder="1"/>
    <xf numFmtId="0" fontId="15" fillId="2" borderId="22" xfId="1" applyFont="1" applyFill="1" applyBorder="1"/>
    <xf numFmtId="166" fontId="0" fillId="2" borderId="22" xfId="0" applyNumberFormat="1" applyFill="1" applyBorder="1"/>
    <xf numFmtId="1" fontId="0" fillId="2" borderId="22" xfId="0" applyNumberFormat="1" applyFill="1" applyBorder="1"/>
    <xf numFmtId="0" fontId="0" fillId="2" borderId="22" xfId="0" applyNumberFormat="1" applyFill="1" applyBorder="1"/>
    <xf numFmtId="0" fontId="5" fillId="27" borderId="22" xfId="0" applyFont="1" applyFill="1" applyBorder="1"/>
    <xf numFmtId="0" fontId="0" fillId="27" borderId="22" xfId="0" applyFill="1" applyBorder="1"/>
    <xf numFmtId="14" fontId="0" fillId="27" borderId="22" xfId="0" applyNumberFormat="1" applyFill="1" applyBorder="1" applyAlignment="1">
      <alignment horizontal="right"/>
    </xf>
    <xf numFmtId="21" fontId="0" fillId="27" borderId="22" xfId="0" applyNumberFormat="1" applyFill="1" applyBorder="1"/>
    <xf numFmtId="169" fontId="0" fillId="27" borderId="22" xfId="0" applyNumberFormat="1" applyFill="1" applyBorder="1"/>
    <xf numFmtId="168" fontId="0" fillId="27" borderId="22" xfId="0" applyNumberFormat="1" applyFill="1" applyBorder="1"/>
    <xf numFmtId="0" fontId="15" fillId="27" borderId="22" xfId="0" applyFont="1" applyFill="1" applyBorder="1"/>
    <xf numFmtId="166" fontId="0" fillId="27" borderId="22" xfId="0" applyNumberFormat="1" applyFill="1" applyBorder="1"/>
    <xf numFmtId="1" fontId="0" fillId="27" borderId="22" xfId="0" applyNumberFormat="1" applyFill="1" applyBorder="1"/>
    <xf numFmtId="2" fontId="0" fillId="27" borderId="22" xfId="0" applyNumberFormat="1" applyFill="1" applyBorder="1"/>
    <xf numFmtId="0" fontId="0" fillId="27" borderId="22" xfId="0" applyNumberFormat="1" applyFill="1" applyBorder="1"/>
    <xf numFmtId="14" fontId="0" fillId="0" borderId="0" xfId="0" applyNumberFormat="1"/>
    <xf numFmtId="0" fontId="6" fillId="0" borderId="8" xfId="0" applyFont="1" applyBorder="1" applyAlignment="1">
      <alignment horizontal="center"/>
    </xf>
    <xf numFmtId="0" fontId="0" fillId="12" borderId="17" xfId="0" applyFill="1" applyBorder="1"/>
    <xf numFmtId="0" fontId="0" fillId="12" borderId="21" xfId="0" applyFill="1" applyBorder="1"/>
    <xf numFmtId="0" fontId="5" fillId="28" borderId="19" xfId="0" applyFont="1" applyFill="1" applyBorder="1" applyAlignment="1">
      <alignment horizontal="center"/>
    </xf>
    <xf numFmtId="0" fontId="6" fillId="28" borderId="11" xfId="0" applyFont="1" applyFill="1" applyBorder="1" applyAlignment="1">
      <alignment horizontal="center"/>
    </xf>
    <xf numFmtId="0" fontId="0" fillId="28" borderId="8" xfId="0" applyFill="1" applyBorder="1"/>
    <xf numFmtId="0" fontId="6" fillId="28" borderId="8" xfId="0" applyFont="1" applyFill="1" applyBorder="1"/>
    <xf numFmtId="0" fontId="6" fillId="28" borderId="8" xfId="0" applyFont="1" applyFill="1" applyBorder="1" applyAlignment="1">
      <alignment horizontal="center"/>
    </xf>
    <xf numFmtId="14" fontId="6" fillId="28" borderId="8" xfId="0" applyNumberFormat="1" applyFont="1" applyFill="1" applyBorder="1" applyAlignment="1">
      <alignment horizontal="center"/>
    </xf>
    <xf numFmtId="169" fontId="0" fillId="28" borderId="8" xfId="0" applyNumberFormat="1" applyFill="1" applyBorder="1" applyAlignment="1">
      <alignment horizontal="center"/>
    </xf>
    <xf numFmtId="0" fontId="0" fillId="28" borderId="8" xfId="0" applyFill="1" applyBorder="1" applyAlignment="1">
      <alignment horizontal="center"/>
    </xf>
    <xf numFmtId="168" fontId="6" fillId="28" borderId="8" xfId="0" applyNumberFormat="1" applyFont="1" applyFill="1" applyBorder="1" applyAlignment="1">
      <alignment horizontal="center"/>
    </xf>
    <xf numFmtId="0" fontId="5" fillId="29" borderId="20" xfId="0" applyFont="1" applyFill="1" applyBorder="1" applyAlignment="1">
      <alignment horizontal="center"/>
    </xf>
    <xf numFmtId="0" fontId="6" fillId="29" borderId="12" xfId="0" applyFont="1" applyFill="1" applyBorder="1" applyAlignment="1">
      <alignment horizontal="center"/>
    </xf>
    <xf numFmtId="0" fontId="0" fillId="29" borderId="7" xfId="0" applyFill="1" applyBorder="1"/>
    <xf numFmtId="0" fontId="6" fillId="29" borderId="7" xfId="0" applyFont="1" applyFill="1" applyBorder="1"/>
    <xf numFmtId="0" fontId="6" fillId="29" borderId="7" xfId="0" applyFont="1" applyFill="1" applyBorder="1" applyAlignment="1">
      <alignment horizontal="center"/>
    </xf>
    <xf numFmtId="14" fontId="6" fillId="29" borderId="7" xfId="0" applyNumberFormat="1" applyFont="1" applyFill="1" applyBorder="1" applyAlignment="1">
      <alignment horizontal="center"/>
    </xf>
    <xf numFmtId="169" fontId="0" fillId="29" borderId="7" xfId="0" applyNumberFormat="1" applyFill="1" applyBorder="1" applyAlignment="1">
      <alignment horizontal="center"/>
    </xf>
    <xf numFmtId="21" fontId="0" fillId="29" borderId="7" xfId="0" applyNumberFormat="1" applyFill="1" applyBorder="1" applyAlignment="1">
      <alignment horizontal="center"/>
    </xf>
    <xf numFmtId="168" fontId="6" fillId="29" borderId="7" xfId="0" applyNumberFormat="1" applyFont="1" applyFill="1" applyBorder="1" applyAlignment="1">
      <alignment horizontal="center"/>
    </xf>
    <xf numFmtId="0" fontId="6" fillId="28" borderId="12" xfId="0" applyFont="1" applyFill="1" applyBorder="1" applyAlignment="1">
      <alignment horizontal="center"/>
    </xf>
    <xf numFmtId="0" fontId="0" fillId="28" borderId="7" xfId="0" applyFill="1" applyBorder="1"/>
    <xf numFmtId="0" fontId="6" fillId="28" borderId="7" xfId="0" applyFont="1" applyFill="1" applyBorder="1"/>
    <xf numFmtId="0" fontId="6" fillId="28" borderId="7" xfId="0" applyFont="1" applyFill="1" applyBorder="1" applyAlignment="1">
      <alignment horizontal="center"/>
    </xf>
    <xf numFmtId="21" fontId="0" fillId="28" borderId="7" xfId="0" applyNumberFormat="1" applyFill="1" applyBorder="1" applyAlignment="1">
      <alignment horizontal="center"/>
    </xf>
    <xf numFmtId="0" fontId="5" fillId="28" borderId="20" xfId="0" applyFont="1" applyFill="1" applyBorder="1" applyAlignment="1">
      <alignment horizontal="center"/>
    </xf>
    <xf numFmtId="9" fontId="0" fillId="0" borderId="0" xfId="0" applyNumberFormat="1"/>
    <xf numFmtId="0" fontId="0" fillId="24" borderId="1" xfId="0" applyFill="1" applyBorder="1" applyAlignment="1">
      <alignment horizontal="center"/>
    </xf>
    <xf numFmtId="0" fontId="0" fillId="31" borderId="36" xfId="0" applyFill="1" applyBorder="1" applyAlignment="1">
      <alignment horizontal="center" vertical="center"/>
    </xf>
    <xf numFmtId="44" fontId="0" fillId="31" borderId="36" xfId="2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44" fontId="0" fillId="31" borderId="1" xfId="2" applyFont="1" applyFill="1" applyBorder="1" applyAlignment="1">
      <alignment horizontal="center" vertical="center"/>
    </xf>
    <xf numFmtId="44" fontId="0" fillId="31" borderId="41" xfId="2" applyFont="1" applyFill="1" applyBorder="1" applyAlignment="1">
      <alignment horizontal="center" vertical="center"/>
    </xf>
    <xf numFmtId="44" fontId="0" fillId="31" borderId="42" xfId="2" applyFont="1" applyFill="1" applyBorder="1" applyAlignment="1">
      <alignment horizontal="center" vertical="center"/>
    </xf>
    <xf numFmtId="0" fontId="0" fillId="25" borderId="1" xfId="0" applyFill="1" applyBorder="1"/>
    <xf numFmtId="44" fontId="0" fillId="25" borderId="1" xfId="2" applyFont="1" applyFill="1" applyBorder="1"/>
    <xf numFmtId="0" fontId="0" fillId="11" borderId="1" xfId="0" applyFill="1" applyBorder="1" applyAlignment="1">
      <alignment horizontal="center"/>
    </xf>
    <xf numFmtId="167" fontId="17" fillId="4" borderId="6" xfId="0" applyNumberFormat="1" applyFont="1" applyFill="1" applyBorder="1"/>
    <xf numFmtId="0" fontId="12" fillId="2" borderId="22" xfId="1" applyFill="1" applyBorder="1"/>
    <xf numFmtId="0" fontId="0" fillId="7" borderId="1" xfId="0" applyFill="1" applyBorder="1" applyAlignment="1">
      <alignment horizontal="center" vertical="center"/>
    </xf>
    <xf numFmtId="0" fontId="0" fillId="8" borderId="22" xfId="0" applyFill="1" applyBorder="1"/>
    <xf numFmtId="14" fontId="0" fillId="8" borderId="22" xfId="0" applyNumberFormat="1" applyFill="1" applyBorder="1" applyAlignment="1">
      <alignment horizontal="right"/>
    </xf>
    <xf numFmtId="21" fontId="0" fillId="8" borderId="22" xfId="0" applyNumberFormat="1" applyFill="1" applyBorder="1"/>
    <xf numFmtId="169" fontId="0" fillId="8" borderId="22" xfId="0" applyNumberFormat="1" applyFill="1" applyBorder="1"/>
    <xf numFmtId="0" fontId="15" fillId="8" borderId="22" xfId="1" applyFont="1" applyFill="1" applyBorder="1"/>
    <xf numFmtId="166" fontId="0" fillId="8" borderId="22" xfId="0" applyNumberFormat="1" applyFill="1" applyBorder="1"/>
    <xf numFmtId="1" fontId="0" fillId="8" borderId="22" xfId="0" applyNumberFormat="1" applyFill="1" applyBorder="1"/>
    <xf numFmtId="2" fontId="0" fillId="8" borderId="22" xfId="0" applyNumberFormat="1" applyFill="1" applyBorder="1"/>
    <xf numFmtId="0" fontId="12" fillId="27" borderId="22" xfId="1" applyFill="1" applyBorder="1"/>
    <xf numFmtId="0" fontId="0" fillId="5" borderId="0" xfId="0" applyFill="1" applyBorder="1" applyAlignment="1">
      <alignment horizontal="right"/>
    </xf>
    <xf numFmtId="14" fontId="0" fillId="0" borderId="22" xfId="0" applyNumberForma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7" fillId="10" borderId="0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6" borderId="0" xfId="0" applyFill="1" applyAlignment="1">
      <alignment horizontal="center"/>
    </xf>
    <xf numFmtId="44" fontId="0" fillId="23" borderId="23" xfId="2" applyFont="1" applyFill="1" applyBorder="1" applyAlignment="1">
      <alignment horizontal="center" vertical="center"/>
    </xf>
    <xf numFmtId="44" fontId="0" fillId="23" borderId="24" xfId="2" applyFont="1" applyFill="1" applyBorder="1" applyAlignment="1">
      <alignment horizontal="center" vertical="center"/>
    </xf>
    <xf numFmtId="44" fontId="0" fillId="23" borderId="25" xfId="2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30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44" fontId="0" fillId="23" borderId="1" xfId="2" applyFont="1" applyFill="1" applyBorder="1" applyAlignment="1">
      <alignment horizontal="center"/>
    </xf>
    <xf numFmtId="0" fontId="0" fillId="2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30" borderId="33" xfId="0" applyFill="1" applyBorder="1" applyAlignment="1">
      <alignment horizontal="center" vertical="center"/>
    </xf>
    <xf numFmtId="0" fontId="0" fillId="30" borderId="34" xfId="0" applyFill="1" applyBorder="1" applyAlignment="1">
      <alignment horizontal="center" vertical="center"/>
    </xf>
    <xf numFmtId="44" fontId="0" fillId="30" borderId="31" xfId="0" applyNumberFormat="1" applyFill="1" applyBorder="1" applyAlignment="1">
      <alignment horizontal="center" vertical="center"/>
    </xf>
    <xf numFmtId="0" fontId="0" fillId="30" borderId="32" xfId="0" applyFill="1" applyBorder="1" applyAlignment="1">
      <alignment horizontal="center" vertical="center"/>
    </xf>
    <xf numFmtId="0" fontId="0" fillId="31" borderId="35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44" fontId="0" fillId="31" borderId="37" xfId="2" applyFont="1" applyFill="1" applyBorder="1" applyAlignment="1">
      <alignment horizontal="center" vertical="center"/>
    </xf>
    <xf numFmtId="44" fontId="0" fillId="31" borderId="39" xfId="2" applyFont="1" applyFill="1" applyBorder="1" applyAlignment="1">
      <alignment horizontal="center" vertical="center"/>
    </xf>
    <xf numFmtId="0" fontId="0" fillId="31" borderId="40" xfId="0" applyFill="1" applyBorder="1" applyAlignment="1">
      <alignment horizontal="center" vertical="center"/>
    </xf>
    <xf numFmtId="0" fontId="0" fillId="31" borderId="4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12</xdr:row>
          <xdr:rowOff>47625</xdr:rowOff>
        </xdr:from>
        <xdr:to>
          <xdr:col>8</xdr:col>
          <xdr:colOff>304800</xdr:colOff>
          <xdr:row>13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Vérifier des inscription (via Helloasso)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6</xdr:row>
          <xdr:rowOff>95250</xdr:rowOff>
        </xdr:from>
        <xdr:to>
          <xdr:col>4</xdr:col>
          <xdr:colOff>438150</xdr:colOff>
          <xdr:row>8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 une nouvelle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12</xdr:row>
          <xdr:rowOff>57150</xdr:rowOff>
        </xdr:from>
        <xdr:to>
          <xdr:col>4</xdr:col>
          <xdr:colOff>485775</xdr:colOff>
          <xdr:row>13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Inscrire manuellement un coureur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6</xdr:row>
          <xdr:rowOff>104775</xdr:rowOff>
        </xdr:from>
        <xdr:to>
          <xdr:col>7</xdr:col>
          <xdr:colOff>704850</xdr:colOff>
          <xdr:row>8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 le contenu de l'ancienne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18</xdr:row>
          <xdr:rowOff>28575</xdr:rowOff>
        </xdr:from>
        <xdr:to>
          <xdr:col>3</xdr:col>
          <xdr:colOff>704850</xdr:colOff>
          <xdr:row>20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Poste d'arrivée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38100</xdr:rowOff>
        </xdr:from>
        <xdr:to>
          <xdr:col>8</xdr:col>
          <xdr:colOff>200025</xdr:colOff>
          <xdr:row>20</xdr:row>
          <xdr:rowOff>142875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Poste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57150</xdr:rowOff>
        </xdr:from>
        <xdr:to>
          <xdr:col>2</xdr:col>
          <xdr:colOff>714375</xdr:colOff>
          <xdr:row>26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Consulter le classement Scratch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57150</xdr:rowOff>
        </xdr:from>
        <xdr:to>
          <xdr:col>4</xdr:col>
          <xdr:colOff>523875</xdr:colOff>
          <xdr:row>26</xdr:row>
          <xdr:rowOff>133350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Consulter les classement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24</xdr:row>
          <xdr:rowOff>66675</xdr:rowOff>
        </xdr:from>
        <xdr:to>
          <xdr:col>6</xdr:col>
          <xdr:colOff>133350</xdr:colOff>
          <xdr:row>26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Consulter les statistiques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24</xdr:row>
          <xdr:rowOff>66675</xdr:rowOff>
        </xdr:from>
        <xdr:to>
          <xdr:col>7</xdr:col>
          <xdr:colOff>438150</xdr:colOff>
          <xdr:row>26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tous les classements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17</xdr:row>
          <xdr:rowOff>76200</xdr:rowOff>
        </xdr:from>
        <xdr:to>
          <xdr:col>13</xdr:col>
          <xdr:colOff>1495425</xdr:colOff>
          <xdr:row>20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Intervenir en tant qu'administrateur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24</xdr:row>
          <xdr:rowOff>76200</xdr:rowOff>
        </xdr:from>
        <xdr:to>
          <xdr:col>8</xdr:col>
          <xdr:colOff>723900</xdr:colOff>
          <xdr:row>26</xdr:row>
          <xdr:rowOff>142875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les résultats par 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14</xdr:row>
          <xdr:rowOff>19050</xdr:rowOff>
        </xdr:from>
        <xdr:to>
          <xdr:col>8</xdr:col>
          <xdr:colOff>590550</xdr:colOff>
          <xdr:row>14</xdr:row>
          <xdr:rowOff>285750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la liste des horaires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9525</xdr:rowOff>
        </xdr:from>
        <xdr:to>
          <xdr:col>3</xdr:col>
          <xdr:colOff>0</xdr:colOff>
          <xdr:row>14</xdr:row>
          <xdr:rowOff>285750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un mail à tous les coureurs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</xdr:row>
          <xdr:rowOff>19050</xdr:rowOff>
        </xdr:from>
        <xdr:to>
          <xdr:col>6</xdr:col>
          <xdr:colOff>390525</xdr:colOff>
          <xdr:row>29</xdr:row>
          <xdr:rowOff>161925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les classements en fichier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19050</xdr:rowOff>
        </xdr:from>
        <xdr:to>
          <xdr:col>4</xdr:col>
          <xdr:colOff>685800</xdr:colOff>
          <xdr:row>14</xdr:row>
          <xdr:rowOff>285750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Décaler un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14</xdr:row>
          <xdr:rowOff>19050</xdr:rowOff>
        </xdr:from>
        <xdr:to>
          <xdr:col>6</xdr:col>
          <xdr:colOff>523875</xdr:colOff>
          <xdr:row>14</xdr:row>
          <xdr:rowOff>285750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 coureur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123825</xdr:rowOff>
        </xdr:from>
        <xdr:to>
          <xdr:col>16</xdr:col>
          <xdr:colOff>704850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104775</xdr:rowOff>
        </xdr:from>
        <xdr:to>
          <xdr:col>16</xdr:col>
          <xdr:colOff>628650</xdr:colOff>
          <xdr:row>6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0</xdr:rowOff>
        </xdr:from>
        <xdr:to>
          <xdr:col>17</xdr:col>
          <xdr:colOff>57150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3</xdr:row>
          <xdr:rowOff>47625</xdr:rowOff>
        </xdr:from>
        <xdr:to>
          <xdr:col>17</xdr:col>
          <xdr:colOff>57150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Consulter le classement d'une autre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6</xdr:row>
          <xdr:rowOff>28575</xdr:rowOff>
        </xdr:from>
        <xdr:to>
          <xdr:col>17</xdr:col>
          <xdr:colOff>57150</xdr:colOff>
          <xdr:row>8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2EE46-29D2-44DF-9CD8-4DC905B0B256}">
  <sheetPr codeName="Feuil4"/>
  <dimension ref="A1:O30"/>
  <sheetViews>
    <sheetView zoomScale="90" zoomScaleNormal="90" workbookViewId="0">
      <selection activeCell="P15" sqref="P15"/>
    </sheetView>
  </sheetViews>
  <sheetFormatPr baseColWidth="10" defaultRowHeight="15" x14ac:dyDescent="0.25"/>
  <cols>
    <col min="13" max="13" width="40.140625" customWidth="1"/>
    <col min="14" max="14" width="27.28515625" customWidth="1"/>
    <col min="15" max="15" width="40.5703125" customWidth="1"/>
  </cols>
  <sheetData>
    <row r="1" spans="1:15" x14ac:dyDescent="0.25">
      <c r="A1" s="170"/>
      <c r="B1" s="170"/>
      <c r="C1" s="170"/>
      <c r="D1" s="170"/>
      <c r="E1" s="170"/>
      <c r="F1" s="170"/>
      <c r="G1" s="170"/>
      <c r="H1" s="170"/>
      <c r="I1" s="170"/>
      <c r="J1" s="170"/>
      <c r="M1" s="47" t="s">
        <v>15</v>
      </c>
      <c r="N1" s="2"/>
    </row>
    <row r="2" spans="1:15" x14ac:dyDescent="0.25">
      <c r="A2" s="170"/>
      <c r="B2" s="170"/>
      <c r="C2" s="170"/>
      <c r="D2" s="170"/>
      <c r="E2" s="170"/>
      <c r="F2" s="170"/>
      <c r="G2" s="170"/>
      <c r="H2" s="170"/>
      <c r="I2" s="170"/>
      <c r="J2" s="170"/>
      <c r="M2" s="48" t="s">
        <v>16</v>
      </c>
      <c r="N2" s="5"/>
      <c r="O2" s="46"/>
    </row>
    <row r="3" spans="1:15" x14ac:dyDescent="0.25">
      <c r="A3" s="170"/>
      <c r="B3" s="170"/>
      <c r="C3" s="170"/>
      <c r="D3" s="170"/>
      <c r="E3" s="170"/>
      <c r="F3" s="170"/>
      <c r="G3" s="170"/>
      <c r="H3" s="170"/>
      <c r="I3" s="170"/>
      <c r="J3" s="170"/>
      <c r="M3" s="47" t="s">
        <v>17</v>
      </c>
      <c r="N3" s="3"/>
    </row>
    <row r="4" spans="1:15" ht="15" customHeight="1" x14ac:dyDescent="1.35">
      <c r="B4" s="70"/>
      <c r="C4" s="70"/>
      <c r="D4" s="70"/>
      <c r="E4" s="70"/>
      <c r="F4" s="70"/>
      <c r="G4" s="70"/>
      <c r="H4" s="70"/>
      <c r="I4" s="70"/>
      <c r="L4" s="4"/>
      <c r="M4" s="49"/>
      <c r="N4" s="156" t="s">
        <v>115</v>
      </c>
    </row>
    <row r="5" spans="1:15" x14ac:dyDescent="0.25">
      <c r="B5" s="171" t="s">
        <v>36</v>
      </c>
      <c r="C5" s="171"/>
      <c r="D5" s="171"/>
      <c r="E5" s="171"/>
      <c r="F5" s="171"/>
      <c r="G5" s="171"/>
      <c r="H5" s="171"/>
      <c r="I5" s="171"/>
      <c r="L5" s="4"/>
      <c r="M5" s="50"/>
    </row>
    <row r="6" spans="1:15" x14ac:dyDescent="0.25">
      <c r="B6" s="172"/>
      <c r="C6" s="172"/>
      <c r="D6" s="172"/>
      <c r="E6" s="172"/>
      <c r="F6" s="172"/>
      <c r="G6" s="172"/>
      <c r="H6" s="172"/>
      <c r="I6" s="172"/>
      <c r="L6" s="4"/>
      <c r="M6" s="51" t="s">
        <v>31</v>
      </c>
      <c r="N6" s="7"/>
      <c r="O6" s="69" t="e">
        <f>"Lancer les chronos manuels à " &amp; HOUR(N6-1/60/24) &amp; "h" &amp; MINUTE(N6-1/60/24)</f>
        <v>#NUM!</v>
      </c>
    </row>
    <row r="7" spans="1:15" x14ac:dyDescent="0.25">
      <c r="B7" s="32"/>
      <c r="C7" s="32"/>
      <c r="D7" s="32"/>
      <c r="E7" s="32"/>
      <c r="F7" s="32"/>
      <c r="G7" s="32"/>
      <c r="H7" s="32"/>
      <c r="I7" s="32"/>
      <c r="L7" s="4"/>
      <c r="M7" s="51" t="s">
        <v>19</v>
      </c>
      <c r="N7" s="6"/>
    </row>
    <row r="8" spans="1:15" x14ac:dyDescent="0.25">
      <c r="B8" s="32"/>
      <c r="C8" s="32"/>
      <c r="D8" s="32"/>
      <c r="E8" s="32"/>
      <c r="F8" s="32"/>
      <c r="G8" s="32"/>
      <c r="H8" s="32"/>
      <c r="I8" s="32"/>
      <c r="L8" s="4"/>
      <c r="M8" s="51" t="s">
        <v>18</v>
      </c>
      <c r="N8" s="7"/>
    </row>
    <row r="9" spans="1:15" x14ac:dyDescent="0.25">
      <c r="B9" s="32"/>
      <c r="C9" s="32"/>
      <c r="D9" s="32"/>
      <c r="E9" s="32"/>
      <c r="F9" s="32"/>
      <c r="G9" s="32"/>
      <c r="H9" s="32"/>
      <c r="I9" s="32"/>
      <c r="L9" s="4"/>
      <c r="M9" s="50"/>
    </row>
    <row r="10" spans="1:15" x14ac:dyDescent="0.25">
      <c r="M10" s="52" t="s">
        <v>22</v>
      </c>
      <c r="N10" s="9">
        <f>N7-COUNTA(Inscription!B:B)+1</f>
        <v>0</v>
      </c>
    </row>
    <row r="11" spans="1:15" x14ac:dyDescent="0.25">
      <c r="B11" s="171" t="s">
        <v>37</v>
      </c>
      <c r="C11" s="171"/>
      <c r="D11" s="171"/>
      <c r="E11" s="171"/>
      <c r="F11" s="171"/>
      <c r="G11" s="171"/>
      <c r="H11" s="171"/>
      <c r="I11" s="171"/>
      <c r="M11" s="49"/>
    </row>
    <row r="12" spans="1:15" x14ac:dyDescent="0.25">
      <c r="B12" s="172"/>
      <c r="C12" s="172"/>
      <c r="D12" s="172"/>
      <c r="E12" s="172"/>
      <c r="F12" s="172"/>
      <c r="G12" s="172"/>
      <c r="H12" s="172"/>
      <c r="I12" s="172"/>
      <c r="M12" s="51" t="s">
        <v>34</v>
      </c>
      <c r="N12" s="6">
        <f>COUNT(Inscription!J:J)</f>
        <v>0</v>
      </c>
    </row>
    <row r="13" spans="1:15" x14ac:dyDescent="0.25">
      <c r="B13" s="32"/>
      <c r="C13" s="32"/>
      <c r="D13" s="32"/>
      <c r="E13" s="32"/>
      <c r="F13" s="32"/>
      <c r="G13" s="32"/>
      <c r="H13" s="32"/>
      <c r="I13" s="32"/>
      <c r="M13" s="51" t="s">
        <v>82</v>
      </c>
      <c r="N13" s="6">
        <f>N7-N10-SUM(Inscription!U2:U1000)</f>
        <v>0</v>
      </c>
    </row>
    <row r="14" spans="1:15" x14ac:dyDescent="0.25">
      <c r="B14" s="32"/>
      <c r="C14" s="32"/>
      <c r="D14" s="32"/>
      <c r="E14" s="32"/>
      <c r="F14" s="32"/>
      <c r="G14" s="32"/>
      <c r="H14" s="32"/>
      <c r="I14" s="32"/>
      <c r="M14" s="51" t="s">
        <v>81</v>
      </c>
      <c r="N14" s="71">
        <f>Accueil!N13-COUNTIF(Inscription!J:J,"NC")+Statistiques!C23</f>
        <v>0</v>
      </c>
    </row>
    <row r="15" spans="1:15" ht="25.5" customHeight="1" x14ac:dyDescent="0.25">
      <c r="B15" s="32"/>
      <c r="C15" s="32"/>
      <c r="D15" s="32"/>
      <c r="E15" s="32"/>
      <c r="F15" s="32"/>
      <c r="G15" s="32"/>
      <c r="H15" s="32"/>
      <c r="I15" s="32"/>
      <c r="M15" s="51" t="s">
        <v>117</v>
      </c>
      <c r="N15" s="71">
        <f>N7-N10</f>
        <v>0</v>
      </c>
    </row>
    <row r="16" spans="1:15" x14ac:dyDescent="0.25">
      <c r="M16" s="168" t="s">
        <v>118</v>
      </c>
      <c r="N16" s="41">
        <f>N15+Statistiques!C23</f>
        <v>0</v>
      </c>
    </row>
    <row r="17" spans="2:14" x14ac:dyDescent="0.25">
      <c r="B17" s="171" t="s">
        <v>38</v>
      </c>
      <c r="C17" s="171"/>
      <c r="D17" s="171"/>
      <c r="E17" s="171"/>
      <c r="F17" s="171"/>
      <c r="G17" s="171"/>
      <c r="H17" s="171"/>
      <c r="I17" s="171"/>
      <c r="M17" s="168" t="s">
        <v>116</v>
      </c>
      <c r="N17" s="8">
        <v>0</v>
      </c>
    </row>
    <row r="18" spans="2:14" x14ac:dyDescent="0.25">
      <c r="B18" s="172"/>
      <c r="C18" s="172"/>
      <c r="D18" s="172"/>
      <c r="E18" s="172"/>
      <c r="F18" s="172"/>
      <c r="G18" s="172"/>
      <c r="H18" s="172"/>
      <c r="I18" s="172"/>
    </row>
    <row r="19" spans="2:14" x14ac:dyDescent="0.25">
      <c r="B19" s="32"/>
      <c r="C19" s="32"/>
      <c r="D19" s="32"/>
      <c r="E19" s="32"/>
      <c r="F19" s="32"/>
      <c r="G19" s="32"/>
      <c r="H19" s="32"/>
      <c r="I19" s="32"/>
    </row>
    <row r="20" spans="2:14" x14ac:dyDescent="0.25">
      <c r="B20" s="32"/>
      <c r="C20" s="32"/>
      <c r="D20" s="32"/>
      <c r="E20" s="32"/>
      <c r="F20" s="32"/>
      <c r="G20" s="32"/>
      <c r="H20" s="32"/>
      <c r="I20" s="32"/>
    </row>
    <row r="21" spans="2:14" x14ac:dyDescent="0.25">
      <c r="B21" s="32"/>
      <c r="C21" s="32"/>
      <c r="D21" s="32"/>
      <c r="E21" s="32"/>
      <c r="F21" s="32"/>
      <c r="G21" s="32"/>
      <c r="H21" s="32"/>
      <c r="I21" s="32"/>
    </row>
    <row r="23" spans="2:14" x14ac:dyDescent="0.25">
      <c r="B23" s="171" t="s">
        <v>39</v>
      </c>
      <c r="C23" s="171"/>
      <c r="D23" s="171"/>
      <c r="E23" s="171"/>
      <c r="F23" s="171"/>
      <c r="G23" s="171"/>
      <c r="H23" s="171"/>
      <c r="I23" s="171"/>
    </row>
    <row r="24" spans="2:14" x14ac:dyDescent="0.25">
      <c r="B24" s="172"/>
      <c r="C24" s="172"/>
      <c r="D24" s="172"/>
      <c r="E24" s="172"/>
      <c r="F24" s="172"/>
      <c r="G24" s="172"/>
      <c r="H24" s="172"/>
      <c r="I24" s="172"/>
    </row>
    <row r="25" spans="2:14" x14ac:dyDescent="0.25">
      <c r="B25" s="32"/>
      <c r="C25" s="32"/>
      <c r="D25" s="32"/>
      <c r="E25" s="32"/>
      <c r="F25" s="32"/>
      <c r="G25" s="32"/>
      <c r="H25" s="32"/>
      <c r="I25" s="32"/>
    </row>
    <row r="26" spans="2:14" x14ac:dyDescent="0.25">
      <c r="B26" s="32"/>
      <c r="C26" s="32"/>
      <c r="D26" s="32"/>
      <c r="E26" s="32"/>
      <c r="F26" s="32"/>
      <c r="G26" s="32"/>
      <c r="H26" s="32"/>
      <c r="I26" s="32"/>
    </row>
    <row r="27" spans="2:14" x14ac:dyDescent="0.25">
      <c r="B27" s="32"/>
      <c r="C27" s="32"/>
      <c r="D27" s="32"/>
      <c r="E27" s="32"/>
      <c r="F27" s="32"/>
      <c r="G27" s="32"/>
      <c r="H27" s="32"/>
      <c r="I27" s="32"/>
    </row>
    <row r="28" spans="2:14" x14ac:dyDescent="0.25">
      <c r="B28" s="32"/>
      <c r="C28" s="32"/>
      <c r="D28" s="32"/>
      <c r="E28" s="32"/>
      <c r="F28" s="32"/>
      <c r="G28" s="32"/>
      <c r="H28" s="32"/>
      <c r="I28" s="32"/>
    </row>
    <row r="29" spans="2:14" x14ac:dyDescent="0.25">
      <c r="B29" s="32"/>
      <c r="C29" s="32"/>
      <c r="D29" s="32"/>
      <c r="E29" s="32"/>
      <c r="F29" s="32"/>
      <c r="G29" s="32"/>
      <c r="H29" s="32"/>
      <c r="I29" s="32"/>
    </row>
    <row r="30" spans="2:14" x14ac:dyDescent="0.25">
      <c r="B30" s="32"/>
      <c r="C30" s="32"/>
      <c r="D30" s="32"/>
      <c r="E30" s="32"/>
      <c r="F30" s="32"/>
      <c r="G30" s="32"/>
      <c r="H30" s="32"/>
      <c r="I30" s="32"/>
    </row>
  </sheetData>
  <mergeCells count="5">
    <mergeCell ref="A1:J3"/>
    <mergeCell ref="B5:I6"/>
    <mergeCell ref="B11:I12"/>
    <mergeCell ref="B17:I18"/>
    <mergeCell ref="B23:I24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fficherhelloasso">
                <anchor moveWithCells="1" sizeWithCells="1">
                  <from>
                    <xdr:col>5</xdr:col>
                    <xdr:colOff>295275</xdr:colOff>
                    <xdr:row>12</xdr:row>
                    <xdr:rowOff>47625</xdr:rowOff>
                  </from>
                  <to>
                    <xdr:col>8</xdr:col>
                    <xdr:colOff>304800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ourse_init">
                <anchor moveWithCells="1" sizeWithCells="1">
                  <from>
                    <xdr:col>1</xdr:col>
                    <xdr:colOff>704850</xdr:colOff>
                    <xdr:row>6</xdr:row>
                    <xdr:rowOff>95250</xdr:rowOff>
                  </from>
                  <to>
                    <xdr:col>4</xdr:col>
                    <xdr:colOff>438150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nscrip_coureur">
                <anchor moveWithCells="1" sizeWithCells="1">
                  <from>
                    <xdr:col>1</xdr:col>
                    <xdr:colOff>495300</xdr:colOff>
                    <xdr:row>12</xdr:row>
                    <xdr:rowOff>57150</xdr:rowOff>
                  </from>
                  <to>
                    <xdr:col>4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uppression.suppression">
                <anchor moveWithCells="1" sizeWithCells="1">
                  <from>
                    <xdr:col>5</xdr:col>
                    <xdr:colOff>219075</xdr:colOff>
                    <xdr:row>6</xdr:row>
                    <xdr:rowOff>104775</xdr:rowOff>
                  </from>
                  <to>
                    <xdr:col>7</xdr:col>
                    <xdr:colOff>704850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pointarrivee">
                <anchor moveWithCells="1" sizeWithCells="1">
                  <from>
                    <xdr:col>1</xdr:col>
                    <xdr:colOff>485775</xdr:colOff>
                    <xdr:row>18</xdr:row>
                    <xdr:rowOff>28575</xdr:rowOff>
                  </from>
                  <to>
                    <xdr:col>3</xdr:col>
                    <xdr:colOff>704850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pointdepart">
                <anchor moveWithCells="1" sizeWithCells="1">
                  <from>
                    <xdr:col>6</xdr:col>
                    <xdr:colOff>9525</xdr:colOff>
                    <xdr:row>18</xdr:row>
                    <xdr:rowOff>38100</xdr:rowOff>
                  </from>
                  <to>
                    <xdr:col>8</xdr:col>
                    <xdr:colOff>200025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consulter_classement">
                <anchor moveWithCells="1" sizeWithCells="1">
                  <from>
                    <xdr:col>1</xdr:col>
                    <xdr:colOff>104775</xdr:colOff>
                    <xdr:row>24</xdr:row>
                    <xdr:rowOff>57150</xdr:rowOff>
                  </from>
                  <to>
                    <xdr:col>2</xdr:col>
                    <xdr:colOff>714375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Button 12">
              <controlPr defaultSize="0" print="0" autoFill="0" autoPict="0" macro="[0]!consulter_classement_caté">
                <anchor moveWithCells="1" sizeWithCells="1">
                  <from>
                    <xdr:col>3</xdr:col>
                    <xdr:colOff>0</xdr:colOff>
                    <xdr:row>24</xdr:row>
                    <xdr:rowOff>57150</xdr:rowOff>
                  </from>
                  <to>
                    <xdr:col>4</xdr:col>
                    <xdr:colOff>523875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consulter_classement">
                <anchor moveWithCells="1" sizeWithCells="1">
                  <from>
                    <xdr:col>4</xdr:col>
                    <xdr:colOff>590550</xdr:colOff>
                    <xdr:row>24</xdr:row>
                    <xdr:rowOff>66675</xdr:rowOff>
                  </from>
                  <to>
                    <xdr:col>6</xdr:col>
                    <xdr:colOff>133350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Imprimer_classement_tout">
                <anchor moveWithCells="1" sizeWithCells="1">
                  <from>
                    <xdr:col>6</xdr:col>
                    <xdr:colOff>190500</xdr:colOff>
                    <xdr:row>24</xdr:row>
                    <xdr:rowOff>66675</xdr:rowOff>
                  </from>
                  <to>
                    <xdr:col>7</xdr:col>
                    <xdr:colOff>438150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min">
                <anchor moveWithCells="1" sizeWithCells="1">
                  <from>
                    <xdr:col>13</xdr:col>
                    <xdr:colOff>742950</xdr:colOff>
                    <xdr:row>17</xdr:row>
                    <xdr:rowOff>76200</xdr:rowOff>
                  </from>
                  <to>
                    <xdr:col>13</xdr:col>
                    <xdr:colOff>1495425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envoyer_result_mail">
                <anchor moveWithCells="1" sizeWithCells="1">
                  <from>
                    <xdr:col>7</xdr:col>
                    <xdr:colOff>476250</xdr:colOff>
                    <xdr:row>24</xdr:row>
                    <xdr:rowOff>76200</xdr:rowOff>
                  </from>
                  <to>
                    <xdr:col>8</xdr:col>
                    <xdr:colOff>723900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Imprimer_heure_depart">
                <anchor moveWithCells="1">
                  <from>
                    <xdr:col>6</xdr:col>
                    <xdr:colOff>742950</xdr:colOff>
                    <xdr:row>14</xdr:row>
                    <xdr:rowOff>19050</xdr:rowOff>
                  </from>
                  <to>
                    <xdr:col>8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envoyer_mail_info">
                <anchor moveWithCells="1">
                  <from>
                    <xdr:col>1</xdr:col>
                    <xdr:colOff>228600</xdr:colOff>
                    <xdr:row>14</xdr:row>
                    <xdr:rowOff>9525</xdr:rowOff>
                  </from>
                  <to>
                    <xdr:col>3</xdr:col>
                    <xdr:colOff>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Button 23">
              <controlPr defaultSize="0" print="0" autoFill="0" autoPict="0" macro="[0]!export_result">
                <anchor moveWithCells="1" sizeWithCells="1">
                  <from>
                    <xdr:col>4</xdr:col>
                    <xdr:colOff>57150</xdr:colOff>
                    <xdr:row>27</xdr:row>
                    <xdr:rowOff>19050</xdr:rowOff>
                  </from>
                  <to>
                    <xdr:col>6</xdr:col>
                    <xdr:colOff>390525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Button 24">
              <controlPr defaultSize="0" print="0" autoFill="0" autoPict="0" macro="[0]!decaler_depart">
                <anchor moveWithCells="1">
                  <from>
                    <xdr:col>3</xdr:col>
                    <xdr:colOff>200025</xdr:colOff>
                    <xdr:row>14</xdr:row>
                    <xdr:rowOff>19050</xdr:rowOff>
                  </from>
                  <to>
                    <xdr:col>4</xdr:col>
                    <xdr:colOff>685800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Button 25">
              <controlPr defaultSize="0" print="0" autoFill="0" autoPict="0" macro="[0]!supprimer_coureur">
                <anchor moveWithCells="1" sizeWithCells="1">
                  <from>
                    <xdr:col>5</xdr:col>
                    <xdr:colOff>142875</xdr:colOff>
                    <xdr:row>14</xdr:row>
                    <xdr:rowOff>19050</xdr:rowOff>
                  </from>
                  <to>
                    <xdr:col>6</xdr:col>
                    <xdr:colOff>523875</xdr:colOff>
                    <xdr:row>14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9D7B-708B-4FE2-A718-571266B061AD}">
  <sheetPr codeName="Feuil1"/>
  <dimension ref="A1:BH1154"/>
  <sheetViews>
    <sheetView zoomScale="91" zoomScaleNormal="110" workbookViewId="0">
      <pane ySplit="1" topLeftCell="A2" activePane="bottomLeft" state="frozen"/>
      <selection activeCell="C1" sqref="C1"/>
      <selection pane="bottomLeft" activeCell="I17" sqref="I17"/>
    </sheetView>
  </sheetViews>
  <sheetFormatPr baseColWidth="10" defaultRowHeight="15" x14ac:dyDescent="0.25"/>
  <cols>
    <col min="1" max="1" width="5.140625" style="58" customWidth="1"/>
    <col min="2" max="2" width="13.5703125" style="57" customWidth="1"/>
    <col min="3" max="3" width="13.42578125" style="57" customWidth="1"/>
    <col min="4" max="4" width="11.42578125" style="57" customWidth="1"/>
    <col min="5" max="5" width="17.5703125" style="72" customWidth="1"/>
    <col min="6" max="6" width="16.140625" style="57" customWidth="1"/>
    <col min="7" max="7" width="9.85546875" style="57" customWidth="1"/>
    <col min="8" max="8" width="9.5703125" style="57" customWidth="1"/>
    <col min="9" max="9" width="15.42578125" style="57" customWidth="1"/>
    <col min="10" max="10" width="16.140625" style="59" customWidth="1"/>
    <col min="11" max="11" width="18.7109375" style="60" customWidth="1"/>
    <col min="12" max="12" width="29.28515625" style="74" customWidth="1"/>
    <col min="13" max="13" width="16.140625" style="61" customWidth="1"/>
    <col min="14" max="14" width="5.28515625" style="62" customWidth="1"/>
    <col min="15" max="15" width="34.7109375" style="57" customWidth="1"/>
    <col min="16" max="16" width="13.42578125" style="57" customWidth="1"/>
    <col min="17" max="17" width="3.28515625" style="57" customWidth="1"/>
    <col min="18" max="18" width="15.28515625" style="57" customWidth="1"/>
    <col min="19" max="19" width="20.85546875" style="57" customWidth="1"/>
    <col min="20" max="20" width="21.5703125" style="57" customWidth="1"/>
    <col min="21" max="21" width="10.85546875" style="57" customWidth="1"/>
    <col min="22" max="16384" width="11.42578125" style="57"/>
  </cols>
  <sheetData>
    <row r="1" spans="1:60" s="54" customFormat="1" ht="15" customHeight="1" x14ac:dyDescent="0.25">
      <c r="A1" s="54" t="s">
        <v>0</v>
      </c>
      <c r="B1" s="54" t="s">
        <v>1</v>
      </c>
      <c r="C1" s="54" t="s">
        <v>2</v>
      </c>
      <c r="D1" s="54" t="s">
        <v>10</v>
      </c>
      <c r="E1" s="73" t="s">
        <v>56</v>
      </c>
      <c r="F1" s="54" t="s">
        <v>61</v>
      </c>
      <c r="G1" s="54" t="s">
        <v>3</v>
      </c>
      <c r="H1" s="54" t="s">
        <v>4</v>
      </c>
      <c r="I1" s="54" t="s">
        <v>5</v>
      </c>
      <c r="J1" s="54" t="s">
        <v>6</v>
      </c>
      <c r="K1" s="54" t="s">
        <v>7</v>
      </c>
      <c r="L1" s="54" t="s">
        <v>20</v>
      </c>
      <c r="M1" s="54" t="s">
        <v>21</v>
      </c>
      <c r="N1" s="54" t="s">
        <v>29</v>
      </c>
      <c r="O1" s="54" t="s">
        <v>30</v>
      </c>
      <c r="P1" s="54" t="s">
        <v>32</v>
      </c>
      <c r="Q1" s="54" t="s">
        <v>33</v>
      </c>
      <c r="R1" s="54" t="s">
        <v>50</v>
      </c>
      <c r="S1" s="54" t="s">
        <v>62</v>
      </c>
      <c r="T1" s="54" t="s">
        <v>77</v>
      </c>
      <c r="U1" s="54" t="s">
        <v>80</v>
      </c>
    </row>
    <row r="2" spans="1:60" s="55" customFormat="1" x14ac:dyDescent="0.25">
      <c r="A2" s="106"/>
      <c r="B2" s="107"/>
      <c r="C2" s="107"/>
      <c r="D2" s="107"/>
      <c r="E2" s="108"/>
      <c r="F2" s="109" t="str">
        <f>IF(H2&lt;&gt;"",H2-Accueil!N$6+1/60/24,"")</f>
        <v/>
      </c>
      <c r="G2" s="107"/>
      <c r="H2" s="109"/>
      <c r="I2" s="110"/>
      <c r="J2" s="110" t="str">
        <f>IF(I2="","",I2-H2)</f>
        <v/>
      </c>
      <c r="K2" s="111" t="str">
        <f t="shared" ref="K2:K65" si="0">IF(J2="","",IF(J2="NC","NC",Distance/((MINUTE(J2)/60)+HOUR(J2)+SECOND(J2)/3600)))</f>
        <v/>
      </c>
      <c r="L2" s="112"/>
      <c r="M2" s="113"/>
      <c r="N2" s="114"/>
      <c r="O2" s="107"/>
      <c r="P2" s="107"/>
      <c r="Q2" s="115"/>
      <c r="R2" s="116" t="str">
        <f>IF(ISNUMBER(K2),Accueil!N$12-RANK(J2,J$2:J$180)+1,IF(J2="","","NC"))</f>
        <v/>
      </c>
      <c r="S2" s="107"/>
      <c r="T2" s="107"/>
      <c r="U2" s="107" t="str">
        <f t="shared" ref="U2:U31" si="1">IF(B2="","",IF(I2="",0,1))</f>
        <v/>
      </c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</row>
    <row r="3" spans="1:60" s="56" customFormat="1" x14ac:dyDescent="0.25">
      <c r="A3" s="96"/>
      <c r="B3" s="97"/>
      <c r="C3" s="97"/>
      <c r="D3" s="97"/>
      <c r="E3" s="98"/>
      <c r="F3" s="99" t="str">
        <f>IF(H3&lt;&gt;"",H3-Accueil!N$6+1/60/24,"")</f>
        <v/>
      </c>
      <c r="G3" s="97"/>
      <c r="H3" s="99"/>
      <c r="I3" s="99"/>
      <c r="J3" s="100" t="str">
        <f>IF(I3="","",I3-H3)</f>
        <v/>
      </c>
      <c r="K3" s="101" t="str">
        <f t="shared" si="0"/>
        <v/>
      </c>
      <c r="L3" s="102"/>
      <c r="M3" s="103"/>
      <c r="N3" s="104"/>
      <c r="O3" s="97"/>
      <c r="P3" s="97"/>
      <c r="Q3" s="97"/>
      <c r="R3" s="105" t="str">
        <f>IF(ISNUMBER(K3),Accueil!N$12-RANK(J3,J$2:J$180)+1,IF(J3="","","NC"))</f>
        <v/>
      </c>
      <c r="S3" s="97"/>
      <c r="T3" s="97"/>
      <c r="U3" s="97" t="str">
        <f t="shared" si="1"/>
        <v/>
      </c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</row>
    <row r="4" spans="1:60" s="55" customFormat="1" x14ac:dyDescent="0.25">
      <c r="A4" s="106"/>
      <c r="B4" s="107"/>
      <c r="C4" s="107"/>
      <c r="D4" s="159"/>
      <c r="E4" s="160"/>
      <c r="F4" s="161" t="str">
        <f>IF(H4&lt;&gt;"",H4-Accueil!N$6+1/60/24,"")</f>
        <v/>
      </c>
      <c r="G4" s="107"/>
      <c r="H4" s="109"/>
      <c r="I4" s="162"/>
      <c r="J4" s="110"/>
      <c r="K4" s="111"/>
      <c r="L4" s="163"/>
      <c r="M4" s="164"/>
      <c r="N4" s="165"/>
      <c r="O4" s="159"/>
      <c r="P4" s="159"/>
      <c r="Q4" s="166"/>
      <c r="R4" s="116"/>
      <c r="S4" s="159"/>
      <c r="T4" s="159"/>
      <c r="U4" s="107" t="str">
        <f t="shared" si="1"/>
        <v/>
      </c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</row>
    <row r="5" spans="1:60" s="56" customFormat="1" x14ac:dyDescent="0.25">
      <c r="A5" s="96"/>
      <c r="B5" s="97"/>
      <c r="C5" s="97"/>
      <c r="D5" s="97"/>
      <c r="E5" s="98"/>
      <c r="F5" s="99" t="str">
        <f>IF(H5&lt;&gt;"",H5-Accueil!N$6+1/60/24,"")</f>
        <v/>
      </c>
      <c r="G5" s="97"/>
      <c r="H5" s="99"/>
      <c r="I5" s="99"/>
      <c r="J5" s="100"/>
      <c r="K5" s="101"/>
      <c r="L5" s="102"/>
      <c r="M5" s="103"/>
      <c r="N5" s="104"/>
      <c r="O5" s="97"/>
      <c r="P5" s="97"/>
      <c r="Q5" s="97"/>
      <c r="R5" s="105"/>
      <c r="S5" s="97"/>
      <c r="T5" s="97"/>
      <c r="U5" s="97" t="str">
        <f t="shared" si="1"/>
        <v/>
      </c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7"/>
      <c r="AO5" s="97"/>
      <c r="AP5" s="97"/>
      <c r="AQ5" s="97"/>
      <c r="AR5" s="97"/>
      <c r="AS5" s="97"/>
      <c r="AT5" s="97"/>
      <c r="AU5" s="97"/>
      <c r="AV5" s="97"/>
      <c r="AW5" s="97"/>
      <c r="AX5" s="97"/>
      <c r="AY5" s="97"/>
      <c r="AZ5" s="97"/>
      <c r="BA5" s="97"/>
      <c r="BB5" s="97"/>
      <c r="BC5" s="97"/>
      <c r="BD5" s="97"/>
      <c r="BE5" s="97"/>
      <c r="BF5" s="97"/>
      <c r="BG5" s="97"/>
      <c r="BH5" s="97"/>
    </row>
    <row r="6" spans="1:60" x14ac:dyDescent="0.25">
      <c r="A6" s="106"/>
      <c r="B6" s="107"/>
      <c r="C6" s="107"/>
      <c r="D6" s="107"/>
      <c r="E6" s="108"/>
      <c r="F6" s="109" t="str">
        <f>IF(H6&lt;&gt;"",H6-Accueil!N$6+1/60/24,"")</f>
        <v/>
      </c>
      <c r="G6" s="107"/>
      <c r="H6" s="109"/>
      <c r="I6" s="110"/>
      <c r="J6" s="110"/>
      <c r="K6" s="111"/>
      <c r="L6" s="112"/>
      <c r="M6" s="113"/>
      <c r="N6" s="114"/>
      <c r="O6" s="107"/>
      <c r="P6" s="107"/>
      <c r="Q6" s="115"/>
      <c r="R6" s="116"/>
      <c r="S6" s="107"/>
      <c r="T6" s="107"/>
      <c r="U6" s="107" t="str">
        <f t="shared" si="1"/>
        <v/>
      </c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</row>
    <row r="7" spans="1:60" x14ac:dyDescent="0.25">
      <c r="A7" s="96"/>
      <c r="B7" s="97"/>
      <c r="C7" s="97"/>
      <c r="D7" s="97"/>
      <c r="E7" s="98"/>
      <c r="F7" s="99" t="str">
        <f>IF(H7&lt;&gt;"",H7-Accueil!N$6+1/60/24,"")</f>
        <v/>
      </c>
      <c r="G7" s="97"/>
      <c r="H7" s="99"/>
      <c r="I7" s="99"/>
      <c r="J7" s="100"/>
      <c r="K7" s="101"/>
      <c r="L7" s="102"/>
      <c r="M7" s="103"/>
      <c r="N7" s="104"/>
      <c r="O7" s="97"/>
      <c r="P7" s="97"/>
      <c r="Q7" s="97"/>
      <c r="R7" s="105"/>
      <c r="S7" s="97"/>
      <c r="T7" s="97"/>
      <c r="U7" s="97" t="str">
        <f t="shared" si="1"/>
        <v/>
      </c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97"/>
      <c r="AS7" s="97"/>
      <c r="AT7" s="97"/>
      <c r="AU7" s="97"/>
      <c r="AV7" s="97"/>
      <c r="AW7" s="97"/>
      <c r="AX7" s="97"/>
      <c r="AY7" s="97"/>
      <c r="AZ7" s="97"/>
      <c r="BA7" s="97"/>
      <c r="BB7" s="97"/>
      <c r="BC7" s="97"/>
      <c r="BD7" s="97"/>
      <c r="BE7" s="97"/>
      <c r="BF7" s="97"/>
      <c r="BG7" s="97"/>
      <c r="BH7" s="97"/>
    </row>
    <row r="8" spans="1:60" x14ac:dyDescent="0.25">
      <c r="A8" s="106"/>
      <c r="B8" s="107"/>
      <c r="C8" s="107"/>
      <c r="D8" s="107"/>
      <c r="E8" s="108"/>
      <c r="F8" s="109" t="str">
        <f>IF(H8&lt;&gt;"",H8-Accueil!N$6+1/60/24,"")</f>
        <v/>
      </c>
      <c r="G8" s="107"/>
      <c r="H8" s="109"/>
      <c r="I8" s="110"/>
      <c r="J8" s="110"/>
      <c r="K8" s="111"/>
      <c r="L8" s="112"/>
      <c r="M8" s="113"/>
      <c r="N8" s="114"/>
      <c r="O8" s="107"/>
      <c r="P8" s="107"/>
      <c r="Q8" s="115"/>
      <c r="R8" s="116"/>
      <c r="S8" s="107"/>
      <c r="T8" s="107"/>
      <c r="U8" s="107" t="str">
        <f t="shared" si="1"/>
        <v/>
      </c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</row>
    <row r="9" spans="1:60" x14ac:dyDescent="0.25">
      <c r="A9" s="96"/>
      <c r="B9" s="97"/>
      <c r="C9" s="97"/>
      <c r="D9" s="97"/>
      <c r="E9" s="98"/>
      <c r="F9" s="99" t="str">
        <f>IF(H9&lt;&gt;"",H9-Accueil!N$6+1/60/24,"")</f>
        <v/>
      </c>
      <c r="G9" s="97"/>
      <c r="H9" s="99"/>
      <c r="I9" s="99"/>
      <c r="J9" s="100"/>
      <c r="K9" s="101"/>
      <c r="L9" s="102"/>
      <c r="M9" s="103"/>
      <c r="N9" s="104"/>
      <c r="O9" s="97"/>
      <c r="P9" s="97"/>
      <c r="Q9" s="97"/>
      <c r="R9" s="105"/>
      <c r="S9" s="97"/>
      <c r="T9" s="97"/>
      <c r="U9" s="97" t="str">
        <f t="shared" si="1"/>
        <v/>
      </c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7"/>
      <c r="AP9" s="97"/>
      <c r="AQ9" s="97"/>
      <c r="AR9" s="97"/>
      <c r="AS9" s="97"/>
      <c r="AT9" s="97"/>
      <c r="AU9" s="97"/>
      <c r="AV9" s="97"/>
      <c r="AW9" s="97"/>
      <c r="AX9" s="97"/>
      <c r="AY9" s="97"/>
      <c r="AZ9" s="97"/>
      <c r="BA9" s="97"/>
      <c r="BB9" s="97"/>
      <c r="BC9" s="97"/>
      <c r="BD9" s="97"/>
      <c r="BE9" s="97"/>
      <c r="BF9" s="97"/>
      <c r="BG9" s="97"/>
      <c r="BH9" s="97"/>
    </row>
    <row r="10" spans="1:60" x14ac:dyDescent="0.25">
      <c r="A10" s="106"/>
      <c r="B10" s="107"/>
      <c r="C10" s="107"/>
      <c r="D10" s="107"/>
      <c r="E10" s="108"/>
      <c r="F10" s="109" t="str">
        <f>IF(H10&lt;&gt;"",H10-Accueil!N$6+1/60/24,"")</f>
        <v/>
      </c>
      <c r="G10" s="107"/>
      <c r="H10" s="109"/>
      <c r="I10" s="110"/>
      <c r="J10" s="110"/>
      <c r="K10" s="111"/>
      <c r="L10" s="112"/>
      <c r="M10" s="113"/>
      <c r="N10" s="114"/>
      <c r="O10" s="107"/>
      <c r="P10" s="107"/>
      <c r="Q10" s="115"/>
      <c r="R10" s="116"/>
      <c r="S10" s="107"/>
      <c r="T10" s="107"/>
      <c r="U10" s="107" t="str">
        <f t="shared" si="1"/>
        <v/>
      </c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</row>
    <row r="11" spans="1:60" x14ac:dyDescent="0.25">
      <c r="A11" s="96"/>
      <c r="B11" s="97"/>
      <c r="C11" s="97"/>
      <c r="D11" s="97"/>
      <c r="E11" s="98"/>
      <c r="F11" s="99" t="str">
        <f>IF(H11&lt;&gt;"",H11-Accueil!N$6+1/60/24,"")</f>
        <v/>
      </c>
      <c r="G11" s="97"/>
      <c r="H11" s="99"/>
      <c r="I11" s="99"/>
      <c r="J11" s="100"/>
      <c r="K11" s="101"/>
      <c r="L11" s="102"/>
      <c r="M11" s="103"/>
      <c r="N11" s="104"/>
      <c r="O11" s="97"/>
      <c r="P11" s="97"/>
      <c r="Q11" s="97"/>
      <c r="R11" s="105"/>
      <c r="S11" s="97"/>
      <c r="T11" s="97"/>
      <c r="U11" s="97" t="str">
        <f t="shared" si="1"/>
        <v/>
      </c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</row>
    <row r="12" spans="1:60" x14ac:dyDescent="0.25">
      <c r="A12" s="106"/>
      <c r="B12" s="107"/>
      <c r="C12" s="107"/>
      <c r="D12" s="107"/>
      <c r="E12" s="108"/>
      <c r="F12" s="109" t="str">
        <f>IF(H12&lt;&gt;"",H12-Accueil!N$6+1/60/24,"")</f>
        <v/>
      </c>
      <c r="G12" s="107"/>
      <c r="H12" s="109"/>
      <c r="I12" s="110"/>
      <c r="J12" s="110"/>
      <c r="K12" s="111"/>
      <c r="L12" s="112"/>
      <c r="M12" s="113"/>
      <c r="N12" s="114"/>
      <c r="O12" s="107"/>
      <c r="P12" s="107"/>
      <c r="Q12" s="115"/>
      <c r="R12" s="116"/>
      <c r="S12" s="107"/>
      <c r="T12" s="107"/>
      <c r="U12" s="107" t="str">
        <f t="shared" si="1"/>
        <v/>
      </c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</row>
    <row r="13" spans="1:60" s="97" customFormat="1" x14ac:dyDescent="0.25">
      <c r="A13" s="96"/>
      <c r="E13" s="98"/>
      <c r="F13" s="99" t="str">
        <f>IF(H13&lt;&gt;"",H13-Accueil!N$6+1/60/24,"")</f>
        <v/>
      </c>
      <c r="H13" s="99"/>
      <c r="I13" s="99"/>
      <c r="J13" s="100"/>
      <c r="K13" s="101"/>
      <c r="M13" s="103"/>
      <c r="N13" s="104"/>
      <c r="R13" s="105"/>
      <c r="U13" s="97" t="str">
        <f t="shared" si="1"/>
        <v/>
      </c>
    </row>
    <row r="14" spans="1:60" s="107" customFormat="1" x14ac:dyDescent="0.25">
      <c r="A14" s="106"/>
      <c r="E14" s="108"/>
      <c r="F14" s="109" t="str">
        <f>IF(H14&lt;&gt;"",H14-Accueil!N$6+1/60/24,"")</f>
        <v/>
      </c>
      <c r="H14" s="109"/>
      <c r="I14" s="110"/>
      <c r="J14" s="110"/>
      <c r="K14" s="111"/>
      <c r="L14" s="112"/>
      <c r="M14" s="113"/>
      <c r="N14" s="114"/>
      <c r="Q14" s="115"/>
      <c r="R14" s="116"/>
      <c r="U14" s="107" t="str">
        <f t="shared" si="1"/>
        <v/>
      </c>
    </row>
    <row r="15" spans="1:60" x14ac:dyDescent="0.25">
      <c r="A15" s="96"/>
      <c r="B15" s="97"/>
      <c r="C15" s="97"/>
      <c r="D15" s="97"/>
      <c r="E15" s="98"/>
      <c r="F15" s="99" t="str">
        <f>IF(H15&lt;&gt;"",H15-Accueil!N$6+1/60/24,"")</f>
        <v/>
      </c>
      <c r="G15" s="97"/>
      <c r="H15" s="99"/>
      <c r="I15" s="99"/>
      <c r="J15" s="100"/>
      <c r="K15" s="101"/>
      <c r="L15" s="102"/>
      <c r="M15" s="103"/>
      <c r="N15" s="104"/>
      <c r="O15" s="97"/>
      <c r="P15" s="97"/>
      <c r="Q15" s="97"/>
      <c r="R15" s="105"/>
      <c r="S15" s="97"/>
      <c r="T15" s="97"/>
      <c r="U15" s="97" t="str">
        <f t="shared" si="1"/>
        <v/>
      </c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97"/>
    </row>
    <row r="16" spans="1:60" x14ac:dyDescent="0.25">
      <c r="A16" s="106"/>
      <c r="B16" s="107"/>
      <c r="C16" s="107"/>
      <c r="D16" s="107"/>
      <c r="E16" s="108"/>
      <c r="F16" s="109" t="str">
        <f>IF(H16&lt;&gt;"",H16-Accueil!N$6+1/60/24,"")</f>
        <v/>
      </c>
      <c r="G16" s="107"/>
      <c r="H16" s="109"/>
      <c r="I16" s="110"/>
      <c r="J16" s="110"/>
      <c r="K16" s="111"/>
      <c r="L16" s="112"/>
      <c r="M16" s="113"/>
      <c r="N16" s="114"/>
      <c r="O16" s="107"/>
      <c r="P16" s="107"/>
      <c r="Q16" s="115"/>
      <c r="R16" s="116"/>
      <c r="S16" s="107"/>
      <c r="T16" s="107"/>
      <c r="U16" s="107" t="str">
        <f t="shared" si="1"/>
        <v/>
      </c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</row>
    <row r="17" spans="1:60" x14ac:dyDescent="0.25">
      <c r="A17" s="96"/>
      <c r="B17" s="97"/>
      <c r="C17" s="97"/>
      <c r="D17" s="97"/>
      <c r="E17" s="98"/>
      <c r="F17" s="99" t="str">
        <f>IF(H17&lt;&gt;"",H17-Accueil!N$6+1/60/24,"")</f>
        <v/>
      </c>
      <c r="G17" s="97"/>
      <c r="H17" s="99"/>
      <c r="I17" s="99"/>
      <c r="J17" s="100"/>
      <c r="K17" s="101"/>
      <c r="L17" s="102"/>
      <c r="M17" s="103"/>
      <c r="N17" s="104"/>
      <c r="O17" s="97"/>
      <c r="P17" s="97"/>
      <c r="Q17" s="97"/>
      <c r="R17" s="105"/>
      <c r="S17" s="97"/>
      <c r="T17" s="97"/>
      <c r="U17" s="97" t="str">
        <f t="shared" si="1"/>
        <v/>
      </c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97"/>
    </row>
    <row r="18" spans="1:60" x14ac:dyDescent="0.25">
      <c r="A18" s="106"/>
      <c r="B18" s="107"/>
      <c r="C18" s="107"/>
      <c r="D18" s="107"/>
      <c r="E18" s="108"/>
      <c r="F18" s="109" t="str">
        <f>IF(H18&lt;&gt;"",H18-Accueil!N$6+1/60/24,"")</f>
        <v/>
      </c>
      <c r="G18" s="107"/>
      <c r="H18" s="109"/>
      <c r="I18" s="110"/>
      <c r="J18" s="110"/>
      <c r="K18" s="111"/>
      <c r="L18" s="112"/>
      <c r="M18" s="113"/>
      <c r="N18" s="114"/>
      <c r="O18" s="107"/>
      <c r="P18" s="107"/>
      <c r="Q18" s="115"/>
      <c r="R18" s="116"/>
      <c r="S18" s="107"/>
      <c r="T18" s="107"/>
      <c r="U18" s="107" t="str">
        <f t="shared" si="1"/>
        <v/>
      </c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</row>
    <row r="19" spans="1:60" x14ac:dyDescent="0.25">
      <c r="A19" s="96"/>
      <c r="B19" s="97"/>
      <c r="C19" s="97"/>
      <c r="D19" s="97"/>
      <c r="E19" s="98"/>
      <c r="F19" s="99" t="str">
        <f>IF(H19&lt;&gt;"",H19-Accueil!N$6+1/60/24,"")</f>
        <v/>
      </c>
      <c r="G19" s="97"/>
      <c r="H19" s="99"/>
      <c r="I19" s="99"/>
      <c r="J19" s="100"/>
      <c r="K19" s="101"/>
      <c r="L19" s="102"/>
      <c r="M19" s="103"/>
      <c r="N19" s="104"/>
      <c r="O19" s="97"/>
      <c r="P19" s="97"/>
      <c r="Q19" s="97"/>
      <c r="R19" s="105"/>
      <c r="S19" s="97"/>
      <c r="T19" s="97"/>
      <c r="U19" s="97" t="str">
        <f t="shared" si="1"/>
        <v/>
      </c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</row>
    <row r="20" spans="1:60" x14ac:dyDescent="0.25">
      <c r="A20" s="106"/>
      <c r="B20" s="107"/>
      <c r="C20" s="107"/>
      <c r="D20" s="107"/>
      <c r="E20" s="108"/>
      <c r="F20" s="109" t="str">
        <f>IF(H20&lt;&gt;"",H20-Accueil!N$6+1/60/24,"")</f>
        <v/>
      </c>
      <c r="G20" s="107"/>
      <c r="H20" s="109"/>
      <c r="I20" s="110"/>
      <c r="J20" s="110"/>
      <c r="K20" s="111"/>
      <c r="L20" s="112"/>
      <c r="M20" s="113"/>
      <c r="N20" s="114"/>
      <c r="O20" s="107"/>
      <c r="P20" s="107"/>
      <c r="Q20" s="115"/>
      <c r="R20" s="116"/>
      <c r="S20" s="107"/>
      <c r="T20" s="107"/>
      <c r="U20" s="107" t="str">
        <f t="shared" si="1"/>
        <v/>
      </c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</row>
    <row r="21" spans="1:60" x14ac:dyDescent="0.25">
      <c r="A21" s="96"/>
      <c r="B21" s="97"/>
      <c r="C21" s="97"/>
      <c r="D21" s="97"/>
      <c r="E21" s="98"/>
      <c r="F21" s="99" t="str">
        <f>IF(H21&lt;&gt;"",H21-Accueil!N$6+1/60/24,"")</f>
        <v/>
      </c>
      <c r="G21" s="97"/>
      <c r="H21" s="99"/>
      <c r="I21" s="99"/>
      <c r="J21" s="100"/>
      <c r="K21" s="101"/>
      <c r="L21" s="102"/>
      <c r="M21" s="103"/>
      <c r="N21" s="104"/>
      <c r="O21" s="97"/>
      <c r="P21" s="97"/>
      <c r="Q21" s="97"/>
      <c r="R21" s="105"/>
      <c r="S21" s="97"/>
      <c r="T21" s="97"/>
      <c r="U21" s="97" t="str">
        <f t="shared" si="1"/>
        <v/>
      </c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</row>
    <row r="22" spans="1:60" x14ac:dyDescent="0.25">
      <c r="A22" s="106"/>
      <c r="B22" s="107"/>
      <c r="C22" s="107"/>
      <c r="D22" s="107"/>
      <c r="E22" s="108"/>
      <c r="F22" s="109" t="str">
        <f>IF(H22&lt;&gt;"",H22-Accueil!N$6+1/60/24,"")</f>
        <v/>
      </c>
      <c r="G22" s="107"/>
      <c r="H22" s="109"/>
      <c r="I22" s="110"/>
      <c r="J22" s="110"/>
      <c r="K22" s="111"/>
      <c r="L22" s="112"/>
      <c r="M22" s="113"/>
      <c r="N22" s="114"/>
      <c r="O22" s="107"/>
      <c r="P22" s="107"/>
      <c r="Q22" s="115"/>
      <c r="R22" s="116"/>
      <c r="S22" s="107"/>
      <c r="T22" s="107"/>
      <c r="U22" s="107" t="str">
        <f t="shared" si="1"/>
        <v/>
      </c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</row>
    <row r="23" spans="1:60" x14ac:dyDescent="0.25">
      <c r="A23" s="96"/>
      <c r="B23" s="97"/>
      <c r="C23" s="97"/>
      <c r="D23" s="97"/>
      <c r="E23" s="98"/>
      <c r="F23" s="99" t="str">
        <f>IF(H23&lt;&gt;"",H23-Accueil!N$6+1/60/24,"")</f>
        <v/>
      </c>
      <c r="G23" s="97"/>
      <c r="H23" s="99"/>
      <c r="I23" s="99"/>
      <c r="J23" s="100"/>
      <c r="K23" s="101"/>
      <c r="L23" s="102"/>
      <c r="M23" s="103"/>
      <c r="N23" s="104"/>
      <c r="O23" s="97"/>
      <c r="P23" s="97"/>
      <c r="Q23" s="97"/>
      <c r="R23" s="105"/>
      <c r="S23" s="97"/>
      <c r="T23" s="97"/>
      <c r="U23" s="97" t="str">
        <f t="shared" si="1"/>
        <v/>
      </c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</row>
    <row r="24" spans="1:60" x14ac:dyDescent="0.25">
      <c r="A24" s="106"/>
      <c r="B24" s="107"/>
      <c r="C24" s="107"/>
      <c r="D24" s="107"/>
      <c r="E24" s="108"/>
      <c r="F24" s="109" t="str">
        <f>IF(H24&lt;&gt;"",H24-Accueil!N$6+1/60/24,"")</f>
        <v/>
      </c>
      <c r="G24" s="107"/>
      <c r="H24" s="109"/>
      <c r="I24" s="110"/>
      <c r="J24" s="110"/>
      <c r="K24" s="111"/>
      <c r="L24" s="112"/>
      <c r="M24" s="113"/>
      <c r="N24" s="114"/>
      <c r="O24" s="107"/>
      <c r="P24" s="107"/>
      <c r="Q24" s="115"/>
      <c r="R24" s="116"/>
      <c r="S24" s="107"/>
      <c r="T24" s="107"/>
      <c r="U24" s="107" t="str">
        <f t="shared" si="1"/>
        <v/>
      </c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</row>
    <row r="25" spans="1:60" x14ac:dyDescent="0.25">
      <c r="A25" s="96"/>
      <c r="B25" s="97"/>
      <c r="C25" s="97"/>
      <c r="D25" s="97"/>
      <c r="E25" s="98"/>
      <c r="F25" s="99" t="str">
        <f>IF(H25&lt;&gt;"",H25-Accueil!N$6+1/60/24,"")</f>
        <v/>
      </c>
      <c r="G25" s="97"/>
      <c r="H25" s="99"/>
      <c r="I25" s="99"/>
      <c r="J25" s="100"/>
      <c r="K25" s="101"/>
      <c r="L25" s="102"/>
      <c r="M25" s="103"/>
      <c r="N25" s="104"/>
      <c r="O25" s="97"/>
      <c r="P25" s="97"/>
      <c r="Q25" s="97"/>
      <c r="R25" s="105"/>
      <c r="S25" s="97"/>
      <c r="T25" s="97"/>
      <c r="U25" s="97" t="str">
        <f t="shared" si="1"/>
        <v/>
      </c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</row>
    <row r="26" spans="1:60" x14ac:dyDescent="0.25">
      <c r="A26" s="106"/>
      <c r="B26" s="107"/>
      <c r="C26" s="107"/>
      <c r="D26" s="107"/>
      <c r="E26" s="108"/>
      <c r="F26" s="109" t="str">
        <f>IF(H26&lt;&gt;"",H26-Accueil!N$6+1/60/24,"")</f>
        <v/>
      </c>
      <c r="G26" s="107"/>
      <c r="H26" s="109"/>
      <c r="I26" s="110"/>
      <c r="J26" s="110"/>
      <c r="K26" s="111"/>
      <c r="L26" s="112"/>
      <c r="M26" s="113"/>
      <c r="N26" s="114"/>
      <c r="O26" s="107"/>
      <c r="P26" s="107"/>
      <c r="Q26" s="115"/>
      <c r="R26" s="116"/>
      <c r="S26" s="107"/>
      <c r="T26" s="107"/>
      <c r="U26" s="107" t="str">
        <f t="shared" si="1"/>
        <v/>
      </c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</row>
    <row r="27" spans="1:60" x14ac:dyDescent="0.25">
      <c r="A27" s="96"/>
      <c r="B27" s="97"/>
      <c r="C27" s="97"/>
      <c r="D27" s="97"/>
      <c r="E27" s="98"/>
      <c r="F27" s="99" t="str">
        <f>IF(H27&lt;&gt;"",H27-Accueil!N$6+1/60/24,"")</f>
        <v/>
      </c>
      <c r="G27" s="97"/>
      <c r="H27" s="99"/>
      <c r="I27" s="99"/>
      <c r="J27" s="100"/>
      <c r="K27" s="101"/>
      <c r="L27" s="102"/>
      <c r="M27" s="103"/>
      <c r="N27" s="104"/>
      <c r="O27" s="97"/>
      <c r="P27" s="97"/>
      <c r="Q27" s="97"/>
      <c r="R27" s="105"/>
      <c r="S27" s="97"/>
      <c r="T27" s="97"/>
      <c r="U27" s="97" t="str">
        <f t="shared" si="1"/>
        <v/>
      </c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</row>
    <row r="28" spans="1:60" x14ac:dyDescent="0.25">
      <c r="A28" s="106"/>
      <c r="B28" s="107"/>
      <c r="C28" s="107"/>
      <c r="D28" s="107"/>
      <c r="E28" s="108"/>
      <c r="F28" s="109" t="str">
        <f>IF(H28&lt;&gt;"",H28-Accueil!N$6+1/60/24,"")</f>
        <v/>
      </c>
      <c r="G28" s="107"/>
      <c r="H28" s="109"/>
      <c r="I28" s="110"/>
      <c r="J28" s="110"/>
      <c r="K28" s="111"/>
      <c r="L28" s="112"/>
      <c r="M28" s="113"/>
      <c r="N28" s="114"/>
      <c r="O28" s="107"/>
      <c r="P28" s="107"/>
      <c r="Q28" s="115"/>
      <c r="R28" s="116"/>
      <c r="S28" s="107"/>
      <c r="T28" s="107"/>
      <c r="U28" s="107" t="str">
        <f t="shared" si="1"/>
        <v/>
      </c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</row>
    <row r="29" spans="1:60" x14ac:dyDescent="0.25">
      <c r="A29" s="96"/>
      <c r="B29" s="97"/>
      <c r="C29" s="97"/>
      <c r="D29" s="97"/>
      <c r="E29" s="98"/>
      <c r="F29" s="99" t="str">
        <f>IF(H29&lt;&gt;"",H29-Accueil!N$6+1/60/24,"")</f>
        <v/>
      </c>
      <c r="G29" s="97"/>
      <c r="H29" s="99"/>
      <c r="I29" s="99"/>
      <c r="J29" s="100"/>
      <c r="K29" s="101"/>
      <c r="L29" s="102"/>
      <c r="M29" s="103"/>
      <c r="N29" s="104"/>
      <c r="O29" s="97"/>
      <c r="P29" s="97"/>
      <c r="Q29" s="97"/>
      <c r="R29" s="105"/>
      <c r="S29" s="97"/>
      <c r="T29" s="97"/>
      <c r="U29" s="97" t="str">
        <f t="shared" si="1"/>
        <v/>
      </c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97"/>
    </row>
    <row r="30" spans="1:60" x14ac:dyDescent="0.25">
      <c r="A30" s="106"/>
      <c r="B30" s="107"/>
      <c r="C30" s="107"/>
      <c r="D30" s="107"/>
      <c r="E30" s="108"/>
      <c r="F30" s="109" t="str">
        <f>IF(H30&lt;&gt;"",H30-Accueil!N$6+1/60/24,"")</f>
        <v/>
      </c>
      <c r="G30" s="107"/>
      <c r="H30" s="109"/>
      <c r="I30" s="110"/>
      <c r="J30" s="110"/>
      <c r="K30" s="111"/>
      <c r="L30" s="112"/>
      <c r="M30" s="113"/>
      <c r="N30" s="114"/>
      <c r="O30" s="107"/>
      <c r="P30" s="107"/>
      <c r="Q30" s="115"/>
      <c r="R30" s="116"/>
      <c r="S30" s="107"/>
      <c r="T30" s="107"/>
      <c r="U30" s="107" t="str">
        <f t="shared" si="1"/>
        <v/>
      </c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</row>
    <row r="31" spans="1:60" x14ac:dyDescent="0.25">
      <c r="A31" s="96"/>
      <c r="B31" s="97"/>
      <c r="C31" s="97"/>
      <c r="D31" s="97"/>
      <c r="E31" s="98"/>
      <c r="F31" s="99" t="str">
        <f>IF(H31&lt;&gt;"",H31-Accueil!N$6+1/60/24,"")</f>
        <v/>
      </c>
      <c r="G31" s="97"/>
      <c r="H31" s="99"/>
      <c r="I31" s="99"/>
      <c r="J31" s="100"/>
      <c r="K31" s="101"/>
      <c r="L31" s="102"/>
      <c r="M31" s="103"/>
      <c r="N31" s="104"/>
      <c r="O31" s="97"/>
      <c r="P31" s="97"/>
      <c r="Q31" s="97"/>
      <c r="R31" s="105"/>
      <c r="S31" s="97"/>
      <c r="T31" s="97"/>
      <c r="U31" s="97" t="str">
        <f t="shared" si="1"/>
        <v/>
      </c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</row>
    <row r="32" spans="1:60" x14ac:dyDescent="0.25">
      <c r="A32" s="106"/>
      <c r="B32" s="107"/>
      <c r="C32" s="107"/>
      <c r="D32" s="107"/>
      <c r="E32" s="108"/>
      <c r="F32" s="109" t="str">
        <f>IF(H32&lt;&gt;"",H32-Accueil!N$6+1/60/24,"")</f>
        <v/>
      </c>
      <c r="G32" s="107"/>
      <c r="H32" s="109"/>
      <c r="I32" s="110"/>
      <c r="J32" s="110"/>
      <c r="K32" s="111"/>
      <c r="L32" s="112"/>
      <c r="M32" s="113"/>
      <c r="N32" s="114"/>
      <c r="O32" s="107"/>
      <c r="P32" s="107"/>
      <c r="Q32" s="115"/>
      <c r="R32" s="116"/>
      <c r="S32" s="107"/>
      <c r="T32" s="107"/>
      <c r="U32" s="107" t="str">
        <f t="shared" ref="U32:U66" si="2">IF(B32="","",IF(I32="",0,1))</f>
        <v/>
      </c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</row>
    <row r="33" spans="1:60" x14ac:dyDescent="0.25">
      <c r="A33" s="96"/>
      <c r="B33" s="97"/>
      <c r="C33" s="97"/>
      <c r="D33" s="97"/>
      <c r="E33" s="98"/>
      <c r="F33" s="99" t="str">
        <f>IF(H33&lt;&gt;"",H33-Accueil!N$6+1/60/24,"")</f>
        <v/>
      </c>
      <c r="G33" s="97"/>
      <c r="H33" s="99"/>
      <c r="I33" s="99"/>
      <c r="J33" s="100"/>
      <c r="K33" s="101"/>
      <c r="L33" s="102"/>
      <c r="M33" s="103"/>
      <c r="N33" s="104"/>
      <c r="O33" s="97"/>
      <c r="P33" s="97"/>
      <c r="Q33" s="97"/>
      <c r="R33" s="105"/>
      <c r="S33" s="97"/>
      <c r="T33" s="97"/>
      <c r="U33" s="97" t="str">
        <f t="shared" si="2"/>
        <v/>
      </c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</row>
    <row r="34" spans="1:60" x14ac:dyDescent="0.25">
      <c r="A34" s="106"/>
      <c r="B34" s="107"/>
      <c r="C34" s="107"/>
      <c r="D34" s="107"/>
      <c r="E34" s="108"/>
      <c r="F34" s="109" t="str">
        <f>IF(H34&lt;&gt;"",H34-Accueil!N$6+1/60/24,"")</f>
        <v/>
      </c>
      <c r="G34" s="107"/>
      <c r="H34" s="109"/>
      <c r="I34" s="110"/>
      <c r="J34" s="110"/>
      <c r="K34" s="111"/>
      <c r="L34" s="112"/>
      <c r="M34" s="113"/>
      <c r="N34" s="114"/>
      <c r="O34" s="107"/>
      <c r="P34" s="107"/>
      <c r="Q34" s="115"/>
      <c r="R34" s="116"/>
      <c r="S34" s="107"/>
      <c r="T34" s="107"/>
      <c r="U34" s="107" t="str">
        <f t="shared" si="2"/>
        <v/>
      </c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</row>
    <row r="35" spans="1:60" x14ac:dyDescent="0.25">
      <c r="A35" s="96"/>
      <c r="B35" s="97"/>
      <c r="C35" s="97"/>
      <c r="D35" s="97"/>
      <c r="E35" s="98"/>
      <c r="F35" s="99" t="str">
        <f>IF(H35&lt;&gt;"",H35-Accueil!N$6+1/60/24,"")</f>
        <v/>
      </c>
      <c r="G35" s="97"/>
      <c r="H35" s="99"/>
      <c r="I35" s="99"/>
      <c r="J35" s="100"/>
      <c r="K35" s="101"/>
      <c r="L35" s="102"/>
      <c r="M35" s="103"/>
      <c r="N35" s="104"/>
      <c r="O35" s="97"/>
      <c r="P35" s="97"/>
      <c r="Q35" s="97"/>
      <c r="R35" s="105"/>
      <c r="S35" s="97"/>
      <c r="T35" s="97"/>
      <c r="U35" s="97" t="str">
        <f t="shared" si="2"/>
        <v/>
      </c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</row>
    <row r="36" spans="1:60" x14ac:dyDescent="0.25">
      <c r="A36" s="106"/>
      <c r="B36" s="107"/>
      <c r="C36" s="107"/>
      <c r="D36" s="107"/>
      <c r="E36" s="108"/>
      <c r="F36" s="109" t="str">
        <f>IF(H36&lt;&gt;"",H36-Accueil!N$6+1/60/24,"")</f>
        <v/>
      </c>
      <c r="G36" s="107"/>
      <c r="H36" s="109"/>
      <c r="I36" s="110"/>
      <c r="J36" s="110"/>
      <c r="K36" s="111"/>
      <c r="L36" s="112"/>
      <c r="M36" s="113"/>
      <c r="N36" s="114"/>
      <c r="O36" s="107"/>
      <c r="P36" s="107"/>
      <c r="Q36" s="115"/>
      <c r="R36" s="116"/>
      <c r="S36" s="107"/>
      <c r="T36" s="107"/>
      <c r="U36" s="107" t="str">
        <f t="shared" si="2"/>
        <v/>
      </c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</row>
    <row r="37" spans="1:60" x14ac:dyDescent="0.25">
      <c r="A37" s="96"/>
      <c r="B37" s="97"/>
      <c r="C37" s="97"/>
      <c r="D37" s="97"/>
      <c r="E37" s="98"/>
      <c r="F37" s="99" t="str">
        <f>IF(H37&lt;&gt;"",H37-Accueil!N$6+1/60/24,"")</f>
        <v/>
      </c>
      <c r="G37" s="97"/>
      <c r="H37" s="99"/>
      <c r="I37" s="99"/>
      <c r="J37" s="100"/>
      <c r="K37" s="101"/>
      <c r="L37" s="102"/>
      <c r="M37" s="103"/>
      <c r="N37" s="104"/>
      <c r="O37" s="97"/>
      <c r="P37" s="97"/>
      <c r="Q37" s="97"/>
      <c r="R37" s="105"/>
      <c r="S37" s="97"/>
      <c r="T37" s="97"/>
      <c r="U37" s="97" t="str">
        <f t="shared" si="2"/>
        <v/>
      </c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97"/>
    </row>
    <row r="38" spans="1:60" x14ac:dyDescent="0.25">
      <c r="A38" s="106"/>
      <c r="B38" s="107"/>
      <c r="C38" s="107"/>
      <c r="D38" s="107"/>
      <c r="E38" s="108"/>
      <c r="F38" s="109" t="str">
        <f>IF(H38&lt;&gt;"",H38-Accueil!N$6+1/60/24,"")</f>
        <v/>
      </c>
      <c r="G38" s="107"/>
      <c r="H38" s="109"/>
      <c r="I38" s="110"/>
      <c r="J38" s="110"/>
      <c r="K38" s="111"/>
      <c r="L38" s="112"/>
      <c r="M38" s="113"/>
      <c r="N38" s="114"/>
      <c r="O38" s="107"/>
      <c r="P38" s="107"/>
      <c r="Q38" s="115"/>
      <c r="R38" s="116"/>
      <c r="S38" s="107"/>
      <c r="T38" s="107"/>
      <c r="U38" s="107" t="str">
        <f t="shared" si="2"/>
        <v/>
      </c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</row>
    <row r="39" spans="1:60" x14ac:dyDescent="0.25">
      <c r="A39" s="96"/>
      <c r="B39" s="97"/>
      <c r="C39" s="97"/>
      <c r="D39" s="97"/>
      <c r="E39" s="98"/>
      <c r="F39" s="99" t="str">
        <f>IF(H39&lt;&gt;"",H39-Accueil!N$6+1/60/24,"")</f>
        <v/>
      </c>
      <c r="G39" s="97"/>
      <c r="H39" s="99"/>
      <c r="I39" s="99"/>
      <c r="J39" s="100"/>
      <c r="K39" s="101"/>
      <c r="L39" s="102"/>
      <c r="M39" s="103"/>
      <c r="N39" s="104"/>
      <c r="O39" s="97"/>
      <c r="P39" s="97"/>
      <c r="Q39" s="97"/>
      <c r="R39" s="105"/>
      <c r="S39" s="97"/>
      <c r="T39" s="97"/>
      <c r="U39" s="97" t="str">
        <f t="shared" si="2"/>
        <v/>
      </c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</row>
    <row r="40" spans="1:60" x14ac:dyDescent="0.25">
      <c r="A40" s="106"/>
      <c r="B40" s="107"/>
      <c r="C40" s="107"/>
      <c r="D40" s="107"/>
      <c r="E40" s="108"/>
      <c r="F40" s="109" t="str">
        <f>IF(H40&lt;&gt;"",H40-Accueil!N$6+1/60/24,"")</f>
        <v/>
      </c>
      <c r="G40" s="107"/>
      <c r="H40" s="109"/>
      <c r="I40" s="110"/>
      <c r="J40" s="110"/>
      <c r="K40" s="111"/>
      <c r="L40" s="112"/>
      <c r="M40" s="113"/>
      <c r="N40" s="114"/>
      <c r="O40" s="107"/>
      <c r="P40" s="107"/>
      <c r="Q40" s="115"/>
      <c r="R40" s="116"/>
      <c r="S40" s="107"/>
      <c r="T40" s="107"/>
      <c r="U40" s="107" t="str">
        <f t="shared" si="2"/>
        <v/>
      </c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</row>
    <row r="41" spans="1:60" x14ac:dyDescent="0.25">
      <c r="A41" s="96"/>
      <c r="B41" s="97"/>
      <c r="C41" s="97"/>
      <c r="D41" s="97"/>
      <c r="E41" s="98"/>
      <c r="F41" s="99" t="str">
        <f>IF(H41&lt;&gt;"",H41-Accueil!N$6+1/60/24,"")</f>
        <v/>
      </c>
      <c r="G41" s="97"/>
      <c r="H41" s="99"/>
      <c r="I41" s="99"/>
      <c r="J41" s="100"/>
      <c r="K41" s="101"/>
      <c r="L41" s="102"/>
      <c r="M41" s="103"/>
      <c r="N41" s="104"/>
      <c r="O41" s="97"/>
      <c r="P41" s="97"/>
      <c r="Q41" s="97"/>
      <c r="R41" s="105"/>
      <c r="S41" s="97"/>
      <c r="T41" s="97"/>
      <c r="U41" s="97" t="str">
        <f t="shared" si="2"/>
        <v/>
      </c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</row>
    <row r="42" spans="1:60" x14ac:dyDescent="0.25">
      <c r="A42" s="106"/>
      <c r="B42" s="107"/>
      <c r="C42" s="107"/>
      <c r="D42" s="107"/>
      <c r="E42" s="108"/>
      <c r="F42" s="109" t="str">
        <f>IF(H42&lt;&gt;"",H42-Accueil!N$6+1/60/24,"")</f>
        <v/>
      </c>
      <c r="G42" s="107"/>
      <c r="H42" s="109"/>
      <c r="I42" s="110"/>
      <c r="J42" s="110"/>
      <c r="K42" s="111"/>
      <c r="L42" s="112"/>
      <c r="M42" s="113"/>
      <c r="N42" s="114"/>
      <c r="O42" s="107"/>
      <c r="P42" s="107"/>
      <c r="Q42" s="115"/>
      <c r="R42" s="116"/>
      <c r="S42" s="107"/>
      <c r="T42" s="107"/>
      <c r="U42" s="107" t="str">
        <f t="shared" si="2"/>
        <v/>
      </c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</row>
    <row r="43" spans="1:60" x14ac:dyDescent="0.25">
      <c r="A43" s="96"/>
      <c r="B43" s="97"/>
      <c r="C43" s="97"/>
      <c r="D43" s="97"/>
      <c r="E43" s="98"/>
      <c r="F43" s="99" t="str">
        <f>IF(H43&lt;&gt;"",H43-Accueil!N$6+1/60/24,"")</f>
        <v/>
      </c>
      <c r="G43" s="97"/>
      <c r="H43" s="99"/>
      <c r="I43" s="99"/>
      <c r="J43" s="100"/>
      <c r="K43" s="101"/>
      <c r="L43" s="102"/>
      <c r="M43" s="103"/>
      <c r="N43" s="104"/>
      <c r="O43" s="97"/>
      <c r="P43" s="97"/>
      <c r="Q43" s="97"/>
      <c r="R43" s="105"/>
      <c r="S43" s="97"/>
      <c r="T43" s="97"/>
      <c r="U43" s="97" t="str">
        <f t="shared" si="2"/>
        <v/>
      </c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</row>
    <row r="44" spans="1:60" x14ac:dyDescent="0.25">
      <c r="A44" s="106"/>
      <c r="B44" s="107"/>
      <c r="C44" s="107"/>
      <c r="D44" s="107"/>
      <c r="E44" s="108"/>
      <c r="F44" s="109" t="str">
        <f>IF(H44&lt;&gt;"",H44-Accueil!N$6+1/60/24,"")</f>
        <v/>
      </c>
      <c r="G44" s="107"/>
      <c r="H44" s="109"/>
      <c r="I44" s="110"/>
      <c r="J44" s="110"/>
      <c r="K44" s="111"/>
      <c r="L44" s="112"/>
      <c r="M44" s="113"/>
      <c r="N44" s="114"/>
      <c r="O44" s="107"/>
      <c r="P44" s="107"/>
      <c r="Q44" s="115"/>
      <c r="R44" s="116"/>
      <c r="S44" s="107"/>
      <c r="T44" s="107"/>
      <c r="U44" s="107" t="str">
        <f t="shared" si="2"/>
        <v/>
      </c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  <c r="BG44" s="107"/>
      <c r="BH44" s="107"/>
    </row>
    <row r="45" spans="1:60" x14ac:dyDescent="0.25">
      <c r="A45" s="96"/>
      <c r="B45" s="97"/>
      <c r="C45" s="97"/>
      <c r="D45" s="97"/>
      <c r="E45" s="98"/>
      <c r="F45" s="99" t="str">
        <f>IF(H45&lt;&gt;"",H45-Accueil!N$6+1/60/24,"")</f>
        <v/>
      </c>
      <c r="G45" s="97"/>
      <c r="H45" s="99"/>
      <c r="I45" s="99"/>
      <c r="J45" s="100"/>
      <c r="K45" s="101"/>
      <c r="L45" s="102"/>
      <c r="M45" s="103"/>
      <c r="N45" s="104"/>
      <c r="O45" s="97"/>
      <c r="P45" s="97"/>
      <c r="Q45" s="97"/>
      <c r="R45" s="105"/>
      <c r="S45" s="97"/>
      <c r="T45" s="97"/>
      <c r="U45" s="97" t="str">
        <f t="shared" si="2"/>
        <v/>
      </c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</row>
    <row r="46" spans="1:60" x14ac:dyDescent="0.25">
      <c r="A46" s="106"/>
      <c r="B46" s="107"/>
      <c r="C46" s="107"/>
      <c r="D46" s="107"/>
      <c r="E46" s="108"/>
      <c r="F46" s="109" t="str">
        <f>IF(H46&lt;&gt;"",H46-Accueil!N$6+1/60/24,"")</f>
        <v/>
      </c>
      <c r="G46" s="107"/>
      <c r="H46" s="109"/>
      <c r="I46" s="110"/>
      <c r="J46" s="110"/>
      <c r="K46" s="111"/>
      <c r="L46" s="112"/>
      <c r="M46" s="113"/>
      <c r="N46" s="114"/>
      <c r="O46" s="107"/>
      <c r="P46" s="107"/>
      <c r="Q46" s="115"/>
      <c r="R46" s="116"/>
      <c r="S46" s="107"/>
      <c r="T46" s="107"/>
      <c r="U46" s="107" t="str">
        <f t="shared" si="2"/>
        <v/>
      </c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107"/>
      <c r="BB46" s="107"/>
      <c r="BC46" s="107"/>
      <c r="BD46" s="107"/>
      <c r="BE46" s="107"/>
      <c r="BF46" s="107"/>
      <c r="BG46" s="107"/>
      <c r="BH46" s="107"/>
    </row>
    <row r="47" spans="1:60" x14ac:dyDescent="0.25">
      <c r="A47" s="96"/>
      <c r="B47" s="97"/>
      <c r="C47" s="97"/>
      <c r="D47" s="97"/>
      <c r="E47" s="98"/>
      <c r="F47" s="99" t="str">
        <f>IF(H47&lt;&gt;"",H47-Accueil!N$6+1/60/24,"")</f>
        <v/>
      </c>
      <c r="G47" s="97"/>
      <c r="H47" s="99"/>
      <c r="I47" s="99"/>
      <c r="J47" s="100"/>
      <c r="K47" s="101"/>
      <c r="L47" s="102"/>
      <c r="M47" s="103"/>
      <c r="N47" s="104"/>
      <c r="O47" s="97"/>
      <c r="P47" s="97"/>
      <c r="Q47" s="97"/>
      <c r="R47" s="105"/>
      <c r="S47" s="97"/>
      <c r="T47" s="97"/>
      <c r="U47" s="97" t="str">
        <f t="shared" si="2"/>
        <v/>
      </c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</row>
    <row r="48" spans="1:60" x14ac:dyDescent="0.25">
      <c r="A48" s="106"/>
      <c r="B48" s="107"/>
      <c r="C48" s="107"/>
      <c r="D48" s="107"/>
      <c r="E48" s="108"/>
      <c r="F48" s="109" t="str">
        <f>IF(H48&lt;&gt;"",H48-Accueil!N$6+1/60/24,"")</f>
        <v/>
      </c>
      <c r="G48" s="107"/>
      <c r="H48" s="109"/>
      <c r="I48" s="110"/>
      <c r="J48" s="110"/>
      <c r="K48" s="111"/>
      <c r="L48" s="112"/>
      <c r="M48" s="113"/>
      <c r="N48" s="114"/>
      <c r="O48" s="107"/>
      <c r="P48" s="107"/>
      <c r="Q48" s="115"/>
      <c r="R48" s="116"/>
      <c r="S48" s="107"/>
      <c r="T48" s="107"/>
      <c r="U48" s="107" t="str">
        <f t="shared" si="2"/>
        <v/>
      </c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  <c r="AZ48" s="107"/>
      <c r="BA48" s="107"/>
      <c r="BB48" s="107"/>
      <c r="BC48" s="107"/>
      <c r="BD48" s="107"/>
      <c r="BE48" s="107"/>
      <c r="BF48" s="107"/>
      <c r="BG48" s="107"/>
      <c r="BH48" s="107"/>
    </row>
    <row r="49" spans="1:60" x14ac:dyDescent="0.25">
      <c r="A49" s="96"/>
      <c r="B49" s="97"/>
      <c r="C49" s="97"/>
      <c r="D49" s="97"/>
      <c r="E49" s="98"/>
      <c r="F49" s="99" t="str">
        <f>IF(H49&lt;&gt;"",H49-Accueil!N$6+1/60/24,"")</f>
        <v/>
      </c>
      <c r="G49" s="97"/>
      <c r="H49" s="99"/>
      <c r="I49" s="99"/>
      <c r="J49" s="100"/>
      <c r="K49" s="101"/>
      <c r="L49" s="157"/>
      <c r="M49" s="103"/>
      <c r="N49" s="104"/>
      <c r="O49" s="97"/>
      <c r="P49" s="97"/>
      <c r="Q49" s="97"/>
      <c r="R49" s="105"/>
      <c r="S49" s="97"/>
      <c r="T49" s="97"/>
      <c r="U49" s="97" t="str">
        <f t="shared" si="2"/>
        <v/>
      </c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97"/>
    </row>
    <row r="50" spans="1:60" x14ac:dyDescent="0.25">
      <c r="A50" s="106"/>
      <c r="E50" s="169"/>
      <c r="F50" s="109" t="str">
        <f>IF(H50&lt;&gt;"",H50-Accueil!N$6+1/60/24,"")</f>
        <v/>
      </c>
      <c r="G50" s="107"/>
      <c r="H50" s="109"/>
      <c r="I50" s="110"/>
      <c r="J50" s="110"/>
      <c r="K50" s="111"/>
      <c r="Q50" s="115"/>
      <c r="R50" s="116"/>
      <c r="U50" s="107" t="str">
        <f t="shared" si="2"/>
        <v/>
      </c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</row>
    <row r="51" spans="1:60" x14ac:dyDescent="0.25">
      <c r="A51" s="96"/>
      <c r="B51" s="97"/>
      <c r="C51" s="97"/>
      <c r="D51" s="97"/>
      <c r="E51" s="98"/>
      <c r="F51" s="99" t="str">
        <f>IF(H51&lt;&gt;"",H51-Accueil!N$6+1/60/24,"")</f>
        <v/>
      </c>
      <c r="G51" s="97"/>
      <c r="H51" s="99"/>
      <c r="I51" s="99"/>
      <c r="J51" s="100"/>
      <c r="K51" s="101"/>
      <c r="L51" s="102"/>
      <c r="M51" s="103"/>
      <c r="N51" s="104"/>
      <c r="O51" s="97"/>
      <c r="P51" s="97"/>
      <c r="Q51" s="97"/>
      <c r="R51" s="105"/>
      <c r="S51" s="97"/>
      <c r="T51" s="97"/>
      <c r="U51" s="97" t="str">
        <f t="shared" si="2"/>
        <v/>
      </c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H51" s="97"/>
    </row>
    <row r="52" spans="1:60" x14ac:dyDescent="0.25">
      <c r="A52" s="106"/>
      <c r="B52" s="107"/>
      <c r="C52" s="107"/>
      <c r="D52" s="107"/>
      <c r="E52" s="108"/>
      <c r="F52" s="109" t="str">
        <f>IF(H52&lt;&gt;"",H52-Accueil!N$6+1/60/24,"")</f>
        <v/>
      </c>
      <c r="G52" s="107"/>
      <c r="H52" s="109"/>
      <c r="I52" s="110"/>
      <c r="J52" s="110"/>
      <c r="K52" s="111"/>
      <c r="L52" s="112"/>
      <c r="M52" s="113"/>
      <c r="N52" s="114"/>
      <c r="O52" s="107"/>
      <c r="P52" s="107"/>
      <c r="Q52" s="115"/>
      <c r="R52" s="116"/>
      <c r="S52" s="107"/>
      <c r="T52" s="107"/>
      <c r="U52" s="107" t="str">
        <f t="shared" si="2"/>
        <v/>
      </c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</row>
    <row r="53" spans="1:60" x14ac:dyDescent="0.25">
      <c r="A53" s="96"/>
      <c r="B53" s="97"/>
      <c r="C53" s="97"/>
      <c r="D53" s="97"/>
      <c r="E53" s="98"/>
      <c r="F53" s="99" t="str">
        <f>IF(H53&lt;&gt;"",H53-Accueil!N$6+1/60/24,"")</f>
        <v/>
      </c>
      <c r="G53" s="97"/>
      <c r="H53" s="99"/>
      <c r="I53" s="99"/>
      <c r="J53" s="100"/>
      <c r="K53" s="101"/>
      <c r="L53" s="102"/>
      <c r="M53" s="103"/>
      <c r="N53" s="104"/>
      <c r="O53" s="97"/>
      <c r="P53" s="97"/>
      <c r="Q53" s="97"/>
      <c r="R53" s="105"/>
      <c r="S53" s="97"/>
      <c r="T53" s="97"/>
      <c r="U53" s="97" t="str">
        <f t="shared" si="2"/>
        <v/>
      </c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H53" s="97"/>
    </row>
    <row r="54" spans="1:60" x14ac:dyDescent="0.25">
      <c r="A54" s="106"/>
      <c r="B54" s="107"/>
      <c r="C54" s="107"/>
      <c r="D54" s="107"/>
      <c r="E54" s="108"/>
      <c r="F54" s="109" t="str">
        <f>IF(H54&lt;&gt;"",H54-Accueil!N$6+1/60/24,"")</f>
        <v/>
      </c>
      <c r="G54" s="107"/>
      <c r="H54" s="109"/>
      <c r="I54" s="110"/>
      <c r="J54" s="110"/>
      <c r="K54" s="111"/>
      <c r="L54" s="112"/>
      <c r="M54" s="113"/>
      <c r="N54" s="114"/>
      <c r="O54" s="107"/>
      <c r="P54" s="107"/>
      <c r="Q54" s="115"/>
      <c r="R54" s="116"/>
      <c r="S54" s="107"/>
      <c r="T54" s="107"/>
      <c r="U54" s="107" t="str">
        <f t="shared" si="2"/>
        <v/>
      </c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</row>
    <row r="55" spans="1:60" x14ac:dyDescent="0.25">
      <c r="A55" s="96"/>
      <c r="B55" s="97"/>
      <c r="C55" s="97"/>
      <c r="D55" s="97"/>
      <c r="E55" s="98"/>
      <c r="F55" s="99" t="str">
        <f>IF(H55&lt;&gt;"",H55-Accueil!N$6+1/60/24,"")</f>
        <v/>
      </c>
      <c r="G55" s="97"/>
      <c r="H55" s="99"/>
      <c r="I55" s="99"/>
      <c r="J55" s="100"/>
      <c r="K55" s="101"/>
      <c r="L55" s="102"/>
      <c r="M55" s="103"/>
      <c r="N55" s="104"/>
      <c r="O55" s="97"/>
      <c r="P55" s="97"/>
      <c r="Q55" s="97"/>
      <c r="R55" s="105"/>
      <c r="S55" s="97"/>
      <c r="T55" s="97"/>
      <c r="U55" s="97" t="str">
        <f t="shared" si="2"/>
        <v/>
      </c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</row>
    <row r="56" spans="1:60" x14ac:dyDescent="0.25">
      <c r="A56" s="106"/>
      <c r="B56" s="107"/>
      <c r="C56" s="107"/>
      <c r="D56" s="107"/>
      <c r="E56" s="108"/>
      <c r="F56" s="109" t="str">
        <f>IF(H56&lt;&gt;"",H56-Accueil!N$6+1/60/24,"")</f>
        <v/>
      </c>
      <c r="G56" s="107"/>
      <c r="H56" s="109"/>
      <c r="I56" s="110"/>
      <c r="J56" s="110"/>
      <c r="K56" s="111"/>
      <c r="L56" s="112"/>
      <c r="M56" s="113"/>
      <c r="N56" s="114"/>
      <c r="O56" s="107"/>
      <c r="P56" s="107"/>
      <c r="Q56" s="115"/>
      <c r="R56" s="116"/>
      <c r="S56" s="107"/>
      <c r="T56" s="107"/>
      <c r="U56" s="107" t="str">
        <f t="shared" si="2"/>
        <v/>
      </c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</row>
    <row r="57" spans="1:60" x14ac:dyDescent="0.25">
      <c r="A57" s="96"/>
      <c r="B57" s="97"/>
      <c r="C57" s="97"/>
      <c r="D57" s="97"/>
      <c r="E57" s="98"/>
      <c r="F57" s="99" t="str">
        <f>IF(H57&lt;&gt;"",H57-Accueil!N$6+1/60/24,"")</f>
        <v/>
      </c>
      <c r="G57" s="97"/>
      <c r="H57" s="99"/>
      <c r="I57" s="99"/>
      <c r="J57" s="100"/>
      <c r="K57" s="101"/>
      <c r="L57" s="102"/>
      <c r="M57" s="103"/>
      <c r="N57" s="104"/>
      <c r="O57" s="97"/>
      <c r="P57" s="97"/>
      <c r="Q57" s="97"/>
      <c r="R57" s="105"/>
      <c r="S57" s="97"/>
      <c r="T57" s="97"/>
      <c r="U57" s="97" t="str">
        <f t="shared" si="2"/>
        <v/>
      </c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</row>
    <row r="58" spans="1:60" x14ac:dyDescent="0.25">
      <c r="A58" s="106"/>
      <c r="B58" s="107"/>
      <c r="C58" s="107"/>
      <c r="D58" s="107"/>
      <c r="E58" s="108"/>
      <c r="F58" s="109" t="str">
        <f>IF(H58&lt;&gt;"",H58-Accueil!N$6+1/60/24,"")</f>
        <v/>
      </c>
      <c r="G58" s="107"/>
      <c r="H58" s="109"/>
      <c r="I58" s="110"/>
      <c r="J58" s="110"/>
      <c r="K58" s="111"/>
      <c r="L58" s="112"/>
      <c r="M58" s="113"/>
      <c r="N58" s="114"/>
      <c r="O58" s="107"/>
      <c r="P58" s="107"/>
      <c r="Q58" s="115"/>
      <c r="R58" s="116"/>
      <c r="S58" s="107"/>
      <c r="T58" s="107"/>
      <c r="U58" s="107" t="str">
        <f t="shared" si="2"/>
        <v/>
      </c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</row>
    <row r="59" spans="1:60" x14ac:dyDescent="0.25">
      <c r="A59" s="96"/>
      <c r="B59" s="97"/>
      <c r="C59" s="97"/>
      <c r="D59" s="97"/>
      <c r="E59" s="98"/>
      <c r="F59" s="99" t="str">
        <f>IF(H59&lt;&gt;"",H59-Accueil!N$6+1/60/24,"")</f>
        <v/>
      </c>
      <c r="G59" s="97"/>
      <c r="H59" s="99"/>
      <c r="I59" s="99"/>
      <c r="J59" s="100"/>
      <c r="K59" s="101"/>
      <c r="L59" s="102"/>
      <c r="M59" s="103"/>
      <c r="N59" s="104"/>
      <c r="O59" s="97"/>
      <c r="P59" s="97"/>
      <c r="Q59" s="97"/>
      <c r="R59" s="105"/>
      <c r="S59" s="97"/>
      <c r="T59" s="97"/>
      <c r="U59" s="97" t="str">
        <f t="shared" si="2"/>
        <v/>
      </c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H59" s="97"/>
    </row>
    <row r="60" spans="1:60" x14ac:dyDescent="0.25">
      <c r="A60" s="106"/>
      <c r="B60" s="107"/>
      <c r="C60" s="107"/>
      <c r="D60" s="107"/>
      <c r="E60" s="108"/>
      <c r="F60" s="109" t="str">
        <f>IF(H60&lt;&gt;"",H60-Accueil!N$6+1/60/24,"")</f>
        <v/>
      </c>
      <c r="G60" s="107"/>
      <c r="H60" s="109"/>
      <c r="I60" s="110"/>
      <c r="J60" s="110"/>
      <c r="K60" s="111"/>
      <c r="L60" s="112"/>
      <c r="M60" s="113"/>
      <c r="N60" s="114"/>
      <c r="O60" s="107"/>
      <c r="P60" s="107"/>
      <c r="Q60" s="115"/>
      <c r="R60" s="116"/>
      <c r="S60" s="107"/>
      <c r="T60" s="107"/>
      <c r="U60" s="107" t="str">
        <f t="shared" si="2"/>
        <v/>
      </c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</row>
    <row r="61" spans="1:60" x14ac:dyDescent="0.25">
      <c r="A61" s="96"/>
      <c r="B61" s="97"/>
      <c r="C61" s="97"/>
      <c r="D61" s="97"/>
      <c r="E61" s="98"/>
      <c r="F61" s="99" t="str">
        <f>IF(H61&lt;&gt;"",H61-Accueil!N$6+1/60/24,"")</f>
        <v/>
      </c>
      <c r="G61" s="97"/>
      <c r="H61" s="99"/>
      <c r="I61" s="99"/>
      <c r="J61" s="100"/>
      <c r="K61" s="101"/>
      <c r="L61" s="102"/>
      <c r="M61" s="103"/>
      <c r="N61" s="104"/>
      <c r="O61" s="97"/>
      <c r="P61" s="97"/>
      <c r="Q61" s="97"/>
      <c r="R61" s="105"/>
      <c r="S61" s="97"/>
      <c r="T61" s="97"/>
      <c r="U61" s="97" t="str">
        <f t="shared" si="2"/>
        <v/>
      </c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H61" s="97"/>
    </row>
    <row r="62" spans="1:60" x14ac:dyDescent="0.25">
      <c r="A62" s="106"/>
      <c r="B62" s="107"/>
      <c r="C62" s="107"/>
      <c r="D62" s="107"/>
      <c r="E62" s="108"/>
      <c r="F62" s="109" t="str">
        <f>IF(H62&lt;&gt;"",H62-Accueil!N$6+1/60/24,"")</f>
        <v/>
      </c>
      <c r="G62" s="107"/>
      <c r="H62" s="109"/>
      <c r="I62" s="110"/>
      <c r="J62" s="110"/>
      <c r="K62" s="111"/>
      <c r="L62" s="112"/>
      <c r="M62" s="113"/>
      <c r="N62" s="114"/>
      <c r="O62" s="107"/>
      <c r="P62" s="107"/>
      <c r="Q62" s="115"/>
      <c r="R62" s="116"/>
      <c r="S62" s="107"/>
      <c r="T62" s="107"/>
      <c r="U62" s="107" t="str">
        <f t="shared" si="2"/>
        <v/>
      </c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</row>
    <row r="63" spans="1:60" x14ac:dyDescent="0.25">
      <c r="A63" s="96"/>
      <c r="B63" s="97"/>
      <c r="C63" s="97"/>
      <c r="D63" s="97"/>
      <c r="E63" s="98"/>
      <c r="F63" s="99" t="str">
        <f>IF(H63&lt;&gt;"",H63-Accueil!N$6+1/60/24,"")</f>
        <v/>
      </c>
      <c r="G63" s="97"/>
      <c r="H63" s="99"/>
      <c r="I63" s="99"/>
      <c r="J63" s="100"/>
      <c r="K63" s="101"/>
      <c r="L63" s="102"/>
      <c r="M63" s="103"/>
      <c r="N63" s="104"/>
      <c r="O63" s="97"/>
      <c r="P63" s="97"/>
      <c r="Q63" s="97"/>
      <c r="R63" s="105"/>
      <c r="S63" s="97"/>
      <c r="T63" s="97"/>
      <c r="U63" s="97" t="str">
        <f t="shared" si="2"/>
        <v/>
      </c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H63" s="97"/>
    </row>
    <row r="64" spans="1:60" x14ac:dyDescent="0.25">
      <c r="A64" s="106"/>
      <c r="B64" s="107"/>
      <c r="C64" s="107"/>
      <c r="D64" s="107"/>
      <c r="E64" s="108"/>
      <c r="F64" s="109" t="str">
        <f>IF(H64&lt;&gt;"",H64-Accueil!N$6+1/60/24,"")</f>
        <v/>
      </c>
      <c r="G64" s="107"/>
      <c r="H64" s="109"/>
      <c r="I64" s="110"/>
      <c r="J64" s="110"/>
      <c r="K64" s="111"/>
      <c r="N64" s="114"/>
      <c r="O64" s="107"/>
      <c r="Q64" s="115"/>
      <c r="R64" s="116"/>
      <c r="S64" s="107"/>
      <c r="U64" s="107" t="str">
        <f t="shared" si="2"/>
        <v/>
      </c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7"/>
      <c r="BA64" s="107"/>
      <c r="BB64" s="107"/>
      <c r="BC64" s="107"/>
      <c r="BD64" s="107"/>
      <c r="BE64" s="107"/>
      <c r="BF64" s="107"/>
      <c r="BG64" s="107"/>
      <c r="BH64" s="107"/>
    </row>
    <row r="65" spans="1:60" x14ac:dyDescent="0.25">
      <c r="A65" s="96"/>
      <c r="B65" s="97"/>
      <c r="C65" s="97"/>
      <c r="D65" s="97"/>
      <c r="E65" s="98"/>
      <c r="F65" s="99" t="str">
        <f>IF(H65&lt;&gt;"",H65-Accueil!N$6+1/60/24,"")</f>
        <v/>
      </c>
      <c r="G65" s="97"/>
      <c r="H65" s="99"/>
      <c r="I65" s="99"/>
      <c r="J65" s="100"/>
      <c r="K65" s="101"/>
      <c r="L65" s="102"/>
      <c r="M65" s="103"/>
      <c r="N65" s="104"/>
      <c r="O65" s="97"/>
      <c r="P65" s="97"/>
      <c r="Q65" s="97"/>
      <c r="R65" s="105"/>
      <c r="S65" s="97"/>
      <c r="T65" s="97"/>
      <c r="U65" s="97" t="str">
        <f t="shared" si="2"/>
        <v/>
      </c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</row>
    <row r="66" spans="1:60" x14ac:dyDescent="0.25">
      <c r="A66" s="106"/>
      <c r="B66" s="107"/>
      <c r="C66" s="107"/>
      <c r="D66" s="107"/>
      <c r="E66" s="108"/>
      <c r="F66" s="109" t="str">
        <f>IF(H66&lt;&gt;"",H66-Accueil!N$6+1/60/24,"")</f>
        <v/>
      </c>
      <c r="G66" s="107"/>
      <c r="H66" s="109"/>
      <c r="I66" s="110"/>
      <c r="J66" s="110"/>
      <c r="K66" s="111"/>
      <c r="L66" s="112"/>
      <c r="M66" s="113"/>
      <c r="N66" s="114"/>
      <c r="O66" s="107"/>
      <c r="P66" s="107"/>
      <c r="Q66" s="115"/>
      <c r="R66" s="116"/>
      <c r="S66" s="107"/>
      <c r="T66" s="107"/>
      <c r="U66" s="107" t="str">
        <f t="shared" si="2"/>
        <v/>
      </c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  <c r="AY66" s="107"/>
      <c r="AZ66" s="107"/>
      <c r="BA66" s="107"/>
      <c r="BB66" s="107"/>
      <c r="BC66" s="107"/>
      <c r="BD66" s="107"/>
      <c r="BE66" s="107"/>
      <c r="BF66" s="107"/>
      <c r="BG66" s="107"/>
      <c r="BH66" s="107"/>
    </row>
    <row r="67" spans="1:60" x14ac:dyDescent="0.25">
      <c r="A67" s="96"/>
      <c r="B67" s="97"/>
      <c r="C67" s="97"/>
      <c r="D67" s="97"/>
      <c r="E67" s="98"/>
      <c r="F67" s="99" t="str">
        <f>IF(H67&lt;&gt;"",H67-Accueil!N$6+1/60/24,"")</f>
        <v/>
      </c>
      <c r="G67" s="97"/>
      <c r="H67" s="99"/>
      <c r="I67" s="99"/>
      <c r="J67" s="100"/>
      <c r="K67" s="101"/>
      <c r="L67" s="102"/>
      <c r="M67" s="103"/>
      <c r="N67" s="104"/>
      <c r="O67" s="97"/>
      <c r="P67" s="97"/>
      <c r="Q67" s="97"/>
      <c r="R67" s="105"/>
      <c r="S67" s="97"/>
      <c r="T67" s="97"/>
      <c r="U67" s="97" t="str">
        <f t="shared" ref="U67:U130" si="3">IF(B67="","",IF(I67="",0,1))</f>
        <v/>
      </c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H67" s="97"/>
    </row>
    <row r="68" spans="1:60" x14ac:dyDescent="0.25">
      <c r="A68" s="106"/>
      <c r="B68" s="107"/>
      <c r="C68" s="107"/>
      <c r="D68" s="107"/>
      <c r="E68" s="108"/>
      <c r="F68" s="109" t="str">
        <f>IF(H68&lt;&gt;"",H68-Accueil!N$6+1/60/24,"")</f>
        <v/>
      </c>
      <c r="G68" s="107"/>
      <c r="H68" s="109"/>
      <c r="I68" s="110"/>
      <c r="J68" s="110"/>
      <c r="K68" s="111"/>
      <c r="L68" s="112"/>
      <c r="M68" s="113"/>
      <c r="N68" s="114"/>
      <c r="O68" s="107"/>
      <c r="P68" s="107"/>
      <c r="Q68" s="115"/>
      <c r="R68" s="116"/>
      <c r="S68" s="107"/>
      <c r="T68" s="107"/>
      <c r="U68" s="107" t="str">
        <f t="shared" si="3"/>
        <v/>
      </c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7"/>
      <c r="BA68" s="107"/>
      <c r="BB68" s="107"/>
      <c r="BC68" s="107"/>
      <c r="BD68" s="107"/>
      <c r="BE68" s="107"/>
      <c r="BF68" s="107"/>
      <c r="BG68" s="107"/>
      <c r="BH68" s="107"/>
    </row>
    <row r="69" spans="1:60" x14ac:dyDescent="0.25">
      <c r="A69" s="96"/>
      <c r="B69" s="97"/>
      <c r="C69" s="97"/>
      <c r="D69" s="97"/>
      <c r="E69" s="98"/>
      <c r="F69" s="99" t="str">
        <f>IF(H69&lt;&gt;"",H69-Accueil!N$6+1/60/24,"")</f>
        <v/>
      </c>
      <c r="G69" s="97"/>
      <c r="H69" s="99"/>
      <c r="I69" s="99"/>
      <c r="J69" s="100"/>
      <c r="K69" s="101"/>
      <c r="L69" s="102"/>
      <c r="M69" s="103"/>
      <c r="N69" s="104"/>
      <c r="O69" s="97"/>
      <c r="P69" s="97"/>
      <c r="Q69" s="97"/>
      <c r="R69" s="105"/>
      <c r="S69" s="97"/>
      <c r="T69" s="97"/>
      <c r="U69" s="97" t="str">
        <f t="shared" si="3"/>
        <v/>
      </c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</row>
    <row r="70" spans="1:60" x14ac:dyDescent="0.25">
      <c r="A70" s="106"/>
      <c r="B70" s="107"/>
      <c r="C70" s="107"/>
      <c r="D70" s="107"/>
      <c r="E70" s="108"/>
      <c r="F70" s="109" t="str">
        <f>IF(H70&lt;&gt;"",H70-Accueil!N$6+1/60/24,"")</f>
        <v/>
      </c>
      <c r="G70" s="107"/>
      <c r="H70" s="109"/>
      <c r="I70" s="110"/>
      <c r="J70" s="110"/>
      <c r="K70" s="111"/>
      <c r="L70" s="112"/>
      <c r="M70" s="113"/>
      <c r="N70" s="114"/>
      <c r="O70" s="107"/>
      <c r="P70" s="107"/>
      <c r="Q70" s="115"/>
      <c r="R70" s="116"/>
      <c r="S70" s="107"/>
      <c r="T70" s="107"/>
      <c r="U70" s="107" t="str">
        <f t="shared" si="3"/>
        <v/>
      </c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07"/>
      <c r="BB70" s="107"/>
      <c r="BC70" s="107"/>
      <c r="BD70" s="107"/>
      <c r="BE70" s="107"/>
      <c r="BF70" s="107"/>
      <c r="BG70" s="107"/>
      <c r="BH70" s="107"/>
    </row>
    <row r="71" spans="1:60" x14ac:dyDescent="0.25">
      <c r="A71" s="96"/>
      <c r="B71" s="97"/>
      <c r="C71" s="97"/>
      <c r="D71" s="97"/>
      <c r="E71" s="98"/>
      <c r="F71" s="99" t="str">
        <f>IF(H71&lt;&gt;"",H71-Accueil!N$6+1/60/24,"")</f>
        <v/>
      </c>
      <c r="G71" s="97"/>
      <c r="H71" s="99"/>
      <c r="I71" s="99"/>
      <c r="J71" s="100"/>
      <c r="K71" s="101"/>
      <c r="L71" s="102"/>
      <c r="M71" s="103"/>
      <c r="N71" s="104"/>
      <c r="O71" s="97"/>
      <c r="P71" s="97"/>
      <c r="Q71" s="97"/>
      <c r="R71" s="105"/>
      <c r="S71" s="97"/>
      <c r="T71" s="97"/>
      <c r="U71" s="97" t="str">
        <f t="shared" si="3"/>
        <v/>
      </c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</row>
    <row r="72" spans="1:60" x14ac:dyDescent="0.25">
      <c r="A72" s="106"/>
      <c r="B72" s="107"/>
      <c r="C72" s="107"/>
      <c r="D72" s="107"/>
      <c r="E72" s="108"/>
      <c r="F72" s="109" t="str">
        <f>IF(H72&lt;&gt;"",H72-Accueil!N$6+1/60/24,"")</f>
        <v/>
      </c>
      <c r="G72" s="107"/>
      <c r="H72" s="109"/>
      <c r="I72" s="110"/>
      <c r="J72" s="110"/>
      <c r="K72" s="111"/>
      <c r="L72" s="112"/>
      <c r="M72" s="113"/>
      <c r="N72" s="114"/>
      <c r="O72" s="107"/>
      <c r="P72" s="107"/>
      <c r="Q72" s="115"/>
      <c r="R72" s="116"/>
      <c r="S72" s="107"/>
      <c r="T72" s="107"/>
      <c r="U72" s="107" t="str">
        <f t="shared" si="3"/>
        <v/>
      </c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07"/>
      <c r="BB72" s="107"/>
      <c r="BC72" s="107"/>
      <c r="BD72" s="107"/>
      <c r="BE72" s="107"/>
      <c r="BF72" s="107"/>
      <c r="BG72" s="107"/>
      <c r="BH72" s="107"/>
    </row>
    <row r="73" spans="1:60" x14ac:dyDescent="0.25">
      <c r="A73" s="96"/>
      <c r="B73" s="97"/>
      <c r="C73" s="97"/>
      <c r="D73" s="97"/>
      <c r="E73" s="98"/>
      <c r="F73" s="99" t="str">
        <f>IF(H73&lt;&gt;"",H73-Accueil!N$6+1/60/24,"")</f>
        <v/>
      </c>
      <c r="G73" s="97"/>
      <c r="H73" s="99"/>
      <c r="I73" s="99"/>
      <c r="J73" s="100"/>
      <c r="K73" s="101"/>
      <c r="L73" s="102"/>
      <c r="M73" s="103"/>
      <c r="N73" s="104"/>
      <c r="O73" s="97"/>
      <c r="P73" s="97"/>
      <c r="Q73" s="97"/>
      <c r="R73" s="105"/>
      <c r="S73" s="97"/>
      <c r="T73" s="97"/>
      <c r="U73" s="97" t="str">
        <f t="shared" si="3"/>
        <v/>
      </c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</row>
    <row r="74" spans="1:60" x14ac:dyDescent="0.25">
      <c r="A74" s="106"/>
      <c r="B74" s="107"/>
      <c r="C74" s="107"/>
      <c r="D74" s="107"/>
      <c r="E74" s="108"/>
      <c r="F74" s="109" t="str">
        <f>IF(H74&lt;&gt;"",H74-Accueil!N$6+1/60/24,"")</f>
        <v/>
      </c>
      <c r="G74" s="107"/>
      <c r="H74" s="109"/>
      <c r="I74" s="110"/>
      <c r="J74" s="110"/>
      <c r="K74" s="111"/>
      <c r="L74" s="112"/>
      <c r="M74" s="113"/>
      <c r="N74" s="114"/>
      <c r="O74" s="107"/>
      <c r="P74" s="107"/>
      <c r="Q74" s="115"/>
      <c r="R74" s="116"/>
      <c r="S74" s="107"/>
      <c r="T74" s="107"/>
      <c r="U74" s="107" t="str">
        <f t="shared" si="3"/>
        <v/>
      </c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107"/>
      <c r="BA74" s="107"/>
      <c r="BB74" s="107"/>
      <c r="BC74" s="107"/>
      <c r="BD74" s="107"/>
      <c r="BE74" s="107"/>
      <c r="BF74" s="107"/>
      <c r="BG74" s="107"/>
      <c r="BH74" s="107"/>
    </row>
    <row r="75" spans="1:60" x14ac:dyDescent="0.25">
      <c r="A75" s="96"/>
      <c r="B75" s="97"/>
      <c r="C75" s="97"/>
      <c r="D75" s="97"/>
      <c r="E75" s="98"/>
      <c r="F75" s="99" t="str">
        <f>IF(H75&lt;&gt;"",H75-Accueil!N$6+1/60/24,"")</f>
        <v/>
      </c>
      <c r="G75" s="97"/>
      <c r="H75" s="99"/>
      <c r="I75" s="99"/>
      <c r="J75" s="100"/>
      <c r="K75" s="101"/>
      <c r="L75" s="102"/>
      <c r="M75" s="103"/>
      <c r="N75" s="104"/>
      <c r="O75" s="97"/>
      <c r="P75" s="97"/>
      <c r="Q75" s="97"/>
      <c r="R75" s="105"/>
      <c r="S75" s="97"/>
      <c r="T75" s="97"/>
      <c r="U75" s="97" t="str">
        <f t="shared" si="3"/>
        <v/>
      </c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</row>
    <row r="76" spans="1:60" x14ac:dyDescent="0.25">
      <c r="A76" s="106"/>
      <c r="B76" s="107"/>
      <c r="C76" s="107"/>
      <c r="D76" s="107"/>
      <c r="E76" s="108"/>
      <c r="F76" s="109" t="str">
        <f>IF(H76&lt;&gt;"",H76-Accueil!N$6+1/60/24,"")</f>
        <v/>
      </c>
      <c r="G76" s="107"/>
      <c r="H76" s="109"/>
      <c r="I76" s="110"/>
      <c r="J76" s="110"/>
      <c r="K76" s="111"/>
      <c r="L76" s="112"/>
      <c r="M76" s="113"/>
      <c r="N76" s="114"/>
      <c r="O76" s="107"/>
      <c r="P76" s="107"/>
      <c r="Q76" s="115"/>
      <c r="R76" s="116"/>
      <c r="S76" s="107"/>
      <c r="T76" s="107"/>
      <c r="U76" s="107" t="str">
        <f t="shared" si="3"/>
        <v/>
      </c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  <c r="AY76" s="107"/>
      <c r="AZ76" s="107"/>
      <c r="BA76" s="107"/>
      <c r="BB76" s="107"/>
      <c r="BC76" s="107"/>
      <c r="BD76" s="107"/>
      <c r="BE76" s="107"/>
      <c r="BF76" s="107"/>
      <c r="BG76" s="107"/>
      <c r="BH76" s="107"/>
    </row>
    <row r="77" spans="1:60" x14ac:dyDescent="0.25">
      <c r="A77" s="96"/>
      <c r="B77" s="97"/>
      <c r="C77" s="97"/>
      <c r="D77" s="97"/>
      <c r="E77" s="98"/>
      <c r="F77" s="99" t="str">
        <f>IF(H77&lt;&gt;"",H77-Accueil!N$6+1/60/24,"")</f>
        <v/>
      </c>
      <c r="G77" s="97"/>
      <c r="H77" s="99"/>
      <c r="I77" s="99"/>
      <c r="J77" s="100"/>
      <c r="K77" s="101"/>
      <c r="L77" s="102"/>
      <c r="M77" s="103"/>
      <c r="N77" s="104"/>
      <c r="O77" s="97"/>
      <c r="P77" s="97"/>
      <c r="Q77" s="97"/>
      <c r="R77" s="105"/>
      <c r="S77" s="97"/>
      <c r="T77" s="97"/>
      <c r="U77" s="97" t="str">
        <f t="shared" si="3"/>
        <v/>
      </c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</row>
    <row r="78" spans="1:60" x14ac:dyDescent="0.25">
      <c r="A78" s="106"/>
      <c r="B78" s="107"/>
      <c r="C78" s="107"/>
      <c r="D78" s="107"/>
      <c r="E78" s="108"/>
      <c r="F78" s="109" t="str">
        <f>IF(H78&lt;&gt;"",H78-Accueil!N$6+1/60/24,"")</f>
        <v/>
      </c>
      <c r="G78" s="107"/>
      <c r="H78" s="109"/>
      <c r="I78" s="110"/>
      <c r="J78" s="110"/>
      <c r="K78" s="111"/>
      <c r="L78" s="112"/>
      <c r="M78" s="113"/>
      <c r="N78" s="114"/>
      <c r="O78" s="107"/>
      <c r="P78" s="107"/>
      <c r="Q78" s="115"/>
      <c r="R78" s="116"/>
      <c r="S78" s="107"/>
      <c r="T78" s="107"/>
      <c r="U78" s="107" t="str">
        <f t="shared" si="3"/>
        <v/>
      </c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  <c r="AY78" s="107"/>
      <c r="AZ78" s="107"/>
      <c r="BA78" s="107"/>
      <c r="BB78" s="107"/>
      <c r="BC78" s="107"/>
      <c r="BD78" s="107"/>
      <c r="BE78" s="107"/>
      <c r="BF78" s="107"/>
      <c r="BG78" s="107"/>
      <c r="BH78" s="107"/>
    </row>
    <row r="79" spans="1:60" x14ac:dyDescent="0.25">
      <c r="A79" s="96"/>
      <c r="B79" s="97"/>
      <c r="C79" s="97"/>
      <c r="D79" s="97"/>
      <c r="E79" s="98"/>
      <c r="F79" s="99" t="str">
        <f>IF(H79&lt;&gt;"",H79-Accueil!N$6+1/60/24,"")</f>
        <v/>
      </c>
      <c r="G79" s="97"/>
      <c r="H79" s="99"/>
      <c r="I79" s="99"/>
      <c r="J79" s="100"/>
      <c r="K79" s="101"/>
      <c r="L79" s="102"/>
      <c r="M79" s="103"/>
      <c r="N79" s="104"/>
      <c r="O79" s="97"/>
      <c r="P79" s="97"/>
      <c r="Q79" s="97"/>
      <c r="R79" s="105"/>
      <c r="S79" s="97"/>
      <c r="T79" s="97"/>
      <c r="U79" s="97" t="str">
        <f t="shared" si="3"/>
        <v/>
      </c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</row>
    <row r="80" spans="1:60" x14ac:dyDescent="0.25">
      <c r="A80" s="106"/>
      <c r="B80" s="107"/>
      <c r="C80" s="107"/>
      <c r="D80" s="107"/>
      <c r="E80" s="108"/>
      <c r="F80" s="109" t="str">
        <f>IF(H80&lt;&gt;"",H80-Accueil!N$6+1/60/24,"")</f>
        <v/>
      </c>
      <c r="G80" s="107"/>
      <c r="H80" s="109"/>
      <c r="I80" s="110"/>
      <c r="J80" s="110"/>
      <c r="K80" s="111"/>
      <c r="L80" s="112"/>
      <c r="M80" s="113"/>
      <c r="N80" s="114"/>
      <c r="O80" s="107"/>
      <c r="P80" s="107"/>
      <c r="Q80" s="115"/>
      <c r="R80" s="116"/>
      <c r="S80" s="107"/>
      <c r="T80" s="107"/>
      <c r="U80" s="107" t="str">
        <f t="shared" si="3"/>
        <v/>
      </c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  <c r="AZ80" s="107"/>
      <c r="BA80" s="107"/>
      <c r="BB80" s="107"/>
      <c r="BC80" s="107"/>
      <c r="BD80" s="107"/>
      <c r="BE80" s="107"/>
      <c r="BF80" s="107"/>
      <c r="BG80" s="107"/>
      <c r="BH80" s="107"/>
    </row>
    <row r="81" spans="1:60" x14ac:dyDescent="0.25">
      <c r="A81" s="96"/>
      <c r="B81" s="97"/>
      <c r="C81" s="97"/>
      <c r="D81" s="97"/>
      <c r="E81" s="98"/>
      <c r="F81" s="99" t="str">
        <f>IF(H81&lt;&gt;"",H81-Accueil!N$6+1/60/24,"")</f>
        <v/>
      </c>
      <c r="G81" s="97"/>
      <c r="H81" s="99"/>
      <c r="I81" s="99"/>
      <c r="J81" s="100"/>
      <c r="K81" s="101"/>
      <c r="L81" s="102"/>
      <c r="M81" s="103"/>
      <c r="N81" s="104"/>
      <c r="O81" s="97"/>
      <c r="P81" s="97"/>
      <c r="Q81" s="97"/>
      <c r="R81" s="105"/>
      <c r="S81" s="97"/>
      <c r="T81" s="97"/>
      <c r="U81" s="97" t="str">
        <f t="shared" si="3"/>
        <v/>
      </c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</row>
    <row r="82" spans="1:60" x14ac:dyDescent="0.25">
      <c r="A82" s="106"/>
      <c r="B82" s="107"/>
      <c r="C82" s="107"/>
      <c r="D82" s="107"/>
      <c r="E82" s="108"/>
      <c r="F82" s="109" t="str">
        <f>IF(H82&lt;&gt;"",H82-Accueil!N$6+1/60/24,"")</f>
        <v/>
      </c>
      <c r="G82" s="107"/>
      <c r="H82" s="109"/>
      <c r="I82" s="110"/>
      <c r="J82" s="110"/>
      <c r="K82" s="111"/>
      <c r="L82" s="112"/>
      <c r="M82" s="113"/>
      <c r="N82" s="114"/>
      <c r="O82" s="107"/>
      <c r="P82" s="107"/>
      <c r="Q82" s="115"/>
      <c r="R82" s="116"/>
      <c r="S82" s="107"/>
      <c r="T82" s="107"/>
      <c r="U82" s="107" t="str">
        <f t="shared" si="3"/>
        <v/>
      </c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  <c r="AZ82" s="107"/>
      <c r="BA82" s="107"/>
      <c r="BB82" s="107"/>
      <c r="BC82" s="107"/>
      <c r="BD82" s="107"/>
      <c r="BE82" s="107"/>
      <c r="BF82" s="107"/>
      <c r="BG82" s="107"/>
      <c r="BH82" s="107"/>
    </row>
    <row r="83" spans="1:60" x14ac:dyDescent="0.25">
      <c r="A83" s="96"/>
      <c r="B83" s="97"/>
      <c r="C83" s="97"/>
      <c r="D83" s="97"/>
      <c r="E83" s="98"/>
      <c r="F83" s="99" t="str">
        <f>IF(H83&lt;&gt;"",H83-Accueil!N$6+1/60/24,"")</f>
        <v/>
      </c>
      <c r="G83" s="97"/>
      <c r="H83" s="99"/>
      <c r="I83" s="99"/>
      <c r="J83" s="100"/>
      <c r="K83" s="101"/>
      <c r="L83" s="102"/>
      <c r="M83" s="103"/>
      <c r="N83" s="104"/>
      <c r="O83" s="97"/>
      <c r="P83" s="97"/>
      <c r="Q83" s="97"/>
      <c r="R83" s="105"/>
      <c r="S83" s="97"/>
      <c r="T83" s="97"/>
      <c r="U83" s="97" t="str">
        <f t="shared" si="3"/>
        <v/>
      </c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H83" s="97"/>
    </row>
    <row r="84" spans="1:60" x14ac:dyDescent="0.25">
      <c r="A84" s="106"/>
      <c r="B84" s="107"/>
      <c r="C84" s="107"/>
      <c r="D84" s="107"/>
      <c r="E84" s="108"/>
      <c r="F84" s="109" t="str">
        <f>IF(H84&lt;&gt;"",H84-Accueil!N$6+1/60/24,"")</f>
        <v/>
      </c>
      <c r="G84" s="107"/>
      <c r="H84" s="109"/>
      <c r="I84" s="110"/>
      <c r="J84" s="110"/>
      <c r="K84" s="111"/>
      <c r="L84" s="112"/>
      <c r="M84" s="113"/>
      <c r="N84" s="114"/>
      <c r="O84" s="107"/>
      <c r="P84" s="107"/>
      <c r="Q84" s="115"/>
      <c r="R84" s="116"/>
      <c r="S84" s="107"/>
      <c r="T84" s="107"/>
      <c r="U84" s="107" t="str">
        <f t="shared" si="3"/>
        <v/>
      </c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  <c r="AY84" s="107"/>
      <c r="AZ84" s="107"/>
      <c r="BA84" s="107"/>
      <c r="BB84" s="107"/>
      <c r="BC84" s="107"/>
      <c r="BD84" s="107"/>
      <c r="BE84" s="107"/>
      <c r="BF84" s="107"/>
      <c r="BG84" s="107"/>
      <c r="BH84" s="107"/>
    </row>
    <row r="85" spans="1:60" x14ac:dyDescent="0.25">
      <c r="A85" s="96"/>
      <c r="B85" s="97"/>
      <c r="C85" s="97"/>
      <c r="D85" s="97"/>
      <c r="E85" s="98"/>
      <c r="F85" s="99" t="str">
        <f>IF(H85&lt;&gt;"",H85-Accueil!N$6+1/60/24,"")</f>
        <v/>
      </c>
      <c r="G85" s="97"/>
      <c r="H85" s="99"/>
      <c r="I85" s="99"/>
      <c r="J85" s="100"/>
      <c r="K85" s="101"/>
      <c r="L85" s="102"/>
      <c r="M85" s="103"/>
      <c r="N85" s="104"/>
      <c r="O85" s="97"/>
      <c r="P85" s="97"/>
      <c r="Q85" s="97"/>
      <c r="R85" s="105"/>
      <c r="S85" s="97"/>
      <c r="T85" s="97"/>
      <c r="U85" s="97" t="str">
        <f t="shared" si="3"/>
        <v/>
      </c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</row>
    <row r="86" spans="1:60" x14ac:dyDescent="0.25">
      <c r="A86" s="106"/>
      <c r="B86" s="107"/>
      <c r="C86" s="107"/>
      <c r="D86" s="107"/>
      <c r="E86" s="108"/>
      <c r="F86" s="109" t="str">
        <f>IF(H86&lt;&gt;"",H86-Accueil!N$6+1/60/24,"")</f>
        <v/>
      </c>
      <c r="G86" s="107"/>
      <c r="H86" s="109"/>
      <c r="I86" s="110"/>
      <c r="J86" s="110"/>
      <c r="K86" s="111"/>
      <c r="L86" s="112"/>
      <c r="M86" s="113"/>
      <c r="N86" s="114"/>
      <c r="O86" s="107"/>
      <c r="P86" s="107"/>
      <c r="Q86" s="115"/>
      <c r="R86" s="116"/>
      <c r="S86" s="107"/>
      <c r="T86" s="107"/>
      <c r="U86" s="107" t="str">
        <f t="shared" si="3"/>
        <v/>
      </c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  <c r="AY86" s="107"/>
      <c r="AZ86" s="107"/>
      <c r="BA86" s="107"/>
      <c r="BB86" s="107"/>
      <c r="BC86" s="107"/>
      <c r="BD86" s="107"/>
      <c r="BE86" s="107"/>
      <c r="BF86" s="107"/>
      <c r="BG86" s="107"/>
      <c r="BH86" s="107"/>
    </row>
    <row r="87" spans="1:60" x14ac:dyDescent="0.25">
      <c r="A87" s="96"/>
      <c r="B87" s="97"/>
      <c r="C87" s="97"/>
      <c r="D87" s="97"/>
      <c r="E87" s="98"/>
      <c r="F87" s="99" t="str">
        <f>IF(H87&lt;&gt;"",H87-Accueil!N$6+1/60/24,"")</f>
        <v/>
      </c>
      <c r="G87" s="97"/>
      <c r="H87" s="99"/>
      <c r="I87" s="99"/>
      <c r="J87" s="100"/>
      <c r="K87" s="101"/>
      <c r="L87" s="102"/>
      <c r="M87" s="103"/>
      <c r="N87" s="104"/>
      <c r="O87" s="97"/>
      <c r="P87" s="97"/>
      <c r="Q87" s="97"/>
      <c r="R87" s="105"/>
      <c r="S87" s="97"/>
      <c r="T87" s="97"/>
      <c r="U87" s="97" t="str">
        <f t="shared" si="3"/>
        <v/>
      </c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</row>
    <row r="88" spans="1:60" x14ac:dyDescent="0.25">
      <c r="A88" s="106"/>
      <c r="B88" s="107"/>
      <c r="C88" s="107"/>
      <c r="D88" s="107"/>
      <c r="E88" s="108"/>
      <c r="F88" s="109" t="str">
        <f>IF(H88&lt;&gt;"",H88-Accueil!N$6+1/60/24,"")</f>
        <v/>
      </c>
      <c r="G88" s="107"/>
      <c r="H88" s="109"/>
      <c r="I88" s="110"/>
      <c r="J88" s="110"/>
      <c r="K88" s="111"/>
      <c r="L88" s="112"/>
      <c r="M88" s="113"/>
      <c r="N88" s="114"/>
      <c r="O88" s="107"/>
      <c r="P88" s="107"/>
      <c r="Q88" s="115"/>
      <c r="R88" s="116"/>
      <c r="S88" s="107"/>
      <c r="T88" s="107"/>
      <c r="U88" s="107" t="str">
        <f t="shared" si="3"/>
        <v/>
      </c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  <c r="AY88" s="107"/>
      <c r="AZ88" s="107"/>
      <c r="BA88" s="107"/>
      <c r="BB88" s="107"/>
      <c r="BC88" s="107"/>
      <c r="BD88" s="107"/>
      <c r="BE88" s="107"/>
      <c r="BF88" s="107"/>
      <c r="BG88" s="107"/>
      <c r="BH88" s="107"/>
    </row>
    <row r="89" spans="1:60" x14ac:dyDescent="0.25">
      <c r="A89" s="96"/>
      <c r="B89" s="97"/>
      <c r="C89" s="97"/>
      <c r="D89" s="97"/>
      <c r="E89" s="98"/>
      <c r="F89" s="99" t="str">
        <f>IF(H89&lt;&gt;"",H89-Accueil!N$6+1/60/24,"")</f>
        <v/>
      </c>
      <c r="G89" s="97"/>
      <c r="H89" s="99"/>
      <c r="I89" s="99"/>
      <c r="J89" s="100"/>
      <c r="K89" s="101"/>
      <c r="L89" s="102"/>
      <c r="M89" s="103"/>
      <c r="N89" s="104"/>
      <c r="O89" s="97"/>
      <c r="P89" s="97"/>
      <c r="Q89" s="97"/>
      <c r="R89" s="105"/>
      <c r="S89" s="97"/>
      <c r="T89" s="97"/>
      <c r="U89" s="97" t="str">
        <f t="shared" si="3"/>
        <v/>
      </c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</row>
    <row r="90" spans="1:60" x14ac:dyDescent="0.25">
      <c r="A90" s="106"/>
      <c r="B90" s="107"/>
      <c r="C90" s="107"/>
      <c r="D90" s="107"/>
      <c r="E90" s="108"/>
      <c r="F90" s="109" t="str">
        <f>IF(H90&lt;&gt;"",H90-Accueil!N$6+1/60/24,"")</f>
        <v/>
      </c>
      <c r="G90" s="107"/>
      <c r="H90" s="109"/>
      <c r="I90" s="110"/>
      <c r="J90" s="110"/>
      <c r="K90" s="111"/>
      <c r="L90" s="112"/>
      <c r="M90" s="113"/>
      <c r="N90" s="114"/>
      <c r="O90" s="107"/>
      <c r="P90" s="107"/>
      <c r="Q90" s="115"/>
      <c r="R90" s="116"/>
      <c r="S90" s="107"/>
      <c r="T90" s="107"/>
      <c r="U90" s="107" t="str">
        <f t="shared" si="3"/>
        <v/>
      </c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  <c r="AZ90" s="107"/>
      <c r="BA90" s="107"/>
      <c r="BB90" s="107"/>
      <c r="BC90" s="107"/>
      <c r="BD90" s="107"/>
      <c r="BE90" s="107"/>
      <c r="BF90" s="107"/>
      <c r="BG90" s="107"/>
      <c r="BH90" s="107"/>
    </row>
    <row r="91" spans="1:60" x14ac:dyDescent="0.25">
      <c r="A91" s="96"/>
      <c r="B91" s="97"/>
      <c r="C91" s="97"/>
      <c r="D91" s="97"/>
      <c r="E91" s="98"/>
      <c r="F91" s="99" t="str">
        <f>IF(H91&lt;&gt;"",H91-Accueil!N$6+1/60/24,"")</f>
        <v/>
      </c>
      <c r="G91" s="97"/>
      <c r="H91" s="99"/>
      <c r="I91" s="99"/>
      <c r="J91" s="100"/>
      <c r="K91" s="101"/>
      <c r="L91" s="102"/>
      <c r="M91" s="103"/>
      <c r="N91" s="104"/>
      <c r="O91" s="97"/>
      <c r="P91" s="97"/>
      <c r="Q91" s="97"/>
      <c r="R91" s="105"/>
      <c r="S91" s="97"/>
      <c r="T91" s="97"/>
      <c r="U91" s="97" t="str">
        <f t="shared" si="3"/>
        <v/>
      </c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</row>
    <row r="92" spans="1:60" x14ac:dyDescent="0.25">
      <c r="A92" s="106"/>
      <c r="B92" s="107"/>
      <c r="C92" s="107"/>
      <c r="D92" s="107"/>
      <c r="E92" s="108"/>
      <c r="F92" s="109" t="str">
        <f>IF(H92&lt;&gt;"",H92-Accueil!N$6+1/60/24,"")</f>
        <v/>
      </c>
      <c r="G92" s="107"/>
      <c r="H92" s="109"/>
      <c r="I92" s="110"/>
      <c r="J92" s="110"/>
      <c r="K92" s="111"/>
      <c r="L92" s="112"/>
      <c r="M92" s="113"/>
      <c r="N92" s="114"/>
      <c r="O92" s="107"/>
      <c r="P92" s="107"/>
      <c r="Q92" s="115"/>
      <c r="R92" s="116"/>
      <c r="S92" s="107"/>
      <c r="T92" s="107"/>
      <c r="U92" s="107" t="str">
        <f t="shared" si="3"/>
        <v/>
      </c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X92" s="107"/>
      <c r="AY92" s="107"/>
      <c r="AZ92" s="107"/>
      <c r="BA92" s="107"/>
      <c r="BB92" s="107"/>
      <c r="BC92" s="107"/>
      <c r="BD92" s="107"/>
      <c r="BE92" s="107"/>
      <c r="BF92" s="107"/>
      <c r="BG92" s="107"/>
      <c r="BH92" s="107"/>
    </row>
    <row r="93" spans="1:60" x14ac:dyDescent="0.25">
      <c r="A93" s="96"/>
      <c r="B93" s="97"/>
      <c r="C93" s="97"/>
      <c r="D93" s="97"/>
      <c r="E93" s="98"/>
      <c r="F93" s="99" t="str">
        <f>IF(H93&lt;&gt;"",H93-Accueil!N$6+1/60/24,"")</f>
        <v/>
      </c>
      <c r="G93" s="97"/>
      <c r="H93" s="99"/>
      <c r="I93" s="99"/>
      <c r="J93" s="100"/>
      <c r="K93" s="101"/>
      <c r="L93" s="102"/>
      <c r="M93" s="103"/>
      <c r="N93" s="104"/>
      <c r="O93" s="97"/>
      <c r="P93" s="97"/>
      <c r="Q93" s="97"/>
      <c r="R93" s="105"/>
      <c r="S93" s="97"/>
      <c r="T93" s="97"/>
      <c r="U93" s="97" t="str">
        <f t="shared" si="3"/>
        <v/>
      </c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</row>
    <row r="94" spans="1:60" x14ac:dyDescent="0.25">
      <c r="A94" s="106"/>
      <c r="B94" s="107"/>
      <c r="C94" s="107"/>
      <c r="D94" s="107"/>
      <c r="E94" s="108"/>
      <c r="F94" s="109" t="str">
        <f>IF(H94&lt;&gt;"",H94-Accueil!N$6+1/60/24,"")</f>
        <v/>
      </c>
      <c r="G94" s="107"/>
      <c r="H94" s="109"/>
      <c r="I94" s="110"/>
      <c r="J94" s="110"/>
      <c r="K94" s="111"/>
      <c r="L94" s="112"/>
      <c r="M94" s="113"/>
      <c r="N94" s="114"/>
      <c r="O94" s="107"/>
      <c r="P94" s="107"/>
      <c r="Q94" s="115"/>
      <c r="R94" s="116"/>
      <c r="S94" s="107"/>
      <c r="T94" s="107"/>
      <c r="U94" s="107" t="str">
        <f t="shared" si="3"/>
        <v/>
      </c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X94" s="107"/>
      <c r="AY94" s="107"/>
      <c r="AZ94" s="107"/>
      <c r="BA94" s="107"/>
      <c r="BB94" s="107"/>
      <c r="BC94" s="107"/>
      <c r="BD94" s="107"/>
      <c r="BE94" s="107"/>
      <c r="BF94" s="107"/>
      <c r="BG94" s="107"/>
      <c r="BH94" s="107"/>
    </row>
    <row r="95" spans="1:60" x14ac:dyDescent="0.25">
      <c r="A95" s="96"/>
      <c r="B95" s="97"/>
      <c r="C95" s="97"/>
      <c r="D95" s="97"/>
      <c r="E95" s="98"/>
      <c r="F95" s="99" t="str">
        <f>IF(H95&lt;&gt;"",H95-Accueil!N$6+1/60/24,"")</f>
        <v/>
      </c>
      <c r="G95" s="97"/>
      <c r="H95" s="99"/>
      <c r="I95" s="99"/>
      <c r="J95" s="100"/>
      <c r="K95" s="101"/>
      <c r="L95" s="102"/>
      <c r="M95" s="103"/>
      <c r="N95" s="104"/>
      <c r="O95" s="97"/>
      <c r="P95" s="97"/>
      <c r="Q95" s="97"/>
      <c r="R95" s="105"/>
      <c r="S95" s="97"/>
      <c r="T95" s="97"/>
      <c r="U95" s="97" t="str">
        <f t="shared" si="3"/>
        <v/>
      </c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</row>
    <row r="96" spans="1:60" x14ac:dyDescent="0.25">
      <c r="A96" s="106"/>
      <c r="B96" s="107"/>
      <c r="C96" s="107"/>
      <c r="D96" s="107"/>
      <c r="E96" s="108"/>
      <c r="F96" s="109" t="str">
        <f>IF(H96&lt;&gt;"",H96-Accueil!N$6+1/60/24,"")</f>
        <v/>
      </c>
      <c r="G96" s="107"/>
      <c r="H96" s="109"/>
      <c r="I96" s="110"/>
      <c r="J96" s="110"/>
      <c r="K96" s="111"/>
      <c r="L96" s="112"/>
      <c r="M96" s="113"/>
      <c r="N96" s="114"/>
      <c r="O96" s="107"/>
      <c r="P96" s="107"/>
      <c r="Q96" s="115"/>
      <c r="R96" s="116"/>
      <c r="S96" s="107"/>
      <c r="T96" s="107"/>
      <c r="U96" s="107" t="str">
        <f t="shared" si="3"/>
        <v/>
      </c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X96" s="107"/>
      <c r="AY96" s="107"/>
      <c r="AZ96" s="107"/>
      <c r="BA96" s="107"/>
      <c r="BB96" s="107"/>
      <c r="BC96" s="107"/>
      <c r="BD96" s="107"/>
      <c r="BE96" s="107"/>
      <c r="BF96" s="107"/>
      <c r="BG96" s="107"/>
      <c r="BH96" s="107"/>
    </row>
    <row r="97" spans="1:60" x14ac:dyDescent="0.25">
      <c r="A97" s="96"/>
      <c r="B97" s="97"/>
      <c r="C97" s="97"/>
      <c r="D97" s="97"/>
      <c r="E97" s="98"/>
      <c r="F97" s="99" t="str">
        <f>IF(H97&lt;&gt;"",H97-Accueil!N$6+1/60/24,"")</f>
        <v/>
      </c>
      <c r="G97" s="97"/>
      <c r="H97" s="99"/>
      <c r="I97" s="99"/>
      <c r="J97" s="100"/>
      <c r="K97" s="101"/>
      <c r="L97" s="157"/>
      <c r="M97" s="103"/>
      <c r="N97" s="104"/>
      <c r="O97" s="97"/>
      <c r="P97" s="97"/>
      <c r="Q97" s="97"/>
      <c r="R97" s="105"/>
      <c r="S97" s="97"/>
      <c r="T97" s="97"/>
      <c r="U97" s="97" t="str">
        <f t="shared" si="3"/>
        <v/>
      </c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</row>
    <row r="98" spans="1:60" x14ac:dyDescent="0.25">
      <c r="A98" s="106"/>
      <c r="B98" s="107"/>
      <c r="C98" s="107"/>
      <c r="D98" s="107"/>
      <c r="E98" s="108"/>
      <c r="F98" s="109" t="str">
        <f>IF(H98&lt;&gt;"",H98-Accueil!N$6+1/60/24,"")</f>
        <v/>
      </c>
      <c r="G98" s="107"/>
      <c r="H98" s="109"/>
      <c r="I98" s="110"/>
      <c r="J98" s="110"/>
      <c r="K98" s="111"/>
      <c r="L98" s="112"/>
      <c r="M98" s="113"/>
      <c r="N98" s="114"/>
      <c r="O98" s="107"/>
      <c r="P98" s="107"/>
      <c r="Q98" s="115"/>
      <c r="R98" s="116"/>
      <c r="S98" s="107"/>
      <c r="T98" s="107"/>
      <c r="U98" s="107" t="str">
        <f t="shared" si="3"/>
        <v/>
      </c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X98" s="107"/>
      <c r="AY98" s="107"/>
      <c r="AZ98" s="107"/>
      <c r="BA98" s="107"/>
      <c r="BB98" s="107"/>
      <c r="BC98" s="107"/>
      <c r="BD98" s="107"/>
      <c r="BE98" s="107"/>
      <c r="BF98" s="107"/>
      <c r="BG98" s="107"/>
      <c r="BH98" s="107"/>
    </row>
    <row r="99" spans="1:60" x14ac:dyDescent="0.25">
      <c r="A99" s="96"/>
      <c r="B99" s="97"/>
      <c r="C99" s="97"/>
      <c r="D99" s="97"/>
      <c r="E99" s="98"/>
      <c r="F99" s="99" t="str">
        <f>IF(H99&lt;&gt;"",H99-Accueil!N$6+1/60/24,"")</f>
        <v/>
      </c>
      <c r="G99" s="97"/>
      <c r="H99" s="99"/>
      <c r="I99" s="99"/>
      <c r="J99" s="100"/>
      <c r="K99" s="101"/>
      <c r="L99" s="102"/>
      <c r="M99" s="103"/>
      <c r="N99" s="104"/>
      <c r="O99" s="97"/>
      <c r="P99" s="97"/>
      <c r="Q99" s="97"/>
      <c r="R99" s="105"/>
      <c r="S99" s="97"/>
      <c r="T99" s="97"/>
      <c r="U99" s="97" t="str">
        <f t="shared" si="3"/>
        <v/>
      </c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H99" s="97"/>
    </row>
    <row r="100" spans="1:60" x14ac:dyDescent="0.25">
      <c r="A100" s="106"/>
      <c r="B100" s="107"/>
      <c r="C100" s="107"/>
      <c r="D100" s="107"/>
      <c r="E100" s="108"/>
      <c r="F100" s="109" t="str">
        <f>IF(H100&lt;&gt;"",H100-Accueil!N$6+1/60/24,"")</f>
        <v/>
      </c>
      <c r="G100" s="107"/>
      <c r="H100" s="109"/>
      <c r="I100" s="110"/>
      <c r="J100" s="110"/>
      <c r="K100" s="111"/>
      <c r="L100" s="112"/>
      <c r="M100" s="113"/>
      <c r="N100" s="114"/>
      <c r="O100" s="107"/>
      <c r="P100" s="107"/>
      <c r="Q100" s="115"/>
      <c r="R100" s="116"/>
      <c r="S100" s="107"/>
      <c r="T100" s="107"/>
      <c r="U100" s="107" t="str">
        <f t="shared" si="3"/>
        <v/>
      </c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X100" s="107"/>
      <c r="AY100" s="107"/>
      <c r="AZ100" s="107"/>
      <c r="BA100" s="107"/>
      <c r="BB100" s="107"/>
      <c r="BC100" s="107"/>
      <c r="BD100" s="107"/>
      <c r="BE100" s="107"/>
      <c r="BF100" s="107"/>
      <c r="BG100" s="107"/>
      <c r="BH100" s="107"/>
    </row>
    <row r="101" spans="1:60" x14ac:dyDescent="0.25">
      <c r="A101" s="96"/>
      <c r="B101" s="97"/>
      <c r="C101" s="97"/>
      <c r="D101" s="97"/>
      <c r="E101" s="98"/>
      <c r="F101" s="99" t="str">
        <f>IF(H101&lt;&gt;"",H101-Accueil!N$6+1/60/24,"")</f>
        <v/>
      </c>
      <c r="G101" s="97"/>
      <c r="H101" s="99"/>
      <c r="I101" s="99"/>
      <c r="J101" s="100"/>
      <c r="K101" s="101"/>
      <c r="L101" s="102"/>
      <c r="M101" s="103"/>
      <c r="N101" s="104"/>
      <c r="O101" s="97"/>
      <c r="P101" s="97"/>
      <c r="Q101" s="97"/>
      <c r="R101" s="105"/>
      <c r="S101" s="97"/>
      <c r="T101" s="97"/>
      <c r="U101" s="97" t="str">
        <f t="shared" si="3"/>
        <v/>
      </c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</row>
    <row r="102" spans="1:60" x14ac:dyDescent="0.25">
      <c r="A102" s="106"/>
      <c r="B102" s="107"/>
      <c r="C102" s="107"/>
      <c r="D102" s="107"/>
      <c r="E102" s="108"/>
      <c r="F102" s="109" t="str">
        <f>IF(H102&lt;&gt;"",H102-Accueil!N$6+1/60/24,"")</f>
        <v/>
      </c>
      <c r="G102" s="107"/>
      <c r="H102" s="109"/>
      <c r="I102" s="110"/>
      <c r="J102" s="110"/>
      <c r="K102" s="111"/>
      <c r="L102" s="167"/>
      <c r="M102" s="113"/>
      <c r="N102" s="114"/>
      <c r="O102" s="107"/>
      <c r="P102" s="107"/>
      <c r="Q102" s="115"/>
      <c r="R102" s="116"/>
      <c r="S102" s="107"/>
      <c r="T102" s="107"/>
      <c r="U102" s="107" t="str">
        <f t="shared" si="3"/>
        <v/>
      </c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X102" s="107"/>
      <c r="AY102" s="107"/>
      <c r="AZ102" s="107"/>
      <c r="BA102" s="107"/>
      <c r="BB102" s="107"/>
      <c r="BC102" s="107"/>
      <c r="BD102" s="107"/>
      <c r="BE102" s="107"/>
      <c r="BF102" s="107"/>
      <c r="BG102" s="107"/>
      <c r="BH102" s="107"/>
    </row>
    <row r="103" spans="1:60" x14ac:dyDescent="0.25">
      <c r="A103" s="96"/>
      <c r="B103" s="97"/>
      <c r="C103" s="97"/>
      <c r="D103" s="97"/>
      <c r="E103" s="98"/>
      <c r="F103" s="99" t="str">
        <f>IF(H103&lt;&gt;"",H103-Accueil!N$6+1/60/24,"")</f>
        <v/>
      </c>
      <c r="G103" s="97"/>
      <c r="H103" s="99"/>
      <c r="I103" s="99"/>
      <c r="J103" s="100"/>
      <c r="K103" s="101"/>
      <c r="L103" s="102"/>
      <c r="M103" s="103"/>
      <c r="N103" s="104"/>
      <c r="O103" s="97"/>
      <c r="P103" s="97"/>
      <c r="Q103" s="97"/>
      <c r="R103" s="105"/>
      <c r="S103" s="97"/>
      <c r="T103" s="97"/>
      <c r="U103" s="97" t="str">
        <f t="shared" si="3"/>
        <v/>
      </c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</row>
    <row r="104" spans="1:60" x14ac:dyDescent="0.25">
      <c r="A104" s="106"/>
      <c r="B104" s="107"/>
      <c r="C104" s="107"/>
      <c r="D104" s="107"/>
      <c r="E104" s="108"/>
      <c r="F104" s="109" t="str">
        <f>IF(H104&lt;&gt;"",H104-Accueil!N$6+1/60/24,"")</f>
        <v/>
      </c>
      <c r="G104" s="107"/>
      <c r="H104" s="109"/>
      <c r="I104" s="110"/>
      <c r="J104" s="110"/>
      <c r="K104" s="111"/>
      <c r="L104" s="112"/>
      <c r="M104" s="113"/>
      <c r="N104" s="114"/>
      <c r="O104" s="107"/>
      <c r="P104" s="107"/>
      <c r="Q104" s="115"/>
      <c r="R104" s="116"/>
      <c r="S104" s="107"/>
      <c r="T104" s="107"/>
      <c r="U104" s="107" t="str">
        <f t="shared" si="3"/>
        <v/>
      </c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X104" s="107"/>
      <c r="AY104" s="107"/>
      <c r="AZ104" s="107"/>
      <c r="BA104" s="107"/>
      <c r="BB104" s="107"/>
      <c r="BC104" s="107"/>
      <c r="BD104" s="107"/>
      <c r="BE104" s="107"/>
      <c r="BF104" s="107"/>
      <c r="BG104" s="107"/>
      <c r="BH104" s="107"/>
    </row>
    <row r="105" spans="1:60" x14ac:dyDescent="0.25">
      <c r="A105" s="96"/>
      <c r="B105" s="97"/>
      <c r="C105" s="97"/>
      <c r="D105" s="97"/>
      <c r="E105" s="98"/>
      <c r="F105" s="99" t="str">
        <f>IF(H105&lt;&gt;"",H105-Accueil!N$6+1/60/24,"")</f>
        <v/>
      </c>
      <c r="G105" s="97"/>
      <c r="H105" s="99"/>
      <c r="I105" s="99"/>
      <c r="J105" s="100"/>
      <c r="K105" s="101"/>
      <c r="L105" s="102"/>
      <c r="M105" s="103"/>
      <c r="N105" s="104"/>
      <c r="O105" s="97"/>
      <c r="P105" s="97"/>
      <c r="Q105" s="97"/>
      <c r="R105" s="105"/>
      <c r="S105" s="97"/>
      <c r="T105" s="97"/>
      <c r="U105" s="97" t="str">
        <f t="shared" si="3"/>
        <v/>
      </c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</row>
    <row r="106" spans="1:60" x14ac:dyDescent="0.25">
      <c r="A106" s="106"/>
      <c r="B106" s="107"/>
      <c r="C106" s="107"/>
      <c r="D106" s="107"/>
      <c r="E106" s="108"/>
      <c r="F106" s="109" t="str">
        <f>IF(H106&lt;&gt;"",H106-Accueil!N$6+1/60/24,"")</f>
        <v/>
      </c>
      <c r="G106" s="107"/>
      <c r="H106" s="109"/>
      <c r="I106" s="110"/>
      <c r="J106" s="110"/>
      <c r="K106" s="111"/>
      <c r="L106" s="112"/>
      <c r="M106" s="113"/>
      <c r="N106" s="114"/>
      <c r="O106" s="107"/>
      <c r="P106" s="107"/>
      <c r="Q106" s="115"/>
      <c r="R106" s="116"/>
      <c r="S106" s="107"/>
      <c r="T106" s="107"/>
      <c r="U106" s="107" t="str">
        <f t="shared" si="3"/>
        <v/>
      </c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X106" s="107"/>
      <c r="AY106" s="107"/>
      <c r="AZ106" s="107"/>
      <c r="BA106" s="107"/>
      <c r="BB106" s="107"/>
      <c r="BC106" s="107"/>
      <c r="BD106" s="107"/>
      <c r="BE106" s="107"/>
      <c r="BF106" s="107"/>
      <c r="BG106" s="107"/>
      <c r="BH106" s="107"/>
    </row>
    <row r="107" spans="1:60" x14ac:dyDescent="0.25">
      <c r="A107" s="96"/>
      <c r="B107" s="97"/>
      <c r="C107" s="97"/>
      <c r="D107" s="97"/>
      <c r="E107" s="98"/>
      <c r="F107" s="99" t="str">
        <f>IF(H107&lt;&gt;"",H107-Accueil!N$6+1/60/24,"")</f>
        <v/>
      </c>
      <c r="G107" s="97"/>
      <c r="H107" s="99"/>
      <c r="I107" s="99"/>
      <c r="J107" s="100"/>
      <c r="K107" s="101"/>
      <c r="L107" s="102"/>
      <c r="M107" s="103"/>
      <c r="N107" s="104"/>
      <c r="O107" s="97"/>
      <c r="P107" s="97"/>
      <c r="Q107" s="97"/>
      <c r="R107" s="105"/>
      <c r="S107" s="97"/>
      <c r="T107" s="97"/>
      <c r="U107" s="97" t="str">
        <f t="shared" si="3"/>
        <v/>
      </c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</row>
    <row r="108" spans="1:60" x14ac:dyDescent="0.25">
      <c r="A108" s="106"/>
      <c r="B108" s="107"/>
      <c r="C108" s="107"/>
      <c r="D108" s="107"/>
      <c r="E108" s="108"/>
      <c r="F108" s="109" t="str">
        <f>IF(H108&lt;&gt;"",H108-Accueil!N$6+1/60/24,"")</f>
        <v/>
      </c>
      <c r="G108" s="107"/>
      <c r="H108" s="109"/>
      <c r="I108" s="110"/>
      <c r="J108" s="110"/>
      <c r="K108" s="111"/>
      <c r="L108" s="167"/>
      <c r="M108" s="113"/>
      <c r="N108" s="114"/>
      <c r="O108" s="107"/>
      <c r="P108" s="107"/>
      <c r="Q108" s="115"/>
      <c r="R108" s="116"/>
      <c r="S108" s="107"/>
      <c r="T108" s="107"/>
      <c r="U108" s="107" t="str">
        <f t="shared" si="3"/>
        <v/>
      </c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  <c r="AY108" s="107"/>
      <c r="AZ108" s="107"/>
      <c r="BA108" s="107"/>
      <c r="BB108" s="107"/>
      <c r="BC108" s="107"/>
      <c r="BD108" s="107"/>
      <c r="BE108" s="107"/>
      <c r="BF108" s="107"/>
      <c r="BG108" s="107"/>
      <c r="BH108" s="107"/>
    </row>
    <row r="109" spans="1:60" x14ac:dyDescent="0.25">
      <c r="A109" s="96"/>
      <c r="B109" s="97"/>
      <c r="C109" s="97"/>
      <c r="D109" s="97"/>
      <c r="E109" s="98"/>
      <c r="F109" s="99" t="str">
        <f>IF(H109&lt;&gt;"",H109-Accueil!N$6+1/60/24,"")</f>
        <v/>
      </c>
      <c r="G109" s="97"/>
      <c r="H109" s="99"/>
      <c r="I109" s="99"/>
      <c r="J109" s="100"/>
      <c r="K109" s="101"/>
      <c r="L109" s="102"/>
      <c r="M109" s="103"/>
      <c r="N109" s="104"/>
      <c r="O109" s="97"/>
      <c r="P109" s="97"/>
      <c r="Q109" s="97"/>
      <c r="R109" s="105"/>
      <c r="S109" s="97"/>
      <c r="T109" s="97"/>
      <c r="U109" s="97" t="str">
        <f t="shared" si="3"/>
        <v/>
      </c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</row>
    <row r="110" spans="1:60" x14ac:dyDescent="0.25">
      <c r="A110" s="106"/>
      <c r="B110" s="107"/>
      <c r="C110" s="107"/>
      <c r="D110" s="107"/>
      <c r="E110" s="108"/>
      <c r="F110" s="109" t="str">
        <f>IF(H110&lt;&gt;"",H110-Accueil!N$6+1/60/24,"")</f>
        <v/>
      </c>
      <c r="G110" s="107"/>
      <c r="H110" s="109"/>
      <c r="I110" s="110"/>
      <c r="J110" s="110"/>
      <c r="K110" s="111"/>
      <c r="L110" s="112"/>
      <c r="M110" s="113"/>
      <c r="N110" s="114"/>
      <c r="O110" s="107"/>
      <c r="P110" s="107"/>
      <c r="Q110" s="115"/>
      <c r="R110" s="116"/>
      <c r="S110" s="107"/>
      <c r="T110" s="107"/>
      <c r="U110" s="107" t="str">
        <f t="shared" si="3"/>
        <v/>
      </c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  <c r="AY110" s="107"/>
      <c r="AZ110" s="107"/>
      <c r="BA110" s="107"/>
      <c r="BB110" s="107"/>
      <c r="BC110" s="107"/>
      <c r="BD110" s="107"/>
      <c r="BE110" s="107"/>
      <c r="BF110" s="107"/>
      <c r="BG110" s="107"/>
      <c r="BH110" s="107"/>
    </row>
    <row r="111" spans="1:60" x14ac:dyDescent="0.25">
      <c r="A111" s="96"/>
      <c r="B111" s="97"/>
      <c r="C111" s="97"/>
      <c r="D111" s="97"/>
      <c r="E111" s="98"/>
      <c r="F111" s="99" t="str">
        <f>IF(H111&lt;&gt;"",H111-Accueil!N$6+1/60/24,"")</f>
        <v/>
      </c>
      <c r="G111" s="97"/>
      <c r="H111" s="99"/>
      <c r="I111" s="99"/>
      <c r="J111" s="100"/>
      <c r="K111" s="101"/>
      <c r="L111" s="102"/>
      <c r="M111" s="103"/>
      <c r="N111" s="104"/>
      <c r="O111" s="97"/>
      <c r="P111" s="97"/>
      <c r="Q111" s="97"/>
      <c r="R111" s="105"/>
      <c r="S111" s="97"/>
      <c r="T111" s="97"/>
      <c r="U111" s="97" t="str">
        <f t="shared" si="3"/>
        <v/>
      </c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</row>
    <row r="112" spans="1:60" x14ac:dyDescent="0.25">
      <c r="A112" s="106"/>
      <c r="B112" s="107"/>
      <c r="C112" s="107"/>
      <c r="D112" s="107"/>
      <c r="E112" s="108"/>
      <c r="F112" s="109" t="str">
        <f>IF(H112&lt;&gt;"",H112-Accueil!N$6+1/60/24,"")</f>
        <v/>
      </c>
      <c r="G112" s="107"/>
      <c r="H112" s="109"/>
      <c r="I112" s="110"/>
      <c r="J112" s="110"/>
      <c r="K112" s="111"/>
      <c r="L112" s="112"/>
      <c r="M112" s="113"/>
      <c r="N112" s="114"/>
      <c r="O112" s="107"/>
      <c r="P112" s="107"/>
      <c r="Q112" s="115"/>
      <c r="R112" s="116"/>
      <c r="S112" s="107"/>
      <c r="T112" s="107"/>
      <c r="U112" s="107" t="str">
        <f t="shared" si="3"/>
        <v/>
      </c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X112" s="107"/>
      <c r="AY112" s="107"/>
      <c r="AZ112" s="107"/>
      <c r="BA112" s="107"/>
      <c r="BB112" s="107"/>
      <c r="BC112" s="107"/>
      <c r="BD112" s="107"/>
      <c r="BE112" s="107"/>
      <c r="BF112" s="107"/>
      <c r="BG112" s="107"/>
      <c r="BH112" s="107"/>
    </row>
    <row r="113" spans="1:60" x14ac:dyDescent="0.25">
      <c r="A113" s="96"/>
      <c r="B113" s="97"/>
      <c r="C113" s="97"/>
      <c r="D113" s="97"/>
      <c r="E113" s="98"/>
      <c r="F113" s="99" t="str">
        <f>IF(H113&lt;&gt;"",H113-Accueil!N$6+1/60/24,"")</f>
        <v/>
      </c>
      <c r="G113" s="97"/>
      <c r="H113" s="99"/>
      <c r="I113" s="99"/>
      <c r="J113" s="100"/>
      <c r="K113" s="101"/>
      <c r="L113" s="102"/>
      <c r="M113" s="103"/>
      <c r="N113" s="104"/>
      <c r="O113" s="97"/>
      <c r="P113" s="97"/>
      <c r="Q113" s="97"/>
      <c r="R113" s="105"/>
      <c r="S113" s="97"/>
      <c r="T113" s="97"/>
      <c r="U113" s="97" t="str">
        <f t="shared" si="3"/>
        <v/>
      </c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</row>
    <row r="114" spans="1:60" x14ac:dyDescent="0.25">
      <c r="A114" s="106"/>
      <c r="B114" s="107"/>
      <c r="C114" s="107"/>
      <c r="D114" s="107"/>
      <c r="E114" s="108"/>
      <c r="F114" s="109" t="str">
        <f>IF(H114&lt;&gt;"",H114-Accueil!N$6+1/60/24,"")</f>
        <v/>
      </c>
      <c r="G114" s="107"/>
      <c r="H114" s="109"/>
      <c r="I114" s="110"/>
      <c r="J114" s="110"/>
      <c r="K114" s="111"/>
      <c r="L114" s="112"/>
      <c r="M114" s="113"/>
      <c r="N114" s="114"/>
      <c r="O114" s="107"/>
      <c r="P114" s="107"/>
      <c r="Q114" s="115"/>
      <c r="R114" s="116"/>
      <c r="S114" s="107"/>
      <c r="T114" s="107"/>
      <c r="U114" s="107" t="str">
        <f t="shared" si="3"/>
        <v/>
      </c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X114" s="107"/>
      <c r="AY114" s="107"/>
      <c r="AZ114" s="107"/>
      <c r="BA114" s="107"/>
      <c r="BB114" s="107"/>
      <c r="BC114" s="107"/>
      <c r="BD114" s="107"/>
      <c r="BE114" s="107"/>
      <c r="BF114" s="107"/>
      <c r="BG114" s="107"/>
      <c r="BH114" s="107"/>
    </row>
    <row r="115" spans="1:60" x14ac:dyDescent="0.25">
      <c r="A115" s="96"/>
      <c r="B115" s="97"/>
      <c r="C115" s="97"/>
      <c r="D115" s="97"/>
      <c r="E115" s="98"/>
      <c r="F115" s="99" t="str">
        <f>IF(H115&lt;&gt;"",H115-Accueil!N$6+1/60/24,"")</f>
        <v/>
      </c>
      <c r="G115" s="97"/>
      <c r="H115" s="99"/>
      <c r="I115" s="99"/>
      <c r="J115" s="100"/>
      <c r="K115" s="101"/>
      <c r="L115" s="102"/>
      <c r="M115" s="103"/>
      <c r="N115" s="104"/>
      <c r="O115" s="97"/>
      <c r="P115" s="97"/>
      <c r="Q115" s="97"/>
      <c r="R115" s="105"/>
      <c r="S115" s="97"/>
      <c r="T115" s="97"/>
      <c r="U115" s="97" t="str">
        <f t="shared" si="3"/>
        <v/>
      </c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H115" s="97"/>
    </row>
    <row r="116" spans="1:60" x14ac:dyDescent="0.25">
      <c r="A116" s="106"/>
      <c r="B116" s="107"/>
      <c r="C116" s="107"/>
      <c r="D116" s="107"/>
      <c r="E116" s="108"/>
      <c r="F116" s="109" t="str">
        <f>IF(H116&lt;&gt;"",H116-Accueil!N$6+1/60/24,"")</f>
        <v/>
      </c>
      <c r="G116" s="107"/>
      <c r="H116" s="109"/>
      <c r="I116" s="110"/>
      <c r="J116" s="110"/>
      <c r="K116" s="111"/>
      <c r="L116" s="112"/>
      <c r="M116" s="113"/>
      <c r="N116" s="114"/>
      <c r="O116" s="107"/>
      <c r="P116" s="107"/>
      <c r="Q116" s="115"/>
      <c r="R116" s="116"/>
      <c r="S116" s="107"/>
      <c r="T116" s="107"/>
      <c r="U116" s="107" t="str">
        <f t="shared" si="3"/>
        <v/>
      </c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X116" s="107"/>
      <c r="AY116" s="107"/>
      <c r="AZ116" s="107"/>
      <c r="BA116" s="107"/>
      <c r="BB116" s="107"/>
      <c r="BC116" s="107"/>
      <c r="BD116" s="107"/>
      <c r="BE116" s="107"/>
      <c r="BF116" s="107"/>
      <c r="BG116" s="107"/>
      <c r="BH116" s="107"/>
    </row>
    <row r="117" spans="1:60" x14ac:dyDescent="0.25">
      <c r="A117" s="96"/>
      <c r="B117" s="97"/>
      <c r="C117" s="97"/>
      <c r="D117" s="97"/>
      <c r="E117" s="98"/>
      <c r="F117" s="99" t="str">
        <f>IF(H117&lt;&gt;"",H117-Accueil!N$6+1/60/24,"")</f>
        <v/>
      </c>
      <c r="G117" s="97"/>
      <c r="H117" s="99"/>
      <c r="I117" s="99"/>
      <c r="J117" s="100"/>
      <c r="K117" s="101"/>
      <c r="L117" s="102"/>
      <c r="M117" s="103"/>
      <c r="N117" s="104"/>
      <c r="O117" s="97"/>
      <c r="P117" s="97"/>
      <c r="Q117" s="97"/>
      <c r="R117" s="105"/>
      <c r="S117" s="97"/>
      <c r="T117" s="97"/>
      <c r="U117" s="97" t="str">
        <f t="shared" si="3"/>
        <v/>
      </c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</row>
    <row r="118" spans="1:60" x14ac:dyDescent="0.25">
      <c r="A118" s="106"/>
      <c r="B118" s="107"/>
      <c r="C118" s="107"/>
      <c r="D118" s="107"/>
      <c r="E118" s="108"/>
      <c r="F118" s="109" t="str">
        <f>IF(H118&lt;&gt;"",H118-Accueil!N$6+1/60/24,"")</f>
        <v/>
      </c>
      <c r="G118" s="107"/>
      <c r="H118" s="109"/>
      <c r="I118" s="110"/>
      <c r="J118" s="110"/>
      <c r="K118" s="111"/>
      <c r="L118" s="112"/>
      <c r="M118" s="113"/>
      <c r="N118" s="114"/>
      <c r="O118" s="107"/>
      <c r="P118" s="107"/>
      <c r="Q118" s="115"/>
      <c r="R118" s="116"/>
      <c r="S118" s="107"/>
      <c r="T118" s="107"/>
      <c r="U118" s="107" t="str">
        <f t="shared" si="3"/>
        <v/>
      </c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X118" s="107"/>
      <c r="AY118" s="107"/>
      <c r="AZ118" s="107"/>
      <c r="BA118" s="107"/>
      <c r="BB118" s="107"/>
      <c r="BC118" s="107"/>
      <c r="BD118" s="107"/>
      <c r="BE118" s="107"/>
      <c r="BF118" s="107"/>
      <c r="BG118" s="107"/>
      <c r="BH118" s="107"/>
    </row>
    <row r="119" spans="1:60" x14ac:dyDescent="0.25">
      <c r="A119" s="96"/>
      <c r="B119" s="97"/>
      <c r="C119" s="97"/>
      <c r="D119" s="97"/>
      <c r="E119" s="98"/>
      <c r="F119" s="99" t="str">
        <f>IF(H119&lt;&gt;"",H119-Accueil!N$6+1/60/24,"")</f>
        <v/>
      </c>
      <c r="G119" s="97"/>
      <c r="H119" s="99"/>
      <c r="I119" s="99"/>
      <c r="J119" s="100"/>
      <c r="K119" s="101"/>
      <c r="L119" s="102"/>
      <c r="M119" s="103"/>
      <c r="N119" s="104"/>
      <c r="O119" s="97"/>
      <c r="P119" s="97"/>
      <c r="Q119" s="97"/>
      <c r="R119" s="105"/>
      <c r="S119" s="97"/>
      <c r="T119" s="97"/>
      <c r="U119" s="97" t="str">
        <f t="shared" si="3"/>
        <v/>
      </c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</row>
    <row r="120" spans="1:60" x14ac:dyDescent="0.25">
      <c r="A120" s="106"/>
      <c r="B120" s="107"/>
      <c r="C120" s="107"/>
      <c r="D120" s="107"/>
      <c r="E120" s="108"/>
      <c r="F120" s="109" t="str">
        <f>IF(H120&lt;&gt;"",H120-Accueil!N$6+1/60/24,"")</f>
        <v/>
      </c>
      <c r="G120" s="107"/>
      <c r="H120" s="109"/>
      <c r="I120" s="110"/>
      <c r="J120" s="110"/>
      <c r="K120" s="111"/>
      <c r="L120" s="112"/>
      <c r="M120" s="113"/>
      <c r="N120" s="114"/>
      <c r="O120" s="107"/>
      <c r="P120" s="107"/>
      <c r="Q120" s="115"/>
      <c r="R120" s="116"/>
      <c r="S120" s="107"/>
      <c r="T120" s="107"/>
      <c r="U120" s="107" t="str">
        <f t="shared" si="3"/>
        <v/>
      </c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X120" s="107"/>
      <c r="AY120" s="107"/>
      <c r="AZ120" s="107"/>
      <c r="BA120" s="107"/>
      <c r="BB120" s="107"/>
      <c r="BC120" s="107"/>
      <c r="BD120" s="107"/>
      <c r="BE120" s="107"/>
      <c r="BF120" s="107"/>
      <c r="BG120" s="107"/>
      <c r="BH120" s="107"/>
    </row>
    <row r="121" spans="1:60" x14ac:dyDescent="0.25">
      <c r="A121" s="96"/>
      <c r="B121" s="97"/>
      <c r="C121" s="97"/>
      <c r="D121" s="97"/>
      <c r="E121" s="98"/>
      <c r="F121" s="99" t="str">
        <f>IF(H121&lt;&gt;"",H121-Accueil!N$6+1/60/24,"")</f>
        <v/>
      </c>
      <c r="G121" s="97"/>
      <c r="H121" s="99"/>
      <c r="I121" s="99"/>
      <c r="J121" s="100"/>
      <c r="K121" s="101"/>
      <c r="L121" s="102"/>
      <c r="M121" s="103"/>
      <c r="N121" s="104"/>
      <c r="O121" s="97"/>
      <c r="P121" s="97"/>
      <c r="Q121" s="97"/>
      <c r="R121" s="105"/>
      <c r="S121" s="97"/>
      <c r="T121" s="97"/>
      <c r="U121" s="97" t="str">
        <f t="shared" si="3"/>
        <v/>
      </c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</row>
    <row r="122" spans="1:60" x14ac:dyDescent="0.25">
      <c r="A122" s="106"/>
      <c r="B122" s="107"/>
      <c r="C122" s="107"/>
      <c r="D122" s="107"/>
      <c r="E122" s="108"/>
      <c r="F122" s="109" t="str">
        <f>IF(H122&lt;&gt;"",H122-Accueil!N$6+1/60/24,"")</f>
        <v/>
      </c>
      <c r="G122" s="107"/>
      <c r="H122" s="109"/>
      <c r="I122" s="110"/>
      <c r="J122" s="110"/>
      <c r="K122" s="111"/>
      <c r="L122" s="112"/>
      <c r="M122" s="113"/>
      <c r="N122" s="114"/>
      <c r="O122" s="107"/>
      <c r="P122" s="107"/>
      <c r="Q122" s="115"/>
      <c r="R122" s="116"/>
      <c r="S122" s="107"/>
      <c r="T122" s="107"/>
      <c r="U122" s="107" t="str">
        <f t="shared" si="3"/>
        <v/>
      </c>
      <c r="V122" s="107"/>
      <c r="W122" s="107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X122" s="107"/>
      <c r="AY122" s="107"/>
      <c r="AZ122" s="107"/>
      <c r="BA122" s="107"/>
      <c r="BB122" s="107"/>
      <c r="BC122" s="107"/>
      <c r="BD122" s="107"/>
      <c r="BE122" s="107"/>
      <c r="BF122" s="107"/>
      <c r="BG122" s="107"/>
      <c r="BH122" s="107"/>
    </row>
    <row r="123" spans="1:60" x14ac:dyDescent="0.25">
      <c r="A123" s="96"/>
      <c r="B123" s="97"/>
      <c r="C123" s="97"/>
      <c r="D123" s="97"/>
      <c r="E123" s="98"/>
      <c r="F123" s="99" t="str">
        <f>IF(H123&lt;&gt;"",H123-Accueil!N$6+1/60/24,"")</f>
        <v/>
      </c>
      <c r="G123" s="97"/>
      <c r="H123" s="99"/>
      <c r="I123" s="99"/>
      <c r="J123" s="100"/>
      <c r="K123" s="101"/>
      <c r="L123" s="102"/>
      <c r="M123" s="103"/>
      <c r="N123" s="104"/>
      <c r="O123" s="97"/>
      <c r="P123" s="97"/>
      <c r="Q123" s="97"/>
      <c r="R123" s="105"/>
      <c r="S123" s="97"/>
      <c r="T123" s="97"/>
      <c r="U123" s="97" t="str">
        <f t="shared" si="3"/>
        <v/>
      </c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H123" s="97"/>
    </row>
    <row r="124" spans="1:60" x14ac:dyDescent="0.25">
      <c r="A124" s="106"/>
      <c r="B124" s="107"/>
      <c r="C124" s="107"/>
      <c r="D124" s="107"/>
      <c r="E124" s="108"/>
      <c r="F124" s="109" t="str">
        <f>IF(H124&lt;&gt;"",H124-Accueil!N$6+1/60/24,"")</f>
        <v/>
      </c>
      <c r="G124" s="107"/>
      <c r="H124" s="109"/>
      <c r="I124" s="110"/>
      <c r="J124" s="110"/>
      <c r="K124" s="111"/>
      <c r="L124" s="112"/>
      <c r="M124" s="113"/>
      <c r="N124" s="114"/>
      <c r="O124" s="107"/>
      <c r="P124" s="107"/>
      <c r="Q124" s="115"/>
      <c r="R124" s="116"/>
      <c r="S124" s="107"/>
      <c r="T124" s="107"/>
      <c r="U124" s="107" t="str">
        <f t="shared" si="3"/>
        <v/>
      </c>
      <c r="V124" s="107"/>
      <c r="W124" s="107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X124" s="107"/>
      <c r="AY124" s="107"/>
      <c r="AZ124" s="107"/>
      <c r="BA124" s="107"/>
      <c r="BB124" s="107"/>
      <c r="BC124" s="107"/>
      <c r="BD124" s="107"/>
      <c r="BE124" s="107"/>
      <c r="BF124" s="107"/>
      <c r="BG124" s="107"/>
      <c r="BH124" s="107"/>
    </row>
    <row r="125" spans="1:60" x14ac:dyDescent="0.25">
      <c r="A125" s="96"/>
      <c r="B125" s="97"/>
      <c r="C125" s="97"/>
      <c r="D125" s="97"/>
      <c r="E125" s="98"/>
      <c r="F125" s="99" t="str">
        <f>IF(H125&lt;&gt;"",H125-Accueil!N$6+1/60/24,"")</f>
        <v/>
      </c>
      <c r="G125" s="97"/>
      <c r="H125" s="99"/>
      <c r="I125" s="99"/>
      <c r="J125" s="100"/>
      <c r="K125" s="101"/>
      <c r="L125" s="102"/>
      <c r="M125" s="103"/>
      <c r="N125" s="104"/>
      <c r="O125" s="97"/>
      <c r="P125" s="97"/>
      <c r="Q125" s="97"/>
      <c r="R125" s="105"/>
      <c r="S125" s="97"/>
      <c r="T125" s="97"/>
      <c r="U125" s="97" t="str">
        <f t="shared" si="3"/>
        <v/>
      </c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H125" s="97"/>
    </row>
    <row r="126" spans="1:60" x14ac:dyDescent="0.25">
      <c r="A126" s="106"/>
      <c r="B126" s="107"/>
      <c r="C126" s="107"/>
      <c r="D126" s="107"/>
      <c r="E126" s="108"/>
      <c r="F126" s="109" t="str">
        <f>IF(H126&lt;&gt;"",H126-Accueil!N$6+1/60/24,"")</f>
        <v/>
      </c>
      <c r="G126" s="107"/>
      <c r="H126" s="109"/>
      <c r="I126" s="110"/>
      <c r="J126" s="110"/>
      <c r="K126" s="111"/>
      <c r="L126" s="112"/>
      <c r="M126" s="113"/>
      <c r="N126" s="114"/>
      <c r="O126" s="107"/>
      <c r="P126" s="107"/>
      <c r="Q126" s="115"/>
      <c r="R126" s="116"/>
      <c r="S126" s="107"/>
      <c r="T126" s="107"/>
      <c r="U126" s="107" t="str">
        <f t="shared" si="3"/>
        <v/>
      </c>
      <c r="V126" s="107"/>
      <c r="W126" s="107"/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X126" s="107"/>
      <c r="AY126" s="107"/>
      <c r="AZ126" s="107"/>
      <c r="BA126" s="107"/>
      <c r="BB126" s="107"/>
      <c r="BC126" s="107"/>
      <c r="BD126" s="107"/>
      <c r="BE126" s="107"/>
      <c r="BF126" s="107"/>
      <c r="BG126" s="107"/>
      <c r="BH126" s="107"/>
    </row>
    <row r="127" spans="1:60" x14ac:dyDescent="0.25">
      <c r="A127" s="96"/>
      <c r="B127" s="97"/>
      <c r="C127" s="97"/>
      <c r="D127" s="97"/>
      <c r="E127" s="98"/>
      <c r="F127" s="99" t="str">
        <f>IF(H127&lt;&gt;"",H127-Accueil!N$6+1/60/24,"")</f>
        <v/>
      </c>
      <c r="G127" s="97"/>
      <c r="H127" s="99"/>
      <c r="I127" s="99"/>
      <c r="J127" s="100"/>
      <c r="K127" s="101"/>
      <c r="L127" s="102"/>
      <c r="M127" s="103"/>
      <c r="N127" s="104"/>
      <c r="O127" s="97"/>
      <c r="P127" s="97"/>
      <c r="Q127" s="97"/>
      <c r="R127" s="105"/>
      <c r="S127" s="97"/>
      <c r="T127" s="97"/>
      <c r="U127" s="97" t="str">
        <f t="shared" si="3"/>
        <v/>
      </c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H127" s="97"/>
    </row>
    <row r="128" spans="1:60" x14ac:dyDescent="0.25">
      <c r="A128" s="106"/>
      <c r="B128" s="107"/>
      <c r="C128" s="107"/>
      <c r="D128" s="107"/>
      <c r="E128" s="108"/>
      <c r="F128" s="109" t="str">
        <f>IF(H128&lt;&gt;"",H128-Accueil!N$6+1/60/24,"")</f>
        <v/>
      </c>
      <c r="G128" s="107"/>
      <c r="H128" s="109"/>
      <c r="I128" s="110"/>
      <c r="J128" s="110"/>
      <c r="K128" s="111"/>
      <c r="L128" s="112"/>
      <c r="M128" s="113"/>
      <c r="N128" s="114"/>
      <c r="O128" s="107"/>
      <c r="P128" s="107"/>
      <c r="Q128" s="115"/>
      <c r="R128" s="116"/>
      <c r="S128" s="107"/>
      <c r="T128" s="107"/>
      <c r="U128" s="107" t="str">
        <f t="shared" si="3"/>
        <v/>
      </c>
      <c r="V128" s="107"/>
      <c r="W128" s="107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X128" s="107"/>
      <c r="AY128" s="107"/>
      <c r="AZ128" s="107"/>
      <c r="BA128" s="107"/>
      <c r="BB128" s="107"/>
      <c r="BC128" s="107"/>
      <c r="BD128" s="107"/>
      <c r="BE128" s="107"/>
      <c r="BF128" s="107"/>
      <c r="BG128" s="107"/>
      <c r="BH128" s="107"/>
    </row>
    <row r="129" spans="1:60" x14ac:dyDescent="0.25">
      <c r="A129" s="96"/>
      <c r="B129" s="97"/>
      <c r="C129" s="97"/>
      <c r="D129" s="97"/>
      <c r="E129" s="98"/>
      <c r="F129" s="99" t="str">
        <f>IF(H129&lt;&gt;"",H129-Accueil!N$6+1/60/24,"")</f>
        <v/>
      </c>
      <c r="G129" s="97"/>
      <c r="H129" s="99"/>
      <c r="I129" s="99"/>
      <c r="J129" s="100"/>
      <c r="K129" s="101"/>
      <c r="L129" s="102"/>
      <c r="M129" s="103"/>
      <c r="N129" s="104"/>
      <c r="O129" s="97"/>
      <c r="P129" s="97"/>
      <c r="Q129" s="97"/>
      <c r="R129" s="105"/>
      <c r="S129" s="97"/>
      <c r="T129" s="97"/>
      <c r="U129" s="97" t="str">
        <f t="shared" si="3"/>
        <v/>
      </c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H129" s="97"/>
    </row>
    <row r="130" spans="1:60" x14ac:dyDescent="0.25">
      <c r="A130" s="106"/>
      <c r="B130" s="107"/>
      <c r="C130" s="107"/>
      <c r="D130" s="107"/>
      <c r="E130" s="108"/>
      <c r="F130" s="109" t="str">
        <f>IF(H130&lt;&gt;"",H130-Accueil!N$6+1/60/24,"")</f>
        <v/>
      </c>
      <c r="G130" s="107"/>
      <c r="H130" s="109"/>
      <c r="I130" s="110"/>
      <c r="J130" s="110"/>
      <c r="K130" s="111"/>
      <c r="L130" s="112"/>
      <c r="M130" s="113"/>
      <c r="N130" s="114"/>
      <c r="O130" s="107"/>
      <c r="P130" s="107"/>
      <c r="Q130" s="115"/>
      <c r="R130" s="116"/>
      <c r="S130" s="107"/>
      <c r="T130" s="107"/>
      <c r="U130" s="107" t="str">
        <f t="shared" si="3"/>
        <v/>
      </c>
      <c r="V130" s="107"/>
      <c r="W130" s="107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X130" s="107"/>
      <c r="AY130" s="107"/>
      <c r="AZ130" s="107"/>
      <c r="BA130" s="107"/>
      <c r="BB130" s="107"/>
      <c r="BC130" s="107"/>
      <c r="BD130" s="107"/>
      <c r="BE130" s="107"/>
      <c r="BF130" s="107"/>
      <c r="BG130" s="107"/>
      <c r="BH130" s="107"/>
    </row>
    <row r="131" spans="1:60" x14ac:dyDescent="0.25">
      <c r="A131" s="96"/>
      <c r="B131" s="97"/>
      <c r="D131" s="97"/>
      <c r="E131" s="98"/>
      <c r="F131" s="99" t="str">
        <f>IF(H131&lt;&gt;"",H131-Accueil!N$6+1/60/24,"")</f>
        <v/>
      </c>
      <c r="G131" s="97"/>
      <c r="H131" s="99"/>
      <c r="I131" s="99"/>
      <c r="J131" s="100"/>
      <c r="K131" s="101"/>
      <c r="L131" s="102"/>
      <c r="M131" s="103"/>
      <c r="N131" s="104"/>
      <c r="O131" s="97"/>
      <c r="P131" s="97"/>
      <c r="Q131" s="97"/>
      <c r="R131" s="105"/>
      <c r="S131" s="97"/>
      <c r="T131" s="97"/>
      <c r="U131" s="97" t="str">
        <f t="shared" ref="U131:U194" si="4">IF(B131="","",IF(I131="",0,1))</f>
        <v/>
      </c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/>
      <c r="AP131" s="97"/>
      <c r="AQ131" s="97"/>
      <c r="AR131" s="97"/>
      <c r="AS131" s="97"/>
      <c r="AT131" s="97"/>
      <c r="AU131" s="97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  <c r="BG131" s="97"/>
      <c r="BH131" s="97"/>
    </row>
    <row r="132" spans="1:60" x14ac:dyDescent="0.25">
      <c r="A132" s="106"/>
      <c r="B132" s="107"/>
      <c r="C132" s="107"/>
      <c r="D132" s="107"/>
      <c r="E132" s="108"/>
      <c r="F132" s="109" t="str">
        <f>IF(H132&lt;&gt;"",H132-Accueil!N$6+1/60/24,"")</f>
        <v/>
      </c>
      <c r="G132" s="107"/>
      <c r="H132" s="109"/>
      <c r="I132" s="110"/>
      <c r="J132" s="110"/>
      <c r="K132" s="111"/>
      <c r="L132" s="112"/>
      <c r="M132" s="113"/>
      <c r="N132" s="114"/>
      <c r="O132" s="107"/>
      <c r="P132" s="107"/>
      <c r="Q132" s="115"/>
      <c r="R132" s="116"/>
      <c r="S132" s="107"/>
      <c r="T132" s="107"/>
      <c r="U132" s="107" t="str">
        <f t="shared" si="4"/>
        <v/>
      </c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107"/>
      <c r="BD132" s="107"/>
      <c r="BE132" s="107"/>
      <c r="BF132" s="107"/>
      <c r="BG132" s="107"/>
      <c r="BH132" s="107"/>
    </row>
    <row r="133" spans="1:60" x14ac:dyDescent="0.25">
      <c r="A133" s="96"/>
      <c r="B133" s="97"/>
      <c r="D133" s="97"/>
      <c r="E133" s="98"/>
      <c r="F133" s="99" t="str">
        <f>IF(H133&lt;&gt;"",H133-Accueil!N$6+1/60/24,"")</f>
        <v/>
      </c>
      <c r="G133" s="97"/>
      <c r="H133" s="99"/>
      <c r="I133" s="99"/>
      <c r="J133" s="100"/>
      <c r="K133" s="101"/>
      <c r="L133" s="102"/>
      <c r="M133" s="103"/>
      <c r="N133" s="104"/>
      <c r="O133" s="97"/>
      <c r="P133" s="97"/>
      <c r="Q133" s="97"/>
      <c r="R133" s="105"/>
      <c r="S133" s="97"/>
      <c r="T133" s="97"/>
      <c r="U133" s="97" t="str">
        <f t="shared" si="4"/>
        <v/>
      </c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H133" s="97"/>
    </row>
    <row r="134" spans="1:60" x14ac:dyDescent="0.25">
      <c r="A134" s="106"/>
      <c r="B134" s="107"/>
      <c r="C134" s="107"/>
      <c r="D134" s="107"/>
      <c r="E134" s="108"/>
      <c r="F134" s="109" t="str">
        <f>IF(H134&lt;&gt;"",H134-Accueil!N$6+1/60/24,"")</f>
        <v/>
      </c>
      <c r="G134" s="107"/>
      <c r="H134" s="109"/>
      <c r="I134" s="110"/>
      <c r="J134" s="110"/>
      <c r="K134" s="111"/>
      <c r="L134" s="112"/>
      <c r="M134" s="113"/>
      <c r="N134" s="114"/>
      <c r="O134" s="107"/>
      <c r="P134" s="107"/>
      <c r="Q134" s="115"/>
      <c r="R134" s="116"/>
      <c r="S134" s="107"/>
      <c r="T134" s="107"/>
      <c r="U134" s="107" t="str">
        <f t="shared" si="4"/>
        <v/>
      </c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  <c r="AY134" s="107"/>
      <c r="AZ134" s="107"/>
      <c r="BA134" s="107"/>
      <c r="BB134" s="107"/>
      <c r="BC134" s="107"/>
      <c r="BD134" s="107"/>
      <c r="BE134" s="107"/>
      <c r="BF134" s="107"/>
      <c r="BG134" s="107"/>
      <c r="BH134" s="107"/>
    </row>
    <row r="135" spans="1:60" x14ac:dyDescent="0.25">
      <c r="A135" s="96"/>
      <c r="B135" s="97"/>
      <c r="C135" s="97"/>
      <c r="D135" s="97"/>
      <c r="E135" s="98"/>
      <c r="F135" s="99" t="str">
        <f>IF(H135&lt;&gt;"",H135-Accueil!N$6+1/60/24,"")</f>
        <v/>
      </c>
      <c r="G135" s="97"/>
      <c r="H135" s="99"/>
      <c r="I135" s="99"/>
      <c r="J135" s="100"/>
      <c r="K135" s="101"/>
      <c r="L135" s="102"/>
      <c r="M135" s="103"/>
      <c r="N135" s="104"/>
      <c r="O135" s="97"/>
      <c r="P135" s="97"/>
      <c r="Q135" s="97"/>
      <c r="R135" s="105"/>
      <c r="S135" s="97"/>
      <c r="T135" s="97"/>
      <c r="U135" s="97" t="str">
        <f t="shared" si="4"/>
        <v/>
      </c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H135" s="97"/>
    </row>
    <row r="136" spans="1:60" x14ac:dyDescent="0.25">
      <c r="A136" s="106"/>
      <c r="B136" s="107"/>
      <c r="C136" s="107"/>
      <c r="D136" s="107"/>
      <c r="E136" s="108"/>
      <c r="F136" s="109"/>
      <c r="G136" s="107"/>
      <c r="H136" s="109"/>
      <c r="I136" s="110"/>
      <c r="J136" s="110"/>
      <c r="K136" s="111"/>
      <c r="L136" s="112"/>
      <c r="M136" s="113"/>
      <c r="N136" s="114"/>
      <c r="O136" s="107"/>
      <c r="P136" s="107"/>
      <c r="Q136" s="115"/>
      <c r="R136" s="116"/>
      <c r="S136" s="116"/>
      <c r="T136" s="107"/>
      <c r="U136" s="107" t="str">
        <f t="shared" si="4"/>
        <v/>
      </c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  <c r="AY136" s="107"/>
      <c r="AZ136" s="107"/>
      <c r="BA136" s="107"/>
      <c r="BB136" s="107"/>
      <c r="BC136" s="107"/>
      <c r="BD136" s="107"/>
      <c r="BE136" s="107"/>
      <c r="BF136" s="107"/>
      <c r="BG136" s="107"/>
      <c r="BH136" s="107"/>
    </row>
    <row r="137" spans="1:60" x14ac:dyDescent="0.25">
      <c r="A137" s="96"/>
      <c r="B137" s="97"/>
      <c r="C137" s="97"/>
      <c r="D137" s="97"/>
      <c r="E137" s="98"/>
      <c r="F137" s="99" t="str">
        <f>IF(H137&lt;&gt;"",H137-Accueil!N$6+1/60/24,"")</f>
        <v/>
      </c>
      <c r="G137" s="97"/>
      <c r="H137" s="99"/>
      <c r="I137" s="99"/>
      <c r="J137" s="100"/>
      <c r="K137" s="101"/>
      <c r="L137" s="102"/>
      <c r="M137" s="103"/>
      <c r="N137" s="104"/>
      <c r="O137" s="97"/>
      <c r="P137" s="97"/>
      <c r="Q137" s="97"/>
      <c r="R137" s="105"/>
      <c r="S137" s="97"/>
      <c r="T137" s="97"/>
      <c r="U137" s="97" t="str">
        <f t="shared" si="4"/>
        <v/>
      </c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97"/>
      <c r="AT137" s="97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H137" s="97"/>
    </row>
    <row r="138" spans="1:60" x14ac:dyDescent="0.25">
      <c r="A138" s="106"/>
      <c r="B138" s="107"/>
      <c r="C138" s="107"/>
      <c r="D138" s="107"/>
      <c r="E138" s="108"/>
      <c r="F138" s="109" t="str">
        <f>IF(H138&lt;&gt;"",H138-Accueil!N$6+1/60/24,"")</f>
        <v/>
      </c>
      <c r="G138" s="107"/>
      <c r="H138" s="109"/>
      <c r="I138" s="110"/>
      <c r="J138" s="110"/>
      <c r="K138" s="111"/>
      <c r="L138" s="112"/>
      <c r="M138" s="113"/>
      <c r="N138" s="114"/>
      <c r="O138" s="107"/>
      <c r="P138" s="107"/>
      <c r="Q138" s="115"/>
      <c r="R138" s="116"/>
      <c r="S138" s="107"/>
      <c r="T138" s="107"/>
      <c r="U138" s="107" t="str">
        <f t="shared" si="4"/>
        <v/>
      </c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</row>
    <row r="139" spans="1:60" x14ac:dyDescent="0.25">
      <c r="A139" s="96"/>
      <c r="B139" s="97"/>
      <c r="C139" s="97"/>
      <c r="D139" s="97"/>
      <c r="E139" s="98"/>
      <c r="F139" s="99" t="str">
        <f>IF(H139&lt;&gt;"",H139-Accueil!N$6+1/60/24,"")</f>
        <v/>
      </c>
      <c r="G139" s="97"/>
      <c r="H139" s="99"/>
      <c r="I139" s="99"/>
      <c r="J139" s="100"/>
      <c r="K139" s="101"/>
      <c r="L139" s="102"/>
      <c r="M139" s="103"/>
      <c r="N139" s="104"/>
      <c r="O139" s="97"/>
      <c r="P139" s="97"/>
      <c r="Q139" s="97"/>
      <c r="R139" s="105"/>
      <c r="S139" s="97"/>
      <c r="T139" s="97"/>
      <c r="U139" s="97" t="str">
        <f t="shared" si="4"/>
        <v/>
      </c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</row>
    <row r="140" spans="1:60" x14ac:dyDescent="0.25">
      <c r="A140" s="106"/>
      <c r="B140" s="107"/>
      <c r="C140" s="107"/>
      <c r="D140" s="107"/>
      <c r="E140" s="108"/>
      <c r="F140" s="109" t="str">
        <f>IF(H140&lt;&gt;"",H140-Accueil!N$6+1/60/24,"")</f>
        <v/>
      </c>
      <c r="G140" s="107"/>
      <c r="H140" s="109"/>
      <c r="I140" s="110"/>
      <c r="J140" s="110"/>
      <c r="K140" s="111"/>
      <c r="L140" s="112"/>
      <c r="M140" s="113"/>
      <c r="N140" s="114"/>
      <c r="O140" s="107"/>
      <c r="P140" s="107"/>
      <c r="Q140" s="115"/>
      <c r="R140" s="116"/>
      <c r="S140" s="107"/>
      <c r="T140" s="107"/>
      <c r="U140" s="107" t="str">
        <f t="shared" si="4"/>
        <v/>
      </c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</row>
    <row r="141" spans="1:60" x14ac:dyDescent="0.25">
      <c r="A141" s="96"/>
      <c r="B141" s="97"/>
      <c r="D141" s="97"/>
      <c r="E141" s="98"/>
      <c r="F141" s="99" t="str">
        <f>IF(H141&lt;&gt;"",H141-Accueil!N$6+1/60/24,"")</f>
        <v/>
      </c>
      <c r="G141" s="97"/>
      <c r="H141" s="99"/>
      <c r="I141" s="99"/>
      <c r="J141" s="100"/>
      <c r="K141" s="101"/>
      <c r="L141" s="102"/>
      <c r="M141" s="103"/>
      <c r="N141" s="104"/>
      <c r="O141" s="97"/>
      <c r="P141" s="97"/>
      <c r="Q141" s="97"/>
      <c r="R141" s="105"/>
      <c r="S141" s="97"/>
      <c r="T141" s="97"/>
      <c r="U141" s="97" t="str">
        <f t="shared" si="4"/>
        <v/>
      </c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</row>
    <row r="142" spans="1:60" x14ac:dyDescent="0.25">
      <c r="A142" s="106"/>
      <c r="B142" s="107"/>
      <c r="C142" s="107"/>
      <c r="D142" s="107"/>
      <c r="E142" s="108"/>
      <c r="F142" s="109" t="str">
        <f>IF(H142&lt;&gt;"",H142-Accueil!N$6+1/60/24,"")</f>
        <v/>
      </c>
      <c r="G142" s="107"/>
      <c r="H142" s="109"/>
      <c r="I142" s="110"/>
      <c r="J142" s="110"/>
      <c r="K142" s="111"/>
      <c r="L142" s="112"/>
      <c r="M142" s="113"/>
      <c r="N142" s="114"/>
      <c r="O142" s="107"/>
      <c r="P142" s="107"/>
      <c r="Q142" s="115"/>
      <c r="R142" s="116"/>
      <c r="S142" s="107"/>
      <c r="T142" s="107"/>
      <c r="U142" s="107" t="str">
        <f t="shared" si="4"/>
        <v/>
      </c>
      <c r="V142" s="107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</row>
    <row r="143" spans="1:60" x14ac:dyDescent="0.25">
      <c r="A143" s="96"/>
      <c r="B143" s="97"/>
      <c r="C143" s="97"/>
      <c r="D143" s="97"/>
      <c r="E143" s="98"/>
      <c r="F143" s="99" t="str">
        <f>IF(H143&lt;&gt;"",H143-Accueil!N$6+1/60/24,"")</f>
        <v/>
      </c>
      <c r="G143" s="97"/>
      <c r="H143" s="99"/>
      <c r="I143" s="99"/>
      <c r="J143" s="100"/>
      <c r="K143" s="101"/>
      <c r="L143" s="102"/>
      <c r="M143" s="103"/>
      <c r="N143" s="104"/>
      <c r="O143" s="97"/>
      <c r="P143" s="97"/>
      <c r="Q143" s="97"/>
      <c r="R143" s="105"/>
      <c r="S143" s="97"/>
      <c r="T143" s="97"/>
      <c r="U143" s="97" t="str">
        <f t="shared" si="4"/>
        <v/>
      </c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</row>
    <row r="144" spans="1:60" x14ac:dyDescent="0.25">
      <c r="A144" s="106"/>
      <c r="B144" s="107"/>
      <c r="C144" s="107"/>
      <c r="D144" s="107"/>
      <c r="E144" s="108"/>
      <c r="F144" s="109" t="str">
        <f>IF(H144&lt;&gt;"",H144-Accueil!N$6+1/60/24,"")</f>
        <v/>
      </c>
      <c r="G144" s="107"/>
      <c r="H144" s="109"/>
      <c r="I144" s="110"/>
      <c r="J144" s="110"/>
      <c r="K144" s="111"/>
      <c r="L144" s="112"/>
      <c r="M144" s="113"/>
      <c r="N144" s="114"/>
      <c r="O144" s="107"/>
      <c r="P144" s="107"/>
      <c r="Q144" s="115"/>
      <c r="R144" s="116"/>
      <c r="S144" s="107"/>
      <c r="T144" s="107"/>
      <c r="U144" s="107" t="str">
        <f t="shared" si="4"/>
        <v/>
      </c>
      <c r="V144" s="107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</row>
    <row r="145" spans="1:60" x14ac:dyDescent="0.25">
      <c r="A145" s="96"/>
      <c r="B145" s="97"/>
      <c r="C145" s="97"/>
      <c r="D145" s="97"/>
      <c r="E145" s="98"/>
      <c r="F145" s="99" t="str">
        <f>IF(H145&lt;&gt;"",H145-Accueil!N$6+1/60/24,"")</f>
        <v/>
      </c>
      <c r="G145" s="97"/>
      <c r="H145" s="99"/>
      <c r="I145" s="99"/>
      <c r="J145" s="100"/>
      <c r="K145" s="101"/>
      <c r="L145" s="102"/>
      <c r="M145" s="103"/>
      <c r="N145" s="104"/>
      <c r="O145" s="97"/>
      <c r="P145" s="97"/>
      <c r="Q145" s="97"/>
      <c r="R145" s="105"/>
      <c r="S145" s="97"/>
      <c r="T145" s="97"/>
      <c r="U145" s="97" t="str">
        <f t="shared" si="4"/>
        <v/>
      </c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</row>
    <row r="146" spans="1:60" x14ac:dyDescent="0.25">
      <c r="A146" s="106"/>
      <c r="B146" s="107"/>
      <c r="C146" s="107"/>
      <c r="D146" s="107"/>
      <c r="E146" s="108"/>
      <c r="F146" s="109" t="str">
        <f>IF(H146&lt;&gt;"",H146-Accueil!N$6+1/60/24,"")</f>
        <v/>
      </c>
      <c r="G146" s="107"/>
      <c r="H146" s="109"/>
      <c r="I146" s="110"/>
      <c r="J146" s="110"/>
      <c r="K146" s="111"/>
      <c r="L146" s="112"/>
      <c r="M146" s="113"/>
      <c r="N146" s="114"/>
      <c r="O146" s="107"/>
      <c r="P146" s="107"/>
      <c r="Q146" s="115"/>
      <c r="R146" s="116"/>
      <c r="S146" s="107"/>
      <c r="T146" s="107"/>
      <c r="U146" s="107" t="str">
        <f t="shared" si="4"/>
        <v/>
      </c>
      <c r="V146" s="107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</row>
    <row r="147" spans="1:60" x14ac:dyDescent="0.25">
      <c r="A147" s="96"/>
      <c r="B147" s="97"/>
      <c r="C147" s="97"/>
      <c r="D147" s="97"/>
      <c r="E147" s="98"/>
      <c r="F147" s="99" t="str">
        <f>IF(H147&lt;&gt;"",H147-Accueil!N$6+1/60/24,"")</f>
        <v/>
      </c>
      <c r="G147" s="97"/>
      <c r="H147" s="99"/>
      <c r="I147" s="99"/>
      <c r="J147" s="100"/>
      <c r="K147" s="101"/>
      <c r="L147" s="102"/>
      <c r="M147" s="103"/>
      <c r="N147" s="104"/>
      <c r="O147" s="97"/>
      <c r="P147" s="97"/>
      <c r="Q147" s="97"/>
      <c r="R147" s="105"/>
      <c r="S147" s="97"/>
      <c r="T147" s="97"/>
      <c r="U147" s="97" t="str">
        <f t="shared" si="4"/>
        <v/>
      </c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97"/>
      <c r="AS147" s="97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</row>
    <row r="148" spans="1:60" x14ac:dyDescent="0.25">
      <c r="A148" s="106"/>
      <c r="B148" s="107"/>
      <c r="C148" s="107"/>
      <c r="D148" s="107"/>
      <c r="E148" s="108"/>
      <c r="F148" s="109" t="str">
        <f>IF(H148&lt;&gt;"",H148-Accueil!N$6+1/60/24,"")</f>
        <v/>
      </c>
      <c r="G148" s="107"/>
      <c r="H148" s="109"/>
      <c r="I148" s="110"/>
      <c r="J148" s="110"/>
      <c r="K148" s="111"/>
      <c r="L148" s="112"/>
      <c r="M148" s="113"/>
      <c r="N148" s="114"/>
      <c r="O148" s="107"/>
      <c r="P148" s="107"/>
      <c r="Q148" s="115"/>
      <c r="R148" s="116"/>
      <c r="S148" s="107"/>
      <c r="T148" s="107"/>
      <c r="U148" s="107" t="str">
        <f t="shared" si="4"/>
        <v/>
      </c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</row>
    <row r="149" spans="1:60" x14ac:dyDescent="0.25">
      <c r="A149" s="96"/>
      <c r="B149" s="97"/>
      <c r="C149" s="97"/>
      <c r="D149" s="97"/>
      <c r="E149" s="98"/>
      <c r="F149" s="99" t="str">
        <f>IF(H149&lt;&gt;"",H149-Accueil!N$6+1/60/24,"")</f>
        <v/>
      </c>
      <c r="G149" s="97"/>
      <c r="H149" s="99"/>
      <c r="I149" s="99"/>
      <c r="J149" s="100"/>
      <c r="K149" s="101"/>
      <c r="L149" s="102"/>
      <c r="M149" s="103"/>
      <c r="N149" s="104"/>
      <c r="O149" s="97"/>
      <c r="P149" s="97"/>
      <c r="Q149" s="97"/>
      <c r="R149" s="105"/>
      <c r="S149" s="97"/>
      <c r="T149" s="97"/>
      <c r="U149" s="97" t="str">
        <f t="shared" si="4"/>
        <v/>
      </c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</row>
    <row r="150" spans="1:60" x14ac:dyDescent="0.25">
      <c r="A150" s="106"/>
      <c r="B150" s="97"/>
      <c r="C150" s="97"/>
      <c r="D150" s="97"/>
      <c r="E150" s="108"/>
      <c r="F150" s="109" t="str">
        <f>IF(H150&lt;&gt;"",H150-Accueil!N$6+1/60/24,"")</f>
        <v/>
      </c>
      <c r="G150" s="107"/>
      <c r="H150" s="109"/>
      <c r="I150" s="110"/>
      <c r="J150" s="110"/>
      <c r="K150" s="111"/>
      <c r="L150" s="102"/>
      <c r="M150" s="113"/>
      <c r="N150" s="104"/>
      <c r="O150" s="97"/>
      <c r="P150" s="107"/>
      <c r="Q150" s="115"/>
      <c r="R150" s="116"/>
      <c r="S150" s="97"/>
      <c r="T150" s="97"/>
      <c r="U150" s="107" t="str">
        <f t="shared" si="4"/>
        <v/>
      </c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</row>
    <row r="151" spans="1:60" x14ac:dyDescent="0.25">
      <c r="A151" s="96"/>
      <c r="B151" s="97"/>
      <c r="C151" s="97"/>
      <c r="D151" s="97"/>
      <c r="E151" s="98"/>
      <c r="F151" s="99" t="str">
        <f>IF(H151&lt;&gt;"",H151-Accueil!N$6+1/60/24,"")</f>
        <v/>
      </c>
      <c r="G151" s="97"/>
      <c r="H151" s="99"/>
      <c r="I151" s="110"/>
      <c r="J151" s="110"/>
      <c r="K151" s="101"/>
      <c r="L151" s="112"/>
      <c r="M151" s="113"/>
      <c r="N151" s="104"/>
      <c r="O151" s="97"/>
      <c r="P151" s="97"/>
      <c r="Q151" s="97"/>
      <c r="R151" s="105"/>
      <c r="S151" s="97"/>
      <c r="T151" s="107"/>
      <c r="U151" s="107" t="str">
        <f t="shared" si="4"/>
        <v/>
      </c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97"/>
      <c r="AS151" s="97"/>
      <c r="AT151" s="97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H151" s="97"/>
    </row>
    <row r="152" spans="1:60" x14ac:dyDescent="0.25">
      <c r="A152" s="106"/>
      <c r="B152" s="107"/>
      <c r="C152" s="107"/>
      <c r="D152" s="107"/>
      <c r="E152" s="108"/>
      <c r="F152" s="109"/>
      <c r="G152" s="107"/>
      <c r="H152" s="109"/>
      <c r="I152" s="110"/>
      <c r="J152" s="110"/>
      <c r="K152" s="111"/>
      <c r="L152" s="112"/>
      <c r="M152" s="113"/>
      <c r="N152" s="114"/>
      <c r="O152" s="107"/>
      <c r="P152" s="107"/>
      <c r="Q152" s="115"/>
      <c r="R152" s="116"/>
      <c r="S152" s="107"/>
      <c r="T152" s="107"/>
      <c r="U152" s="107" t="str">
        <f t="shared" si="4"/>
        <v/>
      </c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</row>
    <row r="153" spans="1:60" x14ac:dyDescent="0.25">
      <c r="A153" s="96"/>
      <c r="B153" s="97"/>
      <c r="C153" s="97"/>
      <c r="D153" s="97"/>
      <c r="E153" s="98"/>
      <c r="F153" s="99"/>
      <c r="G153" s="97"/>
      <c r="H153" s="99"/>
      <c r="I153" s="99"/>
      <c r="J153" s="100"/>
      <c r="K153" s="101"/>
      <c r="L153" s="102"/>
      <c r="M153" s="103"/>
      <c r="N153" s="104"/>
      <c r="O153" s="97"/>
      <c r="P153" s="97"/>
      <c r="Q153" s="97"/>
      <c r="R153" s="105"/>
      <c r="S153" s="97"/>
      <c r="T153" s="97"/>
      <c r="U153" s="97" t="str">
        <f t="shared" si="4"/>
        <v/>
      </c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7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97"/>
    </row>
    <row r="154" spans="1:60" x14ac:dyDescent="0.25">
      <c r="A154" s="106"/>
      <c r="B154" s="107"/>
      <c r="C154" s="107"/>
      <c r="D154" s="107"/>
      <c r="E154" s="108"/>
      <c r="F154" s="109"/>
      <c r="G154" s="107"/>
      <c r="H154" s="109"/>
      <c r="I154" s="110"/>
      <c r="J154" s="110"/>
      <c r="K154" s="111"/>
      <c r="L154" s="112"/>
      <c r="M154" s="113"/>
      <c r="N154" s="114"/>
      <c r="O154" s="107"/>
      <c r="P154" s="107"/>
      <c r="Q154" s="115"/>
      <c r="R154" s="116"/>
      <c r="S154" s="107"/>
      <c r="T154" s="107"/>
      <c r="U154" s="107" t="str">
        <f t="shared" si="4"/>
        <v/>
      </c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</row>
    <row r="155" spans="1:60" x14ac:dyDescent="0.25">
      <c r="A155" s="96"/>
      <c r="B155" s="97"/>
      <c r="C155" s="97"/>
      <c r="D155" s="97"/>
      <c r="E155" s="98"/>
      <c r="F155" s="99"/>
      <c r="G155" s="97"/>
      <c r="H155" s="99"/>
      <c r="I155" s="99"/>
      <c r="J155" s="100"/>
      <c r="K155" s="101"/>
      <c r="L155" s="102"/>
      <c r="M155" s="103"/>
      <c r="N155" s="104"/>
      <c r="O155" s="97"/>
      <c r="P155" s="97"/>
      <c r="Q155" s="97"/>
      <c r="R155" s="105"/>
      <c r="S155" s="97"/>
      <c r="T155" s="97"/>
      <c r="U155" s="97" t="str">
        <f t="shared" si="4"/>
        <v/>
      </c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</row>
    <row r="156" spans="1:60" x14ac:dyDescent="0.25">
      <c r="A156" s="106"/>
      <c r="B156" s="107"/>
      <c r="C156" s="107"/>
      <c r="D156" s="107"/>
      <c r="E156" s="108"/>
      <c r="F156" s="109"/>
      <c r="G156" s="107"/>
      <c r="H156" s="109"/>
      <c r="I156" s="110"/>
      <c r="J156" s="110"/>
      <c r="K156" s="111"/>
      <c r="L156" s="112"/>
      <c r="M156" s="113"/>
      <c r="N156" s="114"/>
      <c r="O156" s="107"/>
      <c r="P156" s="107"/>
      <c r="Q156" s="115"/>
      <c r="R156" s="116"/>
      <c r="S156" s="107"/>
      <c r="T156" s="107"/>
      <c r="U156" s="107" t="str">
        <f t="shared" si="4"/>
        <v/>
      </c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</row>
    <row r="157" spans="1:60" x14ac:dyDescent="0.25">
      <c r="A157" s="96"/>
      <c r="B157" s="97"/>
      <c r="C157" s="97"/>
      <c r="D157" s="97"/>
      <c r="E157" s="98"/>
      <c r="F157" s="99"/>
      <c r="G157" s="97"/>
      <c r="H157" s="99"/>
      <c r="I157" s="99"/>
      <c r="J157" s="100"/>
      <c r="K157" s="101"/>
      <c r="L157" s="102"/>
      <c r="M157" s="103"/>
      <c r="N157" s="104"/>
      <c r="O157" s="97"/>
      <c r="P157" s="97"/>
      <c r="Q157" s="97"/>
      <c r="R157" s="105"/>
      <c r="S157" s="97"/>
      <c r="T157" s="97"/>
      <c r="U157" s="97" t="str">
        <f t="shared" si="4"/>
        <v/>
      </c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</row>
    <row r="158" spans="1:60" x14ac:dyDescent="0.25">
      <c r="A158" s="106"/>
      <c r="B158" s="107"/>
      <c r="C158" s="107"/>
      <c r="D158" s="107"/>
      <c r="E158" s="108"/>
      <c r="F158" s="109"/>
      <c r="G158" s="107"/>
      <c r="H158" s="109"/>
      <c r="I158" s="110"/>
      <c r="J158" s="110"/>
      <c r="K158" s="111"/>
      <c r="L158" s="112"/>
      <c r="M158" s="113"/>
      <c r="N158" s="114"/>
      <c r="O158" s="107"/>
      <c r="P158" s="107"/>
      <c r="Q158" s="115"/>
      <c r="R158" s="116"/>
      <c r="S158" s="107"/>
      <c r="T158" s="107"/>
      <c r="U158" s="107" t="str">
        <f t="shared" si="4"/>
        <v/>
      </c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</row>
    <row r="159" spans="1:60" x14ac:dyDescent="0.25">
      <c r="A159" s="96"/>
      <c r="B159" s="97"/>
      <c r="C159" s="97"/>
      <c r="D159" s="97"/>
      <c r="E159" s="98"/>
      <c r="F159" s="99"/>
      <c r="G159" s="97"/>
      <c r="H159" s="99"/>
      <c r="I159" s="99"/>
      <c r="J159" s="100"/>
      <c r="K159" s="101"/>
      <c r="L159" s="102"/>
      <c r="M159" s="103"/>
      <c r="N159" s="104"/>
      <c r="O159" s="97"/>
      <c r="P159" s="97"/>
      <c r="Q159" s="97"/>
      <c r="R159" s="105"/>
      <c r="S159" s="97"/>
      <c r="T159" s="97"/>
      <c r="U159" s="97" t="str">
        <f t="shared" si="4"/>
        <v/>
      </c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H159" s="97"/>
    </row>
    <row r="160" spans="1:60" x14ac:dyDescent="0.25">
      <c r="A160" s="106"/>
      <c r="B160" s="107"/>
      <c r="C160" s="107"/>
      <c r="D160" s="107"/>
      <c r="E160" s="108"/>
      <c r="F160" s="109"/>
      <c r="G160" s="107"/>
      <c r="H160" s="109"/>
      <c r="J160" s="110"/>
      <c r="K160" s="111"/>
      <c r="L160" s="112"/>
      <c r="M160" s="113"/>
      <c r="N160" s="114"/>
      <c r="O160" s="107"/>
      <c r="P160" s="107"/>
      <c r="Q160" s="115"/>
      <c r="R160" s="116"/>
      <c r="S160" s="107"/>
      <c r="T160" s="107"/>
      <c r="U160" s="107" t="str">
        <f>IF(B160="","",IF(I151="",0,1))</f>
        <v/>
      </c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</row>
    <row r="161" spans="1:60" x14ac:dyDescent="0.25">
      <c r="A161" s="96"/>
      <c r="B161" s="97"/>
      <c r="C161" s="97"/>
      <c r="D161" s="97"/>
      <c r="E161" s="98"/>
      <c r="F161" s="99"/>
      <c r="G161" s="97"/>
      <c r="H161" s="99"/>
      <c r="I161" s="99"/>
      <c r="J161" s="100"/>
      <c r="K161" s="101"/>
      <c r="L161" s="102"/>
      <c r="M161" s="103"/>
      <c r="N161" s="104"/>
      <c r="O161" s="97"/>
      <c r="P161" s="97"/>
      <c r="Q161" s="97"/>
      <c r="R161" s="105"/>
      <c r="S161" s="97"/>
      <c r="T161" s="97"/>
      <c r="U161" s="97" t="str">
        <f t="shared" si="4"/>
        <v/>
      </c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</row>
    <row r="162" spans="1:60" x14ac:dyDescent="0.25">
      <c r="A162" s="106"/>
      <c r="B162" s="107"/>
      <c r="C162" s="107"/>
      <c r="D162" s="107"/>
      <c r="E162" s="108"/>
      <c r="F162" s="109"/>
      <c r="G162" s="107"/>
      <c r="H162" s="109"/>
      <c r="I162" s="110"/>
      <c r="J162" s="110"/>
      <c r="K162" s="111"/>
      <c r="L162" s="112"/>
      <c r="M162" s="113"/>
      <c r="N162" s="114"/>
      <c r="O162" s="107"/>
      <c r="P162" s="107"/>
      <c r="Q162" s="115"/>
      <c r="R162" s="116"/>
      <c r="S162" s="107"/>
      <c r="T162" s="107"/>
      <c r="U162" s="107" t="str">
        <f t="shared" si="4"/>
        <v/>
      </c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107"/>
      <c r="BH162" s="107"/>
    </row>
    <row r="163" spans="1:60" x14ac:dyDescent="0.25">
      <c r="A163" s="96"/>
      <c r="B163" s="97"/>
      <c r="C163" s="97"/>
      <c r="D163" s="97"/>
      <c r="E163" s="98"/>
      <c r="F163" s="99"/>
      <c r="G163" s="97"/>
      <c r="H163" s="99"/>
      <c r="I163" s="99"/>
      <c r="J163" s="100"/>
      <c r="K163" s="101"/>
      <c r="L163" s="102"/>
      <c r="M163" s="103"/>
      <c r="N163" s="104"/>
      <c r="O163" s="97"/>
      <c r="P163" s="97"/>
      <c r="Q163" s="97"/>
      <c r="R163" s="105"/>
      <c r="S163" s="97"/>
      <c r="T163" s="97"/>
      <c r="U163" s="97" t="str">
        <f t="shared" si="4"/>
        <v/>
      </c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/>
      <c r="AP163" s="97"/>
      <c r="AQ163" s="97"/>
      <c r="AR163" s="97"/>
      <c r="AS163" s="97"/>
      <c r="AT163" s="97"/>
      <c r="AU163" s="97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  <c r="BG163" s="97"/>
      <c r="BH163" s="97"/>
    </row>
    <row r="164" spans="1:60" x14ac:dyDescent="0.25">
      <c r="A164" s="106"/>
      <c r="B164" s="107"/>
      <c r="C164" s="107"/>
      <c r="D164" s="107"/>
      <c r="E164" s="108"/>
      <c r="F164" s="109"/>
      <c r="G164" s="107"/>
      <c r="H164" s="109"/>
      <c r="I164" s="110"/>
      <c r="J164" s="110"/>
      <c r="K164" s="111"/>
      <c r="L164" s="112"/>
      <c r="M164" s="113"/>
      <c r="N164" s="114"/>
      <c r="O164" s="107"/>
      <c r="P164" s="107"/>
      <c r="Q164" s="115"/>
      <c r="R164" s="116"/>
      <c r="S164" s="107"/>
      <c r="T164" s="107"/>
      <c r="U164" s="107" t="str">
        <f t="shared" si="4"/>
        <v/>
      </c>
      <c r="V164" s="107"/>
      <c r="W164" s="107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X164" s="107"/>
      <c r="AY164" s="107"/>
      <c r="AZ164" s="107"/>
      <c r="BA164" s="107"/>
      <c r="BB164" s="107"/>
      <c r="BC164" s="107"/>
      <c r="BD164" s="107"/>
      <c r="BE164" s="107"/>
      <c r="BF164" s="107"/>
      <c r="BG164" s="107"/>
      <c r="BH164" s="107"/>
    </row>
    <row r="165" spans="1:60" x14ac:dyDescent="0.25">
      <c r="A165" s="96"/>
      <c r="B165" s="97"/>
      <c r="C165" s="97"/>
      <c r="D165" s="97"/>
      <c r="E165" s="98"/>
      <c r="F165" s="99"/>
      <c r="G165" s="97"/>
      <c r="H165" s="99"/>
      <c r="I165" s="99"/>
      <c r="J165" s="100"/>
      <c r="K165" s="101"/>
      <c r="L165" s="102"/>
      <c r="M165" s="103"/>
      <c r="N165" s="104"/>
      <c r="O165" s="97"/>
      <c r="P165" s="97"/>
      <c r="Q165" s="97"/>
      <c r="R165" s="105"/>
      <c r="S165" s="97"/>
      <c r="T165" s="97"/>
      <c r="U165" s="97" t="str">
        <f t="shared" si="4"/>
        <v/>
      </c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H165" s="97"/>
    </row>
    <row r="166" spans="1:60" x14ac:dyDescent="0.25">
      <c r="A166" s="106"/>
      <c r="B166" s="107"/>
      <c r="C166" s="107"/>
      <c r="D166" s="107"/>
      <c r="E166" s="108"/>
      <c r="F166" s="109"/>
      <c r="G166" s="107"/>
      <c r="H166" s="109"/>
      <c r="I166" s="110"/>
      <c r="J166" s="110"/>
      <c r="K166" s="111"/>
      <c r="L166" s="112"/>
      <c r="M166" s="113"/>
      <c r="N166" s="114"/>
      <c r="O166" s="107"/>
      <c r="P166" s="107"/>
      <c r="Q166" s="115"/>
      <c r="R166" s="116"/>
      <c r="S166" s="107"/>
      <c r="T166" s="107"/>
      <c r="U166" s="107" t="str">
        <f t="shared" si="4"/>
        <v/>
      </c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  <c r="AY166" s="107"/>
      <c r="AZ166" s="107"/>
      <c r="BA166" s="107"/>
      <c r="BB166" s="107"/>
      <c r="BC166" s="107"/>
      <c r="BD166" s="107"/>
      <c r="BE166" s="107"/>
      <c r="BF166" s="107"/>
      <c r="BG166" s="107"/>
      <c r="BH166" s="107"/>
    </row>
    <row r="167" spans="1:60" x14ac:dyDescent="0.25">
      <c r="A167" s="96"/>
      <c r="B167" s="97"/>
      <c r="C167" s="97"/>
      <c r="D167" s="97"/>
      <c r="E167" s="98"/>
      <c r="F167" s="99"/>
      <c r="G167" s="97"/>
      <c r="H167" s="99"/>
      <c r="I167" s="99"/>
      <c r="J167" s="100"/>
      <c r="K167" s="101"/>
      <c r="L167" s="102"/>
      <c r="M167" s="103"/>
      <c r="N167" s="104"/>
      <c r="O167" s="97"/>
      <c r="P167" s="97"/>
      <c r="Q167" s="97"/>
      <c r="R167" s="105"/>
      <c r="S167" s="97"/>
      <c r="T167" s="97"/>
      <c r="U167" s="97" t="str">
        <f t="shared" si="4"/>
        <v/>
      </c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H167" s="97"/>
    </row>
    <row r="168" spans="1:60" x14ac:dyDescent="0.25">
      <c r="A168" s="106"/>
      <c r="B168" s="107"/>
      <c r="C168" s="107"/>
      <c r="D168" s="107"/>
      <c r="E168" s="108"/>
      <c r="F168" s="109"/>
      <c r="G168" s="107"/>
      <c r="H168" s="109"/>
      <c r="I168" s="110"/>
      <c r="J168" s="110"/>
      <c r="K168" s="111"/>
      <c r="L168" s="112"/>
      <c r="M168" s="113"/>
      <c r="N168" s="114"/>
      <c r="O168" s="107"/>
      <c r="P168" s="107"/>
      <c r="Q168" s="115"/>
      <c r="R168" s="116"/>
      <c r="S168" s="107"/>
      <c r="T168" s="107"/>
      <c r="U168" s="107" t="str">
        <f t="shared" si="4"/>
        <v/>
      </c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107"/>
      <c r="BH168" s="107"/>
    </row>
    <row r="169" spans="1:60" x14ac:dyDescent="0.25">
      <c r="A169" s="96"/>
      <c r="F169" s="99"/>
      <c r="G169" s="97"/>
      <c r="H169" s="99"/>
      <c r="I169" s="99"/>
      <c r="J169" s="100"/>
      <c r="K169" s="101"/>
      <c r="Q169" s="97"/>
      <c r="R169" s="105"/>
      <c r="U169" s="97" t="str">
        <f t="shared" si="4"/>
        <v/>
      </c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/>
      <c r="AP169" s="97"/>
      <c r="AQ169" s="97"/>
      <c r="AR169" s="97"/>
      <c r="AS169" s="97"/>
      <c r="AT169" s="97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H169" s="97"/>
    </row>
    <row r="170" spans="1:60" x14ac:dyDescent="0.25">
      <c r="A170" s="106"/>
      <c r="B170" s="107"/>
      <c r="C170" s="107"/>
      <c r="D170" s="107"/>
      <c r="E170" s="108"/>
      <c r="F170" s="109"/>
      <c r="G170" s="107"/>
      <c r="H170" s="109"/>
      <c r="I170" s="110"/>
      <c r="J170" s="110"/>
      <c r="K170" s="111"/>
      <c r="L170" s="112"/>
      <c r="M170" s="113"/>
      <c r="N170" s="114"/>
      <c r="O170" s="107"/>
      <c r="P170" s="107"/>
      <c r="Q170" s="115"/>
      <c r="R170" s="116"/>
      <c r="S170" s="107"/>
      <c r="T170" s="107"/>
      <c r="U170" s="107" t="str">
        <f t="shared" si="4"/>
        <v/>
      </c>
      <c r="V170" s="107"/>
      <c r="W170" s="107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  <c r="AY170" s="107"/>
      <c r="AZ170" s="107"/>
      <c r="BA170" s="107"/>
      <c r="BB170" s="107"/>
      <c r="BC170" s="107"/>
      <c r="BD170" s="107"/>
      <c r="BE170" s="107"/>
      <c r="BF170" s="107"/>
      <c r="BG170" s="107"/>
      <c r="BH170" s="107"/>
    </row>
    <row r="171" spans="1:60" x14ac:dyDescent="0.25">
      <c r="A171" s="96"/>
      <c r="B171" s="97"/>
      <c r="C171" s="97"/>
      <c r="D171" s="97"/>
      <c r="E171" s="98"/>
      <c r="F171" s="99"/>
      <c r="G171" s="97"/>
      <c r="H171" s="99"/>
      <c r="I171" s="99"/>
      <c r="J171" s="100"/>
      <c r="K171" s="101"/>
      <c r="L171" s="102"/>
      <c r="M171" s="103"/>
      <c r="N171" s="104"/>
      <c r="O171" s="97"/>
      <c r="P171" s="97"/>
      <c r="Q171" s="97"/>
      <c r="R171" s="105"/>
      <c r="S171" s="97"/>
      <c r="T171" s="97"/>
      <c r="U171" s="97" t="str">
        <f t="shared" si="4"/>
        <v/>
      </c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H171" s="97"/>
    </row>
    <row r="172" spans="1:60" x14ac:dyDescent="0.25">
      <c r="A172" s="106"/>
      <c r="B172" s="107"/>
      <c r="C172" s="107"/>
      <c r="D172" s="107"/>
      <c r="E172" s="108"/>
      <c r="F172" s="109"/>
      <c r="G172" s="107"/>
      <c r="H172" s="109"/>
      <c r="I172" s="110"/>
      <c r="J172" s="110"/>
      <c r="K172" s="111"/>
      <c r="L172" s="112"/>
      <c r="M172" s="113"/>
      <c r="N172" s="114"/>
      <c r="O172" s="107"/>
      <c r="P172" s="107"/>
      <c r="Q172" s="115"/>
      <c r="R172" s="116"/>
      <c r="S172" s="107"/>
      <c r="T172" s="107"/>
      <c r="U172" s="107" t="str">
        <f t="shared" si="4"/>
        <v/>
      </c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  <c r="AY172" s="107"/>
      <c r="AZ172" s="107"/>
      <c r="BA172" s="107"/>
      <c r="BB172" s="107"/>
      <c r="BC172" s="107"/>
      <c r="BD172" s="107"/>
      <c r="BE172" s="107"/>
      <c r="BF172" s="107"/>
      <c r="BG172" s="107"/>
      <c r="BH172" s="107"/>
    </row>
    <row r="173" spans="1:60" x14ac:dyDescent="0.25">
      <c r="A173" s="96"/>
      <c r="B173" s="97"/>
      <c r="C173" s="97"/>
      <c r="D173" s="97"/>
      <c r="E173" s="98"/>
      <c r="F173" s="99"/>
      <c r="G173" s="97"/>
      <c r="H173" s="99"/>
      <c r="I173" s="99"/>
      <c r="J173" s="100"/>
      <c r="K173" s="101"/>
      <c r="L173" s="102"/>
      <c r="M173" s="103"/>
      <c r="N173" s="104"/>
      <c r="O173" s="97"/>
      <c r="P173" s="97"/>
      <c r="Q173" s="97"/>
      <c r="R173" s="105"/>
      <c r="S173" s="97"/>
      <c r="T173" s="97"/>
      <c r="U173" s="97" t="str">
        <f t="shared" si="4"/>
        <v/>
      </c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</row>
    <row r="174" spans="1:60" x14ac:dyDescent="0.25">
      <c r="A174" s="106"/>
      <c r="B174" s="107"/>
      <c r="C174" s="107"/>
      <c r="D174" s="107"/>
      <c r="E174" s="108"/>
      <c r="F174" s="109"/>
      <c r="G174" s="107"/>
      <c r="H174" s="109"/>
      <c r="I174" s="110"/>
      <c r="J174" s="110"/>
      <c r="K174" s="111"/>
      <c r="L174" s="112"/>
      <c r="M174" s="113"/>
      <c r="N174" s="114"/>
      <c r="O174" s="107"/>
      <c r="P174" s="107"/>
      <c r="Q174" s="115"/>
      <c r="R174" s="116"/>
      <c r="S174" s="107"/>
      <c r="T174" s="107"/>
      <c r="U174" s="107" t="str">
        <f t="shared" si="4"/>
        <v/>
      </c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</row>
    <row r="175" spans="1:60" x14ac:dyDescent="0.25">
      <c r="A175" s="96"/>
      <c r="B175" s="97"/>
      <c r="C175" s="97"/>
      <c r="D175" s="97"/>
      <c r="E175" s="98"/>
      <c r="F175" s="99"/>
      <c r="G175" s="97"/>
      <c r="H175" s="99"/>
      <c r="I175" s="99"/>
      <c r="J175" s="100"/>
      <c r="K175" s="101"/>
      <c r="L175" s="102"/>
      <c r="M175" s="103"/>
      <c r="N175" s="104"/>
      <c r="O175" s="97"/>
      <c r="P175" s="97"/>
      <c r="Q175" s="97"/>
      <c r="R175" s="105"/>
      <c r="S175" s="97"/>
      <c r="T175" s="97"/>
      <c r="U175" s="97" t="str">
        <f t="shared" si="4"/>
        <v/>
      </c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</row>
    <row r="176" spans="1:60" x14ac:dyDescent="0.25">
      <c r="A176" s="106"/>
      <c r="B176" s="107"/>
      <c r="C176" s="107"/>
      <c r="D176" s="107"/>
      <c r="E176" s="108"/>
      <c r="F176" s="109"/>
      <c r="G176" s="107"/>
      <c r="H176" s="109"/>
      <c r="I176" s="110"/>
      <c r="J176" s="110"/>
      <c r="K176" s="111"/>
      <c r="L176" s="112"/>
      <c r="M176" s="113"/>
      <c r="N176" s="114"/>
      <c r="O176" s="107"/>
      <c r="P176" s="107"/>
      <c r="Q176" s="115"/>
      <c r="R176" s="116"/>
      <c r="S176" s="107"/>
      <c r="T176" s="107"/>
      <c r="U176" s="107" t="str">
        <f t="shared" si="4"/>
        <v/>
      </c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</row>
    <row r="177" spans="1:60" x14ac:dyDescent="0.25">
      <c r="A177" s="96"/>
      <c r="B177" s="97"/>
      <c r="C177" s="97"/>
      <c r="D177" s="97"/>
      <c r="E177" s="98"/>
      <c r="F177" s="99"/>
      <c r="G177" s="97"/>
      <c r="H177" s="99"/>
      <c r="I177" s="99"/>
      <c r="J177" s="100"/>
      <c r="K177" s="101"/>
      <c r="L177" s="102"/>
      <c r="M177" s="103"/>
      <c r="N177" s="104"/>
      <c r="O177" s="97"/>
      <c r="P177" s="97"/>
      <c r="Q177" s="97"/>
      <c r="R177" s="105"/>
      <c r="S177" s="97"/>
      <c r="T177" s="97"/>
      <c r="U177" s="97" t="str">
        <f t="shared" si="4"/>
        <v/>
      </c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H177" s="97"/>
    </row>
    <row r="178" spans="1:60" x14ac:dyDescent="0.25">
      <c r="A178" s="106"/>
      <c r="B178" s="107"/>
      <c r="C178" s="107"/>
      <c r="D178" s="107"/>
      <c r="E178" s="108"/>
      <c r="F178" s="109"/>
      <c r="G178" s="107"/>
      <c r="H178" s="109"/>
      <c r="I178" s="110"/>
      <c r="J178" s="110"/>
      <c r="K178" s="111"/>
      <c r="L178" s="112"/>
      <c r="M178" s="113"/>
      <c r="N178" s="114"/>
      <c r="O178" s="107"/>
      <c r="P178" s="107"/>
      <c r="Q178" s="115"/>
      <c r="R178" s="116"/>
      <c r="S178" s="107"/>
      <c r="T178" s="107"/>
      <c r="U178" s="107" t="str">
        <f t="shared" si="4"/>
        <v/>
      </c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X178" s="107"/>
      <c r="AY178" s="107"/>
      <c r="AZ178" s="107"/>
      <c r="BA178" s="107"/>
      <c r="BB178" s="107"/>
      <c r="BC178" s="107"/>
      <c r="BD178" s="107"/>
      <c r="BE178" s="107"/>
      <c r="BF178" s="107"/>
      <c r="BG178" s="107"/>
      <c r="BH178" s="107"/>
    </row>
    <row r="179" spans="1:60" x14ac:dyDescent="0.25">
      <c r="A179" s="96"/>
      <c r="B179" s="97"/>
      <c r="C179" s="97"/>
      <c r="D179" s="97"/>
      <c r="E179" s="98"/>
      <c r="F179" s="99"/>
      <c r="G179" s="97"/>
      <c r="H179" s="99"/>
      <c r="I179" s="99"/>
      <c r="J179" s="100"/>
      <c r="K179" s="101"/>
      <c r="L179" s="102"/>
      <c r="M179" s="103"/>
      <c r="N179" s="104"/>
      <c r="O179" s="97"/>
      <c r="P179" s="97"/>
      <c r="Q179" s="97"/>
      <c r="R179" s="105"/>
      <c r="S179" s="97"/>
      <c r="T179" s="97"/>
      <c r="U179" s="97" t="str">
        <f t="shared" si="4"/>
        <v/>
      </c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  <c r="AT179" s="97"/>
      <c r="AU179" s="97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  <c r="BG179" s="97"/>
      <c r="BH179" s="97"/>
    </row>
    <row r="180" spans="1:60" x14ac:dyDescent="0.25">
      <c r="A180" s="106"/>
      <c r="B180" s="107"/>
      <c r="C180" s="107"/>
      <c r="D180" s="107"/>
      <c r="E180" s="108"/>
      <c r="F180" s="109"/>
      <c r="G180" s="107"/>
      <c r="H180" s="109"/>
      <c r="I180" s="110"/>
      <c r="J180" s="110"/>
      <c r="K180" s="111"/>
      <c r="L180" s="112"/>
      <c r="M180" s="113"/>
      <c r="N180" s="114"/>
      <c r="O180" s="107"/>
      <c r="P180" s="107"/>
      <c r="Q180" s="115"/>
      <c r="R180" s="116"/>
      <c r="S180" s="107"/>
      <c r="T180" s="107"/>
      <c r="U180" s="107" t="str">
        <f t="shared" si="4"/>
        <v/>
      </c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  <c r="AY180" s="107"/>
      <c r="AZ180" s="107"/>
      <c r="BA180" s="107"/>
      <c r="BB180" s="107"/>
      <c r="BC180" s="107"/>
      <c r="BD180" s="107"/>
      <c r="BE180" s="107"/>
      <c r="BF180" s="107"/>
      <c r="BG180" s="107"/>
      <c r="BH180" s="107"/>
    </row>
    <row r="181" spans="1:60" x14ac:dyDescent="0.25">
      <c r="A181" s="96"/>
      <c r="B181" s="97"/>
      <c r="C181" s="97"/>
      <c r="D181" s="97"/>
      <c r="E181" s="98"/>
      <c r="F181" s="99"/>
      <c r="G181" s="97"/>
      <c r="H181" s="99"/>
      <c r="I181" s="99"/>
      <c r="J181" s="100"/>
      <c r="K181" s="101"/>
      <c r="L181" s="102"/>
      <c r="M181" s="103"/>
      <c r="N181" s="104"/>
      <c r="O181" s="97"/>
      <c r="P181" s="97"/>
      <c r="Q181" s="97"/>
      <c r="R181" s="105"/>
      <c r="S181" s="97"/>
      <c r="T181" s="97"/>
      <c r="U181" s="97" t="str">
        <f t="shared" si="4"/>
        <v/>
      </c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</row>
    <row r="182" spans="1:60" x14ac:dyDescent="0.25">
      <c r="A182" s="106"/>
      <c r="B182" s="107"/>
      <c r="C182" s="107"/>
      <c r="D182" s="107"/>
      <c r="E182" s="108"/>
      <c r="F182" s="109"/>
      <c r="G182" s="107"/>
      <c r="H182" s="109"/>
      <c r="I182" s="110"/>
      <c r="J182" s="110"/>
      <c r="K182" s="111"/>
      <c r="L182" s="112"/>
      <c r="M182" s="113"/>
      <c r="N182" s="114"/>
      <c r="O182" s="107"/>
      <c r="P182" s="107"/>
      <c r="Q182" s="115"/>
      <c r="R182" s="116"/>
      <c r="S182" s="107"/>
      <c r="T182" s="107"/>
      <c r="U182" s="107" t="str">
        <f t="shared" si="4"/>
        <v/>
      </c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</row>
    <row r="183" spans="1:60" x14ac:dyDescent="0.25">
      <c r="A183" s="96"/>
      <c r="B183" s="97"/>
      <c r="C183" s="97"/>
      <c r="D183" s="97"/>
      <c r="E183" s="98"/>
      <c r="F183" s="99"/>
      <c r="G183" s="97"/>
      <c r="H183" s="99"/>
      <c r="I183" s="99"/>
      <c r="J183" s="100"/>
      <c r="K183" s="101"/>
      <c r="L183" s="102"/>
      <c r="M183" s="103"/>
      <c r="N183" s="104"/>
      <c r="O183" s="97"/>
      <c r="P183" s="97"/>
      <c r="Q183" s="97"/>
      <c r="R183" s="105"/>
      <c r="S183" s="97"/>
      <c r="T183" s="97"/>
      <c r="U183" s="97" t="str">
        <f t="shared" si="4"/>
        <v/>
      </c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</row>
    <row r="184" spans="1:60" x14ac:dyDescent="0.25">
      <c r="A184" s="106"/>
      <c r="B184" s="107"/>
      <c r="C184" s="107"/>
      <c r="D184" s="107"/>
      <c r="E184" s="108"/>
      <c r="F184" s="109"/>
      <c r="G184" s="107"/>
      <c r="H184" s="109"/>
      <c r="I184" s="110"/>
      <c r="J184" s="110"/>
      <c r="K184" s="111"/>
      <c r="L184" s="112"/>
      <c r="M184" s="113"/>
      <c r="N184" s="114"/>
      <c r="O184" s="107"/>
      <c r="P184" s="107"/>
      <c r="Q184" s="115"/>
      <c r="R184" s="116"/>
      <c r="S184" s="107"/>
      <c r="T184" s="107"/>
      <c r="U184" s="107" t="str">
        <f t="shared" si="4"/>
        <v/>
      </c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</row>
    <row r="185" spans="1:60" x14ac:dyDescent="0.25">
      <c r="A185" s="96"/>
      <c r="B185" s="97"/>
      <c r="C185" s="97"/>
      <c r="D185" s="97"/>
      <c r="E185" s="98"/>
      <c r="F185" s="99"/>
      <c r="G185" s="97"/>
      <c r="H185" s="99"/>
      <c r="I185" s="99"/>
      <c r="J185" s="100"/>
      <c r="K185" s="101"/>
      <c r="L185" s="102"/>
      <c r="M185" s="103"/>
      <c r="N185" s="104"/>
      <c r="O185" s="97"/>
      <c r="P185" s="97"/>
      <c r="Q185" s="97"/>
      <c r="R185" s="105"/>
      <c r="S185" s="97"/>
      <c r="T185" s="97"/>
      <c r="U185" s="97" t="str">
        <f t="shared" si="4"/>
        <v/>
      </c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7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H185" s="97"/>
    </row>
    <row r="186" spans="1:60" x14ac:dyDescent="0.25">
      <c r="A186" s="106"/>
      <c r="B186" s="107"/>
      <c r="C186" s="107"/>
      <c r="D186" s="107"/>
      <c r="E186" s="108"/>
      <c r="F186" s="109"/>
      <c r="G186" s="107"/>
      <c r="H186" s="109"/>
      <c r="I186" s="110"/>
      <c r="J186" s="110"/>
      <c r="K186" s="111"/>
      <c r="L186" s="112"/>
      <c r="M186" s="113"/>
      <c r="N186" s="114"/>
      <c r="O186" s="107"/>
      <c r="P186" s="107"/>
      <c r="Q186" s="115"/>
      <c r="R186" s="116"/>
      <c r="S186" s="107"/>
      <c r="T186" s="107"/>
      <c r="U186" s="107" t="str">
        <f t="shared" si="4"/>
        <v/>
      </c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</row>
    <row r="187" spans="1:60" x14ac:dyDescent="0.25">
      <c r="A187" s="96"/>
      <c r="B187" s="97"/>
      <c r="C187" s="97"/>
      <c r="D187" s="97"/>
      <c r="E187" s="98"/>
      <c r="F187" s="99"/>
      <c r="G187" s="97"/>
      <c r="H187" s="99"/>
      <c r="I187" s="99"/>
      <c r="J187" s="100"/>
      <c r="K187" s="101"/>
      <c r="L187" s="102"/>
      <c r="M187" s="103"/>
      <c r="N187" s="104"/>
      <c r="O187" s="97"/>
      <c r="P187" s="97"/>
      <c r="Q187" s="97"/>
      <c r="R187" s="105"/>
      <c r="S187" s="97"/>
      <c r="T187" s="97"/>
      <c r="U187" s="97" t="str">
        <f t="shared" si="4"/>
        <v/>
      </c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H187" s="97"/>
    </row>
    <row r="188" spans="1:60" x14ac:dyDescent="0.25">
      <c r="A188" s="106"/>
      <c r="B188" s="107"/>
      <c r="C188" s="107"/>
      <c r="D188" s="107"/>
      <c r="E188" s="108"/>
      <c r="F188" s="109"/>
      <c r="G188" s="107"/>
      <c r="H188" s="109"/>
      <c r="I188" s="110"/>
      <c r="J188" s="110"/>
      <c r="K188" s="111"/>
      <c r="L188" s="112"/>
      <c r="M188" s="113"/>
      <c r="N188" s="114"/>
      <c r="O188" s="107"/>
      <c r="P188" s="107"/>
      <c r="Q188" s="115"/>
      <c r="R188" s="116"/>
      <c r="S188" s="107"/>
      <c r="T188" s="107"/>
      <c r="U188" s="107" t="str">
        <f t="shared" si="4"/>
        <v/>
      </c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</row>
    <row r="189" spans="1:60" x14ac:dyDescent="0.25">
      <c r="A189" s="96"/>
      <c r="B189" s="97"/>
      <c r="C189" s="97"/>
      <c r="D189" s="97"/>
      <c r="E189" s="98"/>
      <c r="F189" s="99"/>
      <c r="G189" s="97"/>
      <c r="H189" s="99"/>
      <c r="I189" s="99"/>
      <c r="J189" s="100"/>
      <c r="K189" s="101"/>
      <c r="L189" s="102"/>
      <c r="M189" s="103"/>
      <c r="N189" s="104"/>
      <c r="O189" s="97"/>
      <c r="P189" s="97"/>
      <c r="Q189" s="97"/>
      <c r="R189" s="105"/>
      <c r="S189" s="97"/>
      <c r="T189" s="97"/>
      <c r="U189" s="97" t="str">
        <f t="shared" si="4"/>
        <v/>
      </c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H189" s="97"/>
    </row>
    <row r="190" spans="1:60" x14ac:dyDescent="0.25">
      <c r="A190" s="106"/>
      <c r="B190" s="107"/>
      <c r="C190" s="107"/>
      <c r="D190" s="107"/>
      <c r="E190" s="108"/>
      <c r="F190" s="109"/>
      <c r="G190" s="107"/>
      <c r="H190" s="109"/>
      <c r="I190" s="110"/>
      <c r="J190" s="110"/>
      <c r="K190" s="111"/>
      <c r="L190" s="112"/>
      <c r="M190" s="113"/>
      <c r="N190" s="114"/>
      <c r="O190" s="107"/>
      <c r="P190" s="107"/>
      <c r="Q190" s="115"/>
      <c r="R190" s="116"/>
      <c r="S190" s="107"/>
      <c r="T190" s="107"/>
      <c r="U190" s="107" t="str">
        <f t="shared" si="4"/>
        <v/>
      </c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</row>
    <row r="191" spans="1:60" x14ac:dyDescent="0.25">
      <c r="A191" s="96"/>
      <c r="B191" s="97"/>
      <c r="C191" s="97"/>
      <c r="D191" s="97"/>
      <c r="E191" s="98"/>
      <c r="F191" s="99"/>
      <c r="G191" s="97"/>
      <c r="H191" s="99"/>
      <c r="I191" s="99"/>
      <c r="J191" s="100"/>
      <c r="K191" s="101"/>
      <c r="L191" s="102"/>
      <c r="M191" s="103"/>
      <c r="N191" s="104"/>
      <c r="O191" s="97"/>
      <c r="P191" s="97"/>
      <c r="Q191" s="97"/>
      <c r="R191" s="105"/>
      <c r="S191" s="97"/>
      <c r="T191" s="97"/>
      <c r="U191" s="97" t="str">
        <f t="shared" si="4"/>
        <v/>
      </c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H191" s="97"/>
    </row>
    <row r="192" spans="1:60" x14ac:dyDescent="0.25">
      <c r="A192" s="106"/>
      <c r="B192" s="107"/>
      <c r="C192" s="107"/>
      <c r="D192" s="107"/>
      <c r="E192" s="108"/>
      <c r="F192" s="109"/>
      <c r="G192" s="107"/>
      <c r="H192" s="109"/>
      <c r="I192" s="110"/>
      <c r="J192" s="110"/>
      <c r="K192" s="111"/>
      <c r="L192" s="112"/>
      <c r="M192" s="113"/>
      <c r="N192" s="114"/>
      <c r="O192" s="107"/>
      <c r="P192" s="107"/>
      <c r="Q192" s="115"/>
      <c r="R192" s="116"/>
      <c r="S192" s="107"/>
      <c r="T192" s="107"/>
      <c r="U192" s="107" t="str">
        <f t="shared" si="4"/>
        <v/>
      </c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</row>
    <row r="193" spans="1:60" x14ac:dyDescent="0.25">
      <c r="A193" s="96"/>
      <c r="B193" s="97"/>
      <c r="C193" s="97"/>
      <c r="D193" s="97"/>
      <c r="E193" s="98"/>
      <c r="F193" s="99"/>
      <c r="G193" s="97"/>
      <c r="H193" s="99"/>
      <c r="I193" s="99"/>
      <c r="J193" s="100"/>
      <c r="K193" s="101"/>
      <c r="L193" s="102"/>
      <c r="M193" s="103"/>
      <c r="N193" s="104"/>
      <c r="O193" s="97"/>
      <c r="P193" s="97"/>
      <c r="Q193" s="97"/>
      <c r="R193" s="105"/>
      <c r="S193" s="97"/>
      <c r="T193" s="97"/>
      <c r="U193" s="97" t="str">
        <f t="shared" si="4"/>
        <v/>
      </c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H193" s="97"/>
    </row>
    <row r="194" spans="1:60" x14ac:dyDescent="0.25">
      <c r="A194" s="106"/>
      <c r="B194" s="107"/>
      <c r="C194" s="107"/>
      <c r="D194" s="107"/>
      <c r="E194" s="108"/>
      <c r="F194" s="109"/>
      <c r="G194" s="107"/>
      <c r="H194" s="109"/>
      <c r="I194" s="110"/>
      <c r="J194" s="110"/>
      <c r="K194" s="111"/>
      <c r="L194" s="112"/>
      <c r="M194" s="113"/>
      <c r="N194" s="114"/>
      <c r="O194" s="107"/>
      <c r="P194" s="107"/>
      <c r="Q194" s="115"/>
      <c r="R194" s="116"/>
      <c r="S194" s="107"/>
      <c r="T194" s="107"/>
      <c r="U194" s="107" t="str">
        <f t="shared" si="4"/>
        <v/>
      </c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S194" s="107"/>
      <c r="AT194" s="107"/>
      <c r="AU194" s="107"/>
      <c r="AV194" s="107"/>
      <c r="AW194" s="107"/>
      <c r="AX194" s="107"/>
      <c r="AY194" s="107"/>
      <c r="AZ194" s="107"/>
      <c r="BA194" s="107"/>
      <c r="BB194" s="107"/>
      <c r="BC194" s="107"/>
      <c r="BD194" s="107"/>
      <c r="BE194" s="107"/>
      <c r="BF194" s="107"/>
      <c r="BG194" s="107"/>
      <c r="BH194" s="107"/>
    </row>
    <row r="195" spans="1:60" x14ac:dyDescent="0.25">
      <c r="A195" s="96"/>
      <c r="B195" s="97"/>
      <c r="C195" s="97"/>
      <c r="D195" s="97"/>
      <c r="E195" s="98"/>
      <c r="F195" s="99"/>
      <c r="G195" s="97"/>
      <c r="H195" s="99"/>
      <c r="I195" s="99"/>
      <c r="J195" s="100"/>
      <c r="K195" s="101"/>
      <c r="L195" s="102"/>
      <c r="M195" s="103"/>
      <c r="N195" s="104"/>
      <c r="O195" s="97"/>
      <c r="P195" s="97"/>
      <c r="Q195" s="97"/>
      <c r="R195" s="105"/>
      <c r="S195" s="97"/>
      <c r="T195" s="97"/>
      <c r="U195" s="97" t="str">
        <f t="shared" ref="U195:U250" si="5">IF(B195="","",IF(I195="",0,1))</f>
        <v/>
      </c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7"/>
      <c r="AU195" s="97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  <c r="BG195" s="97"/>
      <c r="BH195" s="97"/>
    </row>
    <row r="196" spans="1:60" x14ac:dyDescent="0.25">
      <c r="A196" s="106"/>
      <c r="B196" s="107"/>
      <c r="C196" s="107"/>
      <c r="D196" s="107"/>
      <c r="E196" s="108"/>
      <c r="F196" s="109"/>
      <c r="G196" s="107"/>
      <c r="H196" s="109"/>
      <c r="I196" s="110"/>
      <c r="J196" s="110"/>
      <c r="K196" s="111"/>
      <c r="L196" s="112"/>
      <c r="M196" s="113"/>
      <c r="N196" s="114"/>
      <c r="O196" s="107"/>
      <c r="P196" s="107"/>
      <c r="Q196" s="115"/>
      <c r="R196" s="116"/>
      <c r="S196" s="107"/>
      <c r="T196" s="107"/>
      <c r="U196" s="107" t="str">
        <f t="shared" si="5"/>
        <v/>
      </c>
      <c r="V196" s="107"/>
      <c r="W196" s="107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S196" s="107"/>
      <c r="AT196" s="107"/>
      <c r="AU196" s="107"/>
      <c r="AV196" s="107"/>
      <c r="AW196" s="107"/>
      <c r="AX196" s="107"/>
      <c r="AY196" s="107"/>
      <c r="AZ196" s="107"/>
      <c r="BA196" s="107"/>
      <c r="BB196" s="107"/>
      <c r="BC196" s="107"/>
      <c r="BD196" s="107"/>
      <c r="BE196" s="107"/>
      <c r="BF196" s="107"/>
      <c r="BG196" s="107"/>
      <c r="BH196" s="107"/>
    </row>
    <row r="197" spans="1:60" x14ac:dyDescent="0.25">
      <c r="A197" s="96"/>
      <c r="B197" s="97"/>
      <c r="C197" s="97"/>
      <c r="D197" s="97"/>
      <c r="E197" s="98"/>
      <c r="F197" s="99"/>
      <c r="G197" s="97"/>
      <c r="H197" s="99"/>
      <c r="I197" s="99"/>
      <c r="J197" s="100"/>
      <c r="K197" s="101"/>
      <c r="L197" s="102"/>
      <c r="M197" s="103"/>
      <c r="N197" s="104"/>
      <c r="O197" s="97"/>
      <c r="P197" s="97"/>
      <c r="Q197" s="97"/>
      <c r="R197" s="105"/>
      <c r="S197" s="97"/>
      <c r="T197" s="97"/>
      <c r="U197" s="97" t="str">
        <f t="shared" si="5"/>
        <v/>
      </c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H197" s="97"/>
    </row>
    <row r="198" spans="1:60" x14ac:dyDescent="0.25">
      <c r="A198" s="106"/>
      <c r="B198" s="107"/>
      <c r="C198" s="107"/>
      <c r="D198" s="107"/>
      <c r="E198" s="108"/>
      <c r="F198" s="109"/>
      <c r="G198" s="107"/>
      <c r="H198" s="109"/>
      <c r="I198" s="110"/>
      <c r="J198" s="110"/>
      <c r="K198" s="111"/>
      <c r="L198" s="112"/>
      <c r="M198" s="113"/>
      <c r="N198" s="114"/>
      <c r="O198" s="107"/>
      <c r="P198" s="107"/>
      <c r="Q198" s="115"/>
      <c r="R198" s="116"/>
      <c r="S198" s="107"/>
      <c r="T198" s="107"/>
      <c r="U198" s="107" t="str">
        <f t="shared" si="5"/>
        <v/>
      </c>
      <c r="V198" s="107"/>
      <c r="W198" s="107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S198" s="107"/>
      <c r="AT198" s="107"/>
      <c r="AU198" s="107"/>
      <c r="AV198" s="107"/>
      <c r="AW198" s="107"/>
      <c r="AX198" s="107"/>
      <c r="AY198" s="107"/>
      <c r="AZ198" s="107"/>
      <c r="BA198" s="107"/>
      <c r="BB198" s="107"/>
      <c r="BC198" s="107"/>
      <c r="BD198" s="107"/>
      <c r="BE198" s="107"/>
      <c r="BF198" s="107"/>
      <c r="BG198" s="107"/>
      <c r="BH198" s="107"/>
    </row>
    <row r="199" spans="1:60" x14ac:dyDescent="0.25">
      <c r="A199" s="96"/>
      <c r="B199" s="97"/>
      <c r="C199" s="97"/>
      <c r="D199" s="97"/>
      <c r="E199" s="98"/>
      <c r="F199" s="99"/>
      <c r="G199" s="97"/>
      <c r="H199" s="99"/>
      <c r="I199" s="99"/>
      <c r="J199" s="100"/>
      <c r="K199" s="101"/>
      <c r="L199" s="102"/>
      <c r="M199" s="103"/>
      <c r="N199" s="104"/>
      <c r="O199" s="97"/>
      <c r="P199" s="97"/>
      <c r="Q199" s="97"/>
      <c r="R199" s="105"/>
      <c r="S199" s="97"/>
      <c r="T199" s="97"/>
      <c r="U199" s="97" t="str">
        <f t="shared" si="5"/>
        <v/>
      </c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H199" s="97"/>
    </row>
    <row r="200" spans="1:60" x14ac:dyDescent="0.25">
      <c r="A200" s="106"/>
      <c r="B200" s="107"/>
      <c r="C200" s="107"/>
      <c r="D200" s="107"/>
      <c r="E200" s="108"/>
      <c r="F200" s="109"/>
      <c r="G200" s="107"/>
      <c r="H200" s="109"/>
      <c r="I200" s="110"/>
      <c r="J200" s="110"/>
      <c r="K200" s="111"/>
      <c r="L200" s="112"/>
      <c r="M200" s="113"/>
      <c r="N200" s="114"/>
      <c r="O200" s="107"/>
      <c r="P200" s="107"/>
      <c r="Q200" s="115"/>
      <c r="R200" s="116"/>
      <c r="S200" s="107"/>
      <c r="T200" s="107"/>
      <c r="U200" s="107" t="str">
        <f t="shared" si="5"/>
        <v/>
      </c>
      <c r="V200" s="107"/>
      <c r="W200" s="107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  <c r="AW200" s="107"/>
      <c r="AX200" s="107"/>
      <c r="AY200" s="107"/>
      <c r="AZ200" s="107"/>
      <c r="BA200" s="107"/>
      <c r="BB200" s="107"/>
      <c r="BC200" s="107"/>
      <c r="BD200" s="107"/>
      <c r="BE200" s="107"/>
      <c r="BF200" s="107"/>
      <c r="BG200" s="107"/>
      <c r="BH200" s="107"/>
    </row>
    <row r="201" spans="1:60" x14ac:dyDescent="0.25">
      <c r="A201" s="96"/>
      <c r="B201" s="97"/>
      <c r="C201" s="97"/>
      <c r="D201" s="97"/>
      <c r="E201" s="98"/>
      <c r="F201" s="99"/>
      <c r="G201" s="97"/>
      <c r="H201" s="99"/>
      <c r="I201" s="99"/>
      <c r="J201" s="100"/>
      <c r="K201" s="101"/>
      <c r="L201" s="102"/>
      <c r="M201" s="103"/>
      <c r="N201" s="104"/>
      <c r="O201" s="97"/>
      <c r="P201" s="97"/>
      <c r="Q201" s="97"/>
      <c r="R201" s="105"/>
      <c r="S201" s="97"/>
      <c r="T201" s="97"/>
      <c r="U201" s="97" t="str">
        <f t="shared" si="5"/>
        <v/>
      </c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</row>
    <row r="202" spans="1:60" x14ac:dyDescent="0.25">
      <c r="A202" s="106"/>
      <c r="B202" s="107"/>
      <c r="C202" s="107"/>
      <c r="D202" s="107"/>
      <c r="E202" s="108"/>
      <c r="F202" s="109"/>
      <c r="G202" s="107"/>
      <c r="H202" s="109"/>
      <c r="I202" s="110"/>
      <c r="J202" s="110"/>
      <c r="K202" s="111"/>
      <c r="L202" s="112"/>
      <c r="M202" s="113"/>
      <c r="N202" s="114"/>
      <c r="O202" s="107"/>
      <c r="P202" s="107"/>
      <c r="Q202" s="115"/>
      <c r="R202" s="116"/>
      <c r="S202" s="107"/>
      <c r="T202" s="107"/>
      <c r="U202" s="107" t="str">
        <f t="shared" si="5"/>
        <v/>
      </c>
      <c r="V202" s="107"/>
      <c r="W202" s="107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  <c r="AW202" s="107"/>
      <c r="AX202" s="107"/>
      <c r="AY202" s="107"/>
      <c r="AZ202" s="107"/>
      <c r="BA202" s="107"/>
      <c r="BB202" s="107"/>
      <c r="BC202" s="107"/>
      <c r="BD202" s="107"/>
      <c r="BE202" s="107"/>
      <c r="BF202" s="107"/>
      <c r="BG202" s="107"/>
      <c r="BH202" s="107"/>
    </row>
    <row r="203" spans="1:60" x14ac:dyDescent="0.25">
      <c r="A203" s="96"/>
      <c r="B203" s="97"/>
      <c r="C203" s="97"/>
      <c r="D203" s="97"/>
      <c r="E203" s="98"/>
      <c r="F203" s="99"/>
      <c r="G203" s="97"/>
      <c r="H203" s="99"/>
      <c r="I203" s="99"/>
      <c r="J203" s="100"/>
      <c r="K203" s="101"/>
      <c r="L203" s="102"/>
      <c r="M203" s="103"/>
      <c r="N203" s="104"/>
      <c r="O203" s="97"/>
      <c r="P203" s="97"/>
      <c r="Q203" s="97"/>
      <c r="R203" s="105"/>
      <c r="S203" s="97"/>
      <c r="T203" s="97"/>
      <c r="U203" s="97" t="str">
        <f t="shared" si="5"/>
        <v/>
      </c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H203" s="97"/>
    </row>
    <row r="204" spans="1:60" x14ac:dyDescent="0.25">
      <c r="A204" s="106"/>
      <c r="B204" s="107"/>
      <c r="C204" s="107"/>
      <c r="D204" s="107"/>
      <c r="E204" s="108"/>
      <c r="F204" s="109"/>
      <c r="G204" s="107"/>
      <c r="H204" s="109"/>
      <c r="I204" s="110"/>
      <c r="J204" s="110"/>
      <c r="K204" s="111"/>
      <c r="L204" s="112"/>
      <c r="M204" s="113"/>
      <c r="N204" s="114"/>
      <c r="O204" s="107"/>
      <c r="P204" s="107"/>
      <c r="Q204" s="115"/>
      <c r="R204" s="116"/>
      <c r="S204" s="107"/>
      <c r="T204" s="107"/>
      <c r="U204" s="107" t="str">
        <f t="shared" si="5"/>
        <v/>
      </c>
      <c r="V204" s="107"/>
      <c r="W204" s="107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</row>
    <row r="205" spans="1:60" x14ac:dyDescent="0.25">
      <c r="A205" s="96"/>
      <c r="B205" s="97"/>
      <c r="C205" s="97"/>
      <c r="D205" s="97"/>
      <c r="E205" s="98"/>
      <c r="F205" s="99"/>
      <c r="G205" s="97"/>
      <c r="H205" s="99"/>
      <c r="I205" s="99"/>
      <c r="J205" s="100"/>
      <c r="K205" s="101"/>
      <c r="L205" s="102"/>
      <c r="M205" s="103"/>
      <c r="N205" s="104"/>
      <c r="O205" s="97"/>
      <c r="P205" s="97"/>
      <c r="Q205" s="97"/>
      <c r="R205" s="105"/>
      <c r="S205" s="97"/>
      <c r="T205" s="97"/>
      <c r="U205" s="97" t="str">
        <f t="shared" si="5"/>
        <v/>
      </c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H205" s="97"/>
    </row>
    <row r="206" spans="1:60" x14ac:dyDescent="0.25">
      <c r="A206" s="106"/>
      <c r="B206" s="107"/>
      <c r="C206" s="107"/>
      <c r="D206" s="107"/>
      <c r="E206" s="108"/>
      <c r="F206" s="109"/>
      <c r="G206" s="107"/>
      <c r="H206" s="109"/>
      <c r="I206" s="110"/>
      <c r="J206" s="110"/>
      <c r="K206" s="111"/>
      <c r="L206" s="112"/>
      <c r="M206" s="113"/>
      <c r="N206" s="114"/>
      <c r="O206" s="107"/>
      <c r="P206" s="107"/>
      <c r="Q206" s="115"/>
      <c r="R206" s="116"/>
      <c r="S206" s="107"/>
      <c r="T206" s="107"/>
      <c r="U206" s="107" t="str">
        <f t="shared" si="5"/>
        <v/>
      </c>
      <c r="V206" s="107"/>
      <c r="W206" s="107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R206" s="107"/>
      <c r="AS206" s="107"/>
      <c r="AT206" s="107"/>
      <c r="AU206" s="107"/>
      <c r="AV206" s="107"/>
      <c r="AW206" s="107"/>
      <c r="AX206" s="107"/>
      <c r="AY206" s="107"/>
      <c r="AZ206" s="107"/>
      <c r="BA206" s="107"/>
      <c r="BB206" s="107"/>
      <c r="BC206" s="107"/>
      <c r="BD206" s="107"/>
      <c r="BE206" s="107"/>
      <c r="BF206" s="107"/>
      <c r="BG206" s="107"/>
      <c r="BH206" s="107"/>
    </row>
    <row r="207" spans="1:60" x14ac:dyDescent="0.25">
      <c r="A207" s="96"/>
      <c r="B207" s="97"/>
      <c r="C207" s="97"/>
      <c r="D207" s="97"/>
      <c r="E207" s="98"/>
      <c r="F207" s="99"/>
      <c r="G207" s="97"/>
      <c r="H207" s="99"/>
      <c r="I207" s="99"/>
      <c r="J207" s="100"/>
      <c r="K207" s="101"/>
      <c r="L207" s="102"/>
      <c r="M207" s="103"/>
      <c r="N207" s="104"/>
      <c r="O207" s="97"/>
      <c r="P207" s="97"/>
      <c r="Q207" s="97"/>
      <c r="R207" s="105"/>
      <c r="S207" s="97"/>
      <c r="T207" s="97"/>
      <c r="U207" s="97" t="str">
        <f t="shared" si="5"/>
        <v/>
      </c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H207" s="97"/>
    </row>
    <row r="208" spans="1:60" x14ac:dyDescent="0.25">
      <c r="A208" s="106"/>
      <c r="B208" s="107"/>
      <c r="C208" s="107"/>
      <c r="D208" s="107"/>
      <c r="E208" s="108"/>
      <c r="F208" s="109"/>
      <c r="G208" s="107"/>
      <c r="H208" s="109"/>
      <c r="I208" s="110"/>
      <c r="J208" s="110"/>
      <c r="K208" s="111"/>
      <c r="L208" s="112"/>
      <c r="M208" s="113"/>
      <c r="N208" s="114"/>
      <c r="O208" s="107"/>
      <c r="P208" s="107"/>
      <c r="Q208" s="115"/>
      <c r="R208" s="116"/>
      <c r="S208" s="107"/>
      <c r="T208" s="107"/>
      <c r="U208" s="107" t="str">
        <f t="shared" si="5"/>
        <v/>
      </c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  <c r="AY208" s="107"/>
      <c r="AZ208" s="107"/>
      <c r="BA208" s="107"/>
      <c r="BB208" s="107"/>
      <c r="BC208" s="107"/>
      <c r="BD208" s="107"/>
      <c r="BE208" s="107"/>
      <c r="BF208" s="107"/>
      <c r="BG208" s="107"/>
      <c r="BH208" s="107"/>
    </row>
    <row r="209" spans="1:60" x14ac:dyDescent="0.25">
      <c r="A209" s="96"/>
      <c r="B209" s="97"/>
      <c r="C209" s="97"/>
      <c r="D209" s="97"/>
      <c r="E209" s="98"/>
      <c r="F209" s="99"/>
      <c r="G209" s="97"/>
      <c r="H209" s="99"/>
      <c r="I209" s="99"/>
      <c r="J209" s="100"/>
      <c r="K209" s="101"/>
      <c r="L209" s="102"/>
      <c r="M209" s="103"/>
      <c r="N209" s="104"/>
      <c r="O209" s="97"/>
      <c r="P209" s="97"/>
      <c r="Q209" s="97"/>
      <c r="R209" s="105"/>
      <c r="S209" s="97"/>
      <c r="T209" s="97"/>
      <c r="U209" s="97" t="str">
        <f t="shared" si="5"/>
        <v/>
      </c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H209" s="97"/>
    </row>
    <row r="210" spans="1:60" x14ac:dyDescent="0.25">
      <c r="A210" s="106"/>
      <c r="B210" s="107"/>
      <c r="C210" s="107"/>
      <c r="D210" s="107"/>
      <c r="E210" s="108"/>
      <c r="F210" s="109"/>
      <c r="G210" s="107"/>
      <c r="H210" s="109"/>
      <c r="I210" s="110"/>
      <c r="J210" s="110"/>
      <c r="K210" s="111"/>
      <c r="L210" s="112"/>
      <c r="M210" s="113"/>
      <c r="N210" s="114"/>
      <c r="O210" s="107"/>
      <c r="P210" s="107"/>
      <c r="Q210" s="115"/>
      <c r="R210" s="116"/>
      <c r="S210" s="107"/>
      <c r="T210" s="107"/>
      <c r="U210" s="107" t="str">
        <f t="shared" si="5"/>
        <v/>
      </c>
      <c r="V210" s="107"/>
      <c r="W210" s="107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R210" s="107"/>
      <c r="AS210" s="107"/>
      <c r="AT210" s="107"/>
      <c r="AU210" s="107"/>
      <c r="AV210" s="107"/>
      <c r="AW210" s="107"/>
      <c r="AX210" s="107"/>
      <c r="AY210" s="107"/>
      <c r="AZ210" s="107"/>
      <c r="BA210" s="107"/>
      <c r="BB210" s="107"/>
      <c r="BC210" s="107"/>
      <c r="BD210" s="107"/>
      <c r="BE210" s="107"/>
      <c r="BF210" s="107"/>
      <c r="BG210" s="107"/>
      <c r="BH210" s="107"/>
    </row>
    <row r="211" spans="1:60" x14ac:dyDescent="0.25">
      <c r="A211" s="96"/>
      <c r="B211" s="97"/>
      <c r="C211" s="97"/>
      <c r="D211" s="97"/>
      <c r="E211" s="98"/>
      <c r="F211" s="99"/>
      <c r="G211" s="97"/>
      <c r="H211" s="99"/>
      <c r="I211" s="99"/>
      <c r="J211" s="100"/>
      <c r="K211" s="101"/>
      <c r="L211" s="102"/>
      <c r="M211" s="103"/>
      <c r="N211" s="104"/>
      <c r="O211" s="97"/>
      <c r="P211" s="97"/>
      <c r="Q211" s="97"/>
      <c r="R211" s="105"/>
      <c r="S211" s="97"/>
      <c r="T211" s="97"/>
      <c r="U211" s="97" t="str">
        <f t="shared" si="5"/>
        <v/>
      </c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/>
      <c r="AP211" s="97"/>
      <c r="AQ211" s="97"/>
      <c r="AR211" s="97"/>
      <c r="AS211" s="97"/>
      <c r="AT211" s="97"/>
      <c r="AU211" s="97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  <c r="BG211" s="97"/>
      <c r="BH211" s="97"/>
    </row>
    <row r="212" spans="1:60" x14ac:dyDescent="0.25">
      <c r="A212" s="106"/>
      <c r="B212" s="107"/>
      <c r="C212" s="107"/>
      <c r="D212" s="107"/>
      <c r="E212" s="108"/>
      <c r="F212" s="109"/>
      <c r="G212" s="107"/>
      <c r="H212" s="109"/>
      <c r="I212" s="110"/>
      <c r="J212" s="110"/>
      <c r="K212" s="111"/>
      <c r="L212" s="112"/>
      <c r="M212" s="113"/>
      <c r="N212" s="114"/>
      <c r="O212" s="107"/>
      <c r="P212" s="107"/>
      <c r="Q212" s="115"/>
      <c r="R212" s="116"/>
      <c r="S212" s="107"/>
      <c r="T212" s="107"/>
      <c r="U212" s="107" t="str">
        <f t="shared" si="5"/>
        <v/>
      </c>
      <c r="V212" s="107"/>
      <c r="W212" s="107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R212" s="107"/>
      <c r="AS212" s="107"/>
      <c r="AT212" s="107"/>
      <c r="AU212" s="107"/>
      <c r="AV212" s="107"/>
      <c r="AW212" s="107"/>
      <c r="AX212" s="107"/>
      <c r="AY212" s="107"/>
      <c r="AZ212" s="107"/>
      <c r="BA212" s="107"/>
      <c r="BB212" s="107"/>
      <c r="BC212" s="107"/>
      <c r="BD212" s="107"/>
      <c r="BE212" s="107"/>
      <c r="BF212" s="107"/>
      <c r="BG212" s="107"/>
      <c r="BH212" s="107"/>
    </row>
    <row r="213" spans="1:60" x14ac:dyDescent="0.25">
      <c r="A213" s="96"/>
      <c r="B213" s="97"/>
      <c r="C213" s="97"/>
      <c r="D213" s="97"/>
      <c r="E213" s="98"/>
      <c r="F213" s="99"/>
      <c r="G213" s="97"/>
      <c r="H213" s="99"/>
      <c r="I213" s="99"/>
      <c r="J213" s="100"/>
      <c r="K213" s="101"/>
      <c r="L213" s="102"/>
      <c r="M213" s="103"/>
      <c r="N213" s="104"/>
      <c r="O213" s="97"/>
      <c r="P213" s="97"/>
      <c r="Q213" s="97"/>
      <c r="R213" s="105"/>
      <c r="S213" s="97"/>
      <c r="T213" s="97"/>
      <c r="U213" s="97" t="str">
        <f t="shared" si="5"/>
        <v/>
      </c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H213" s="97"/>
    </row>
    <row r="214" spans="1:60" x14ac:dyDescent="0.25">
      <c r="A214" s="106"/>
      <c r="B214" s="107"/>
      <c r="C214" s="107"/>
      <c r="D214" s="107"/>
      <c r="E214" s="108"/>
      <c r="F214" s="109"/>
      <c r="G214" s="107"/>
      <c r="H214" s="109"/>
      <c r="I214" s="110"/>
      <c r="J214" s="110"/>
      <c r="K214" s="111"/>
      <c r="L214" s="112"/>
      <c r="M214" s="113"/>
      <c r="N214" s="114"/>
      <c r="O214" s="107"/>
      <c r="P214" s="107"/>
      <c r="Q214" s="115"/>
      <c r="R214" s="116"/>
      <c r="S214" s="107"/>
      <c r="T214" s="107"/>
      <c r="U214" s="107" t="str">
        <f t="shared" si="5"/>
        <v/>
      </c>
      <c r="V214" s="107"/>
      <c r="W214" s="107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R214" s="107"/>
      <c r="AS214" s="107"/>
      <c r="AT214" s="107"/>
      <c r="AU214" s="107"/>
      <c r="AV214" s="107"/>
      <c r="AW214" s="107"/>
      <c r="AX214" s="107"/>
      <c r="AY214" s="107"/>
      <c r="AZ214" s="107"/>
      <c r="BA214" s="107"/>
      <c r="BB214" s="107"/>
      <c r="BC214" s="107"/>
      <c r="BD214" s="107"/>
      <c r="BE214" s="107"/>
      <c r="BF214" s="107"/>
      <c r="BG214" s="107"/>
      <c r="BH214" s="107"/>
    </row>
    <row r="215" spans="1:60" x14ac:dyDescent="0.25">
      <c r="A215" s="96"/>
      <c r="B215" s="97"/>
      <c r="C215" s="97"/>
      <c r="D215" s="97"/>
      <c r="E215" s="98"/>
      <c r="F215" s="99"/>
      <c r="G215" s="97"/>
      <c r="H215" s="99"/>
      <c r="I215" s="99"/>
      <c r="J215" s="100"/>
      <c r="K215" s="101"/>
      <c r="L215" s="102"/>
      <c r="M215" s="103"/>
      <c r="N215" s="104"/>
      <c r="O215" s="97"/>
      <c r="P215" s="97"/>
      <c r="Q215" s="97"/>
      <c r="R215" s="105"/>
      <c r="S215" s="97"/>
      <c r="T215" s="97"/>
      <c r="U215" s="97" t="str">
        <f t="shared" si="5"/>
        <v/>
      </c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/>
      <c r="AP215" s="97"/>
      <c r="AQ215" s="97"/>
      <c r="AR215" s="97"/>
      <c r="AS215" s="97"/>
      <c r="AT215" s="97"/>
      <c r="AU215" s="97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H215" s="97"/>
    </row>
    <row r="216" spans="1:60" x14ac:dyDescent="0.25">
      <c r="A216" s="106"/>
      <c r="B216" s="107"/>
      <c r="C216" s="107"/>
      <c r="D216" s="107"/>
      <c r="E216" s="108"/>
      <c r="F216" s="109"/>
      <c r="G216" s="107"/>
      <c r="H216" s="109"/>
      <c r="I216" s="110"/>
      <c r="J216" s="110"/>
      <c r="K216" s="111"/>
      <c r="L216" s="112"/>
      <c r="M216" s="113"/>
      <c r="N216" s="114"/>
      <c r="O216" s="107"/>
      <c r="P216" s="107"/>
      <c r="Q216" s="115"/>
      <c r="R216" s="116"/>
      <c r="S216" s="107"/>
      <c r="T216" s="107"/>
      <c r="U216" s="107" t="str">
        <f t="shared" si="5"/>
        <v/>
      </c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7"/>
      <c r="BB216" s="107"/>
      <c r="BC216" s="107"/>
      <c r="BD216" s="107"/>
      <c r="BE216" s="107"/>
      <c r="BF216" s="107"/>
      <c r="BG216" s="107"/>
      <c r="BH216" s="107"/>
    </row>
    <row r="217" spans="1:60" x14ac:dyDescent="0.25">
      <c r="A217" s="96"/>
      <c r="B217" s="97"/>
      <c r="C217" s="97"/>
      <c r="D217" s="97"/>
      <c r="E217" s="98"/>
      <c r="F217" s="99"/>
      <c r="G217" s="97"/>
      <c r="H217" s="99"/>
      <c r="I217" s="99"/>
      <c r="J217" s="100"/>
      <c r="K217" s="101"/>
      <c r="L217" s="102"/>
      <c r="M217" s="103"/>
      <c r="N217" s="104"/>
      <c r="O217" s="97"/>
      <c r="P217" s="97"/>
      <c r="Q217" s="97"/>
      <c r="R217" s="105"/>
      <c r="S217" s="97"/>
      <c r="T217" s="97"/>
      <c r="U217" s="97" t="str">
        <f t="shared" si="5"/>
        <v/>
      </c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  <c r="AX217" s="97"/>
      <c r="AY217" s="97"/>
      <c r="AZ217" s="97"/>
      <c r="BA217" s="97"/>
      <c r="BB217" s="97"/>
      <c r="BC217" s="97"/>
      <c r="BD217" s="97"/>
      <c r="BE217" s="97"/>
      <c r="BF217" s="97"/>
      <c r="BG217" s="97"/>
      <c r="BH217" s="97"/>
    </row>
    <row r="218" spans="1:60" x14ac:dyDescent="0.25">
      <c r="A218" s="106"/>
      <c r="B218" s="107"/>
      <c r="C218" s="107"/>
      <c r="D218" s="107"/>
      <c r="E218" s="108"/>
      <c r="F218" s="109"/>
      <c r="G218" s="107"/>
      <c r="H218" s="109"/>
      <c r="I218" s="110"/>
      <c r="J218" s="110"/>
      <c r="K218" s="111"/>
      <c r="L218" s="112"/>
      <c r="M218" s="113"/>
      <c r="N218" s="114"/>
      <c r="O218" s="107"/>
      <c r="P218" s="107"/>
      <c r="Q218" s="115"/>
      <c r="R218" s="116"/>
      <c r="S218" s="107"/>
      <c r="T218" s="107"/>
      <c r="U218" s="107" t="str">
        <f t="shared" si="5"/>
        <v/>
      </c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  <c r="AW218" s="107"/>
      <c r="AX218" s="107"/>
      <c r="AY218" s="107"/>
      <c r="AZ218" s="107"/>
      <c r="BA218" s="107"/>
      <c r="BB218" s="107"/>
      <c r="BC218" s="107"/>
      <c r="BD218" s="107"/>
      <c r="BE218" s="107"/>
      <c r="BF218" s="107"/>
      <c r="BG218" s="107"/>
      <c r="BH218" s="107"/>
    </row>
    <row r="219" spans="1:60" x14ac:dyDescent="0.25">
      <c r="A219" s="96"/>
      <c r="B219" s="97"/>
      <c r="C219" s="97"/>
      <c r="D219" s="97"/>
      <c r="E219" s="98"/>
      <c r="F219" s="99"/>
      <c r="G219" s="97"/>
      <c r="H219" s="99"/>
      <c r="I219" s="99"/>
      <c r="J219" s="100"/>
      <c r="K219" s="101"/>
      <c r="L219" s="102"/>
      <c r="M219" s="103"/>
      <c r="N219" s="104"/>
      <c r="O219" s="97"/>
      <c r="P219" s="97"/>
      <c r="Q219" s="97"/>
      <c r="R219" s="105"/>
      <c r="S219" s="97"/>
      <c r="T219" s="97"/>
      <c r="U219" s="97" t="str">
        <f t="shared" si="5"/>
        <v/>
      </c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  <c r="AX219" s="97"/>
      <c r="AY219" s="97"/>
      <c r="AZ219" s="97"/>
      <c r="BA219" s="97"/>
      <c r="BB219" s="97"/>
      <c r="BC219" s="97"/>
      <c r="BD219" s="97"/>
      <c r="BE219" s="97"/>
      <c r="BF219" s="97"/>
      <c r="BG219" s="97"/>
      <c r="BH219" s="97"/>
    </row>
    <row r="220" spans="1:60" x14ac:dyDescent="0.25">
      <c r="A220" s="106"/>
      <c r="B220" s="107"/>
      <c r="C220" s="107"/>
      <c r="D220" s="107"/>
      <c r="E220" s="108"/>
      <c r="F220" s="109"/>
      <c r="G220" s="107"/>
      <c r="H220" s="109"/>
      <c r="I220" s="110"/>
      <c r="J220" s="110"/>
      <c r="K220" s="111"/>
      <c r="L220" s="112"/>
      <c r="M220" s="113"/>
      <c r="N220" s="114"/>
      <c r="O220" s="107"/>
      <c r="P220" s="107"/>
      <c r="Q220" s="115"/>
      <c r="R220" s="116"/>
      <c r="S220" s="107"/>
      <c r="T220" s="107"/>
      <c r="U220" s="107" t="str">
        <f t="shared" si="5"/>
        <v/>
      </c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  <c r="AW220" s="107"/>
      <c r="AX220" s="107"/>
      <c r="AY220" s="107"/>
      <c r="AZ220" s="107"/>
      <c r="BA220" s="107"/>
      <c r="BB220" s="107"/>
      <c r="BC220" s="107"/>
      <c r="BD220" s="107"/>
      <c r="BE220" s="107"/>
      <c r="BF220" s="107"/>
      <c r="BG220" s="107"/>
      <c r="BH220" s="107"/>
    </row>
    <row r="221" spans="1:60" x14ac:dyDescent="0.25">
      <c r="A221" s="96"/>
      <c r="B221" s="97"/>
      <c r="C221" s="97"/>
      <c r="D221" s="97"/>
      <c r="E221" s="98"/>
      <c r="F221" s="99"/>
      <c r="G221" s="97"/>
      <c r="H221" s="99"/>
      <c r="I221" s="99"/>
      <c r="J221" s="100"/>
      <c r="K221" s="101"/>
      <c r="L221" s="102"/>
      <c r="M221" s="103"/>
      <c r="N221" s="104"/>
      <c r="O221" s="97"/>
      <c r="P221" s="97"/>
      <c r="Q221" s="97"/>
      <c r="R221" s="105"/>
      <c r="S221" s="97"/>
      <c r="T221" s="97"/>
      <c r="U221" s="97" t="str">
        <f t="shared" si="5"/>
        <v/>
      </c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7"/>
      <c r="BD221" s="97"/>
      <c r="BE221" s="97"/>
      <c r="BF221" s="97"/>
      <c r="BG221" s="97"/>
      <c r="BH221" s="97"/>
    </row>
    <row r="222" spans="1:60" x14ac:dyDescent="0.25">
      <c r="A222" s="106"/>
      <c r="B222" s="107"/>
      <c r="C222" s="107"/>
      <c r="D222" s="107"/>
      <c r="E222" s="108"/>
      <c r="F222" s="109"/>
      <c r="G222" s="107"/>
      <c r="H222" s="109"/>
      <c r="I222" s="110"/>
      <c r="J222" s="110"/>
      <c r="K222" s="111"/>
      <c r="L222" s="112"/>
      <c r="M222" s="113"/>
      <c r="N222" s="114"/>
      <c r="O222" s="107"/>
      <c r="P222" s="107"/>
      <c r="Q222" s="115"/>
      <c r="R222" s="116"/>
      <c r="S222" s="107"/>
      <c r="T222" s="107"/>
      <c r="U222" s="107" t="str">
        <f t="shared" si="5"/>
        <v/>
      </c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  <c r="AY222" s="107"/>
      <c r="AZ222" s="107"/>
      <c r="BA222" s="107"/>
      <c r="BB222" s="107"/>
      <c r="BC222" s="107"/>
      <c r="BD222" s="107"/>
      <c r="BE222" s="107"/>
      <c r="BF222" s="107"/>
      <c r="BG222" s="107"/>
      <c r="BH222" s="107"/>
    </row>
    <row r="223" spans="1:60" x14ac:dyDescent="0.25">
      <c r="A223" s="96"/>
      <c r="B223" s="97"/>
      <c r="C223" s="97"/>
      <c r="D223" s="97"/>
      <c r="E223" s="98"/>
      <c r="F223" s="99"/>
      <c r="G223" s="97"/>
      <c r="H223" s="99"/>
      <c r="I223" s="99"/>
      <c r="J223" s="100"/>
      <c r="K223" s="101"/>
      <c r="L223" s="102"/>
      <c r="M223" s="103"/>
      <c r="N223" s="104"/>
      <c r="O223" s="97"/>
      <c r="P223" s="97"/>
      <c r="Q223" s="97"/>
      <c r="R223" s="105"/>
      <c r="S223" s="97"/>
      <c r="T223" s="97"/>
      <c r="U223" s="97" t="str">
        <f t="shared" si="5"/>
        <v/>
      </c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7"/>
      <c r="AU223" s="97"/>
      <c r="AV223" s="97"/>
      <c r="AW223" s="97"/>
      <c r="AX223" s="97"/>
      <c r="AY223" s="97"/>
      <c r="AZ223" s="97"/>
      <c r="BA223" s="97"/>
      <c r="BB223" s="97"/>
      <c r="BC223" s="97"/>
      <c r="BD223" s="97"/>
      <c r="BE223" s="97"/>
      <c r="BF223" s="97"/>
      <c r="BG223" s="97"/>
      <c r="BH223" s="97"/>
    </row>
    <row r="224" spans="1:60" x14ac:dyDescent="0.25">
      <c r="A224" s="106"/>
      <c r="B224" s="107"/>
      <c r="C224" s="107"/>
      <c r="D224" s="107"/>
      <c r="E224" s="108"/>
      <c r="F224" s="109"/>
      <c r="G224" s="107"/>
      <c r="H224" s="109"/>
      <c r="I224" s="110"/>
      <c r="J224" s="110"/>
      <c r="K224" s="111"/>
      <c r="L224" s="112"/>
      <c r="M224" s="113"/>
      <c r="N224" s="114"/>
      <c r="O224" s="107"/>
      <c r="P224" s="107"/>
      <c r="Q224" s="115"/>
      <c r="R224" s="116"/>
      <c r="S224" s="107"/>
      <c r="T224" s="107"/>
      <c r="U224" s="107" t="str">
        <f t="shared" si="5"/>
        <v/>
      </c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  <c r="AY224" s="107"/>
      <c r="AZ224" s="107"/>
      <c r="BA224" s="107"/>
      <c r="BB224" s="107"/>
      <c r="BC224" s="107"/>
      <c r="BD224" s="107"/>
      <c r="BE224" s="107"/>
      <c r="BF224" s="107"/>
      <c r="BG224" s="107"/>
      <c r="BH224" s="107"/>
    </row>
    <row r="225" spans="1:60" x14ac:dyDescent="0.25">
      <c r="A225" s="96"/>
      <c r="B225" s="97"/>
      <c r="C225" s="97"/>
      <c r="D225" s="97"/>
      <c r="E225" s="98"/>
      <c r="F225" s="99"/>
      <c r="G225" s="97"/>
      <c r="H225" s="99"/>
      <c r="I225" s="99"/>
      <c r="J225" s="100"/>
      <c r="K225" s="101"/>
      <c r="L225" s="102"/>
      <c r="M225" s="103"/>
      <c r="N225" s="104"/>
      <c r="O225" s="97"/>
      <c r="P225" s="97"/>
      <c r="Q225" s="97"/>
      <c r="R225" s="105"/>
      <c r="S225" s="97"/>
      <c r="T225" s="97"/>
      <c r="U225" s="97" t="str">
        <f t="shared" si="5"/>
        <v/>
      </c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  <c r="AX225" s="97"/>
      <c r="AY225" s="97"/>
      <c r="AZ225" s="97"/>
      <c r="BA225" s="97"/>
      <c r="BB225" s="97"/>
      <c r="BC225" s="97"/>
      <c r="BD225" s="97"/>
      <c r="BE225" s="97"/>
      <c r="BF225" s="97"/>
      <c r="BG225" s="97"/>
      <c r="BH225" s="97"/>
    </row>
    <row r="226" spans="1:60" x14ac:dyDescent="0.25">
      <c r="A226" s="106"/>
      <c r="B226" s="107"/>
      <c r="C226" s="107"/>
      <c r="D226" s="107"/>
      <c r="E226" s="108"/>
      <c r="F226" s="109"/>
      <c r="G226" s="107"/>
      <c r="H226" s="109"/>
      <c r="I226" s="110"/>
      <c r="J226" s="110"/>
      <c r="K226" s="111"/>
      <c r="L226" s="112"/>
      <c r="M226" s="113"/>
      <c r="N226" s="114"/>
      <c r="O226" s="107"/>
      <c r="P226" s="107"/>
      <c r="Q226" s="115"/>
      <c r="R226" s="116"/>
      <c r="S226" s="107"/>
      <c r="T226" s="107"/>
      <c r="U226" s="107" t="str">
        <f t="shared" si="5"/>
        <v/>
      </c>
      <c r="V226" s="107"/>
      <c r="W226" s="107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  <c r="AU226" s="107"/>
      <c r="AV226" s="107"/>
      <c r="AW226" s="107"/>
      <c r="AX226" s="107"/>
      <c r="AY226" s="107"/>
      <c r="AZ226" s="107"/>
      <c r="BA226" s="107"/>
      <c r="BB226" s="107"/>
      <c r="BC226" s="107"/>
      <c r="BD226" s="107"/>
      <c r="BE226" s="107"/>
      <c r="BF226" s="107"/>
      <c r="BG226" s="107"/>
      <c r="BH226" s="107"/>
    </row>
    <row r="227" spans="1:60" x14ac:dyDescent="0.25">
      <c r="A227" s="96"/>
      <c r="B227" s="97"/>
      <c r="C227" s="97"/>
      <c r="D227" s="97"/>
      <c r="E227" s="98"/>
      <c r="F227" s="99"/>
      <c r="G227" s="97"/>
      <c r="H227" s="99"/>
      <c r="I227" s="99"/>
      <c r="J227" s="100"/>
      <c r="K227" s="101"/>
      <c r="L227" s="102"/>
      <c r="M227" s="103"/>
      <c r="N227" s="104"/>
      <c r="O227" s="97"/>
      <c r="P227" s="97"/>
      <c r="Q227" s="97"/>
      <c r="R227" s="105"/>
      <c r="S227" s="97"/>
      <c r="T227" s="97"/>
      <c r="U227" s="97" t="str">
        <f t="shared" si="5"/>
        <v/>
      </c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  <c r="AX227" s="97"/>
      <c r="AY227" s="97"/>
      <c r="AZ227" s="97"/>
      <c r="BA227" s="97"/>
      <c r="BB227" s="97"/>
      <c r="BC227" s="97"/>
      <c r="BD227" s="97"/>
      <c r="BE227" s="97"/>
      <c r="BF227" s="97"/>
      <c r="BG227" s="97"/>
      <c r="BH227" s="97"/>
    </row>
    <row r="228" spans="1:60" x14ac:dyDescent="0.25">
      <c r="A228" s="106"/>
      <c r="B228" s="107"/>
      <c r="C228" s="107"/>
      <c r="D228" s="107"/>
      <c r="E228" s="108"/>
      <c r="F228" s="109"/>
      <c r="G228" s="107"/>
      <c r="H228" s="109"/>
      <c r="I228" s="110"/>
      <c r="J228" s="110"/>
      <c r="K228" s="111"/>
      <c r="L228" s="112"/>
      <c r="M228" s="113"/>
      <c r="N228" s="114"/>
      <c r="O228" s="107"/>
      <c r="P228" s="107"/>
      <c r="Q228" s="115"/>
      <c r="R228" s="116"/>
      <c r="S228" s="107"/>
      <c r="T228" s="107"/>
      <c r="U228" s="107" t="str">
        <f t="shared" si="5"/>
        <v/>
      </c>
      <c r="V228" s="107"/>
      <c r="W228" s="107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  <c r="AU228" s="107"/>
      <c r="AV228" s="107"/>
      <c r="AW228" s="107"/>
      <c r="AX228" s="107"/>
      <c r="AY228" s="107"/>
      <c r="AZ228" s="107"/>
      <c r="BA228" s="107"/>
      <c r="BB228" s="107"/>
      <c r="BC228" s="107"/>
      <c r="BD228" s="107"/>
      <c r="BE228" s="107"/>
      <c r="BF228" s="107"/>
      <c r="BG228" s="107"/>
      <c r="BH228" s="107"/>
    </row>
    <row r="229" spans="1:60" x14ac:dyDescent="0.25">
      <c r="A229" s="96"/>
      <c r="B229" s="97"/>
      <c r="C229" s="97"/>
      <c r="D229" s="97"/>
      <c r="E229" s="98"/>
      <c r="F229" s="99"/>
      <c r="G229" s="97"/>
      <c r="H229" s="99"/>
      <c r="I229" s="99"/>
      <c r="J229" s="100"/>
      <c r="K229" s="101"/>
      <c r="L229" s="102"/>
      <c r="M229" s="103"/>
      <c r="N229" s="104"/>
      <c r="O229" s="97"/>
      <c r="P229" s="97"/>
      <c r="Q229" s="97"/>
      <c r="R229" s="105"/>
      <c r="S229" s="97"/>
      <c r="T229" s="97"/>
      <c r="U229" s="97" t="str">
        <f t="shared" si="5"/>
        <v/>
      </c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/>
      <c r="AP229" s="97"/>
      <c r="AQ229" s="97"/>
      <c r="AR229" s="97"/>
      <c r="AS229" s="97"/>
      <c r="AT229" s="97"/>
      <c r="AU229" s="97"/>
      <c r="AV229" s="97"/>
      <c r="AW229" s="97"/>
      <c r="AX229" s="97"/>
      <c r="AY229" s="97"/>
      <c r="AZ229" s="97"/>
      <c r="BA229" s="97"/>
      <c r="BB229" s="97"/>
      <c r="BC229" s="97"/>
      <c r="BD229" s="97"/>
      <c r="BE229" s="97"/>
      <c r="BF229" s="97"/>
      <c r="BG229" s="97"/>
      <c r="BH229" s="97"/>
    </row>
    <row r="230" spans="1:60" x14ac:dyDescent="0.25">
      <c r="A230" s="106"/>
      <c r="B230" s="107"/>
      <c r="C230" s="107"/>
      <c r="D230" s="107"/>
      <c r="E230" s="108"/>
      <c r="F230" s="109"/>
      <c r="G230" s="107"/>
      <c r="H230" s="109"/>
      <c r="I230" s="110"/>
      <c r="J230" s="110"/>
      <c r="K230" s="111"/>
      <c r="L230" s="112"/>
      <c r="M230" s="113"/>
      <c r="N230" s="114"/>
      <c r="O230" s="107"/>
      <c r="P230" s="107"/>
      <c r="Q230" s="115"/>
      <c r="R230" s="116"/>
      <c r="S230" s="107"/>
      <c r="T230" s="107"/>
      <c r="U230" s="107" t="str">
        <f t="shared" si="5"/>
        <v/>
      </c>
      <c r="V230" s="107"/>
      <c r="W230" s="107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  <c r="AU230" s="107"/>
      <c r="AV230" s="107"/>
      <c r="AW230" s="107"/>
      <c r="AX230" s="107"/>
      <c r="AY230" s="107"/>
      <c r="AZ230" s="107"/>
      <c r="BA230" s="107"/>
      <c r="BB230" s="107"/>
      <c r="BC230" s="107"/>
      <c r="BD230" s="107"/>
      <c r="BE230" s="107"/>
      <c r="BF230" s="107"/>
      <c r="BG230" s="107"/>
      <c r="BH230" s="107"/>
    </row>
    <row r="231" spans="1:60" x14ac:dyDescent="0.25">
      <c r="A231" s="96"/>
      <c r="B231" s="97"/>
      <c r="C231" s="97"/>
      <c r="D231" s="97"/>
      <c r="E231" s="98"/>
      <c r="F231" s="99"/>
      <c r="G231" s="97"/>
      <c r="H231" s="99"/>
      <c r="I231" s="99"/>
      <c r="J231" s="100"/>
      <c r="K231" s="101"/>
      <c r="L231" s="102"/>
      <c r="M231" s="103"/>
      <c r="N231" s="104"/>
      <c r="O231" s="97"/>
      <c r="P231" s="97"/>
      <c r="Q231" s="97"/>
      <c r="R231" s="105"/>
      <c r="S231" s="97"/>
      <c r="T231" s="97"/>
      <c r="U231" s="97" t="str">
        <f t="shared" si="5"/>
        <v/>
      </c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  <c r="AX231" s="97"/>
      <c r="AY231" s="97"/>
      <c r="AZ231" s="97"/>
      <c r="BA231" s="97"/>
      <c r="BB231" s="97"/>
      <c r="BC231" s="97"/>
      <c r="BD231" s="97"/>
      <c r="BE231" s="97"/>
      <c r="BF231" s="97"/>
      <c r="BG231" s="97"/>
      <c r="BH231" s="97"/>
    </row>
    <row r="232" spans="1:60" x14ac:dyDescent="0.25">
      <c r="A232" s="106"/>
      <c r="B232" s="107"/>
      <c r="C232" s="107"/>
      <c r="D232" s="107"/>
      <c r="E232" s="108"/>
      <c r="F232" s="109"/>
      <c r="G232" s="107"/>
      <c r="H232" s="109"/>
      <c r="I232" s="110"/>
      <c r="J232" s="110"/>
      <c r="K232" s="111"/>
      <c r="L232" s="112"/>
      <c r="M232" s="113"/>
      <c r="N232" s="114"/>
      <c r="O232" s="107"/>
      <c r="P232" s="107"/>
      <c r="Q232" s="115"/>
      <c r="R232" s="116"/>
      <c r="S232" s="107"/>
      <c r="T232" s="107"/>
      <c r="U232" s="107" t="str">
        <f t="shared" si="5"/>
        <v/>
      </c>
      <c r="V232" s="107"/>
      <c r="W232" s="107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R232" s="107"/>
      <c r="AS232" s="107"/>
      <c r="AT232" s="107"/>
      <c r="AU232" s="107"/>
      <c r="AV232" s="107"/>
      <c r="AW232" s="107"/>
      <c r="AX232" s="107"/>
      <c r="AY232" s="107"/>
      <c r="AZ232" s="107"/>
      <c r="BA232" s="107"/>
      <c r="BB232" s="107"/>
      <c r="BC232" s="107"/>
      <c r="BD232" s="107"/>
      <c r="BE232" s="107"/>
      <c r="BF232" s="107"/>
      <c r="BG232" s="107"/>
      <c r="BH232" s="107"/>
    </row>
    <row r="233" spans="1:60" x14ac:dyDescent="0.25">
      <c r="A233" s="96"/>
      <c r="B233" s="97"/>
      <c r="C233" s="97"/>
      <c r="D233" s="97"/>
      <c r="E233" s="98"/>
      <c r="F233" s="99"/>
      <c r="G233" s="97"/>
      <c r="H233" s="99"/>
      <c r="I233" s="99"/>
      <c r="J233" s="100"/>
      <c r="K233" s="101"/>
      <c r="L233" s="102"/>
      <c r="M233" s="103"/>
      <c r="N233" s="104"/>
      <c r="O233" s="97"/>
      <c r="P233" s="97"/>
      <c r="Q233" s="97"/>
      <c r="R233" s="105"/>
      <c r="S233" s="97"/>
      <c r="T233" s="97"/>
      <c r="U233" s="97" t="str">
        <f t="shared" si="5"/>
        <v/>
      </c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  <c r="AX233" s="97"/>
      <c r="AY233" s="97"/>
      <c r="AZ233" s="97"/>
      <c r="BA233" s="97"/>
      <c r="BB233" s="97"/>
      <c r="BC233" s="97"/>
      <c r="BD233" s="97"/>
      <c r="BE233" s="97"/>
      <c r="BF233" s="97"/>
      <c r="BG233" s="97"/>
      <c r="BH233" s="97"/>
    </row>
    <row r="234" spans="1:60" x14ac:dyDescent="0.25">
      <c r="A234" s="106"/>
      <c r="B234" s="107"/>
      <c r="C234" s="107"/>
      <c r="D234" s="107"/>
      <c r="E234" s="108"/>
      <c r="F234" s="109"/>
      <c r="G234" s="107"/>
      <c r="H234" s="109"/>
      <c r="I234" s="110"/>
      <c r="J234" s="110"/>
      <c r="K234" s="111"/>
      <c r="L234" s="112"/>
      <c r="M234" s="113"/>
      <c r="N234" s="114"/>
      <c r="O234" s="107"/>
      <c r="P234" s="107"/>
      <c r="Q234" s="115"/>
      <c r="R234" s="116"/>
      <c r="S234" s="107"/>
      <c r="T234" s="107"/>
      <c r="U234" s="107" t="str">
        <f t="shared" si="5"/>
        <v/>
      </c>
      <c r="V234" s="107"/>
      <c r="W234" s="107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R234" s="107"/>
      <c r="AS234" s="107"/>
      <c r="AT234" s="107"/>
      <c r="AU234" s="107"/>
      <c r="AV234" s="107"/>
      <c r="AW234" s="107"/>
      <c r="AX234" s="107"/>
      <c r="AY234" s="107"/>
      <c r="AZ234" s="107"/>
      <c r="BA234" s="107"/>
      <c r="BB234" s="107"/>
      <c r="BC234" s="107"/>
      <c r="BD234" s="107"/>
      <c r="BE234" s="107"/>
      <c r="BF234" s="107"/>
      <c r="BG234" s="107"/>
      <c r="BH234" s="107"/>
    </row>
    <row r="235" spans="1:60" x14ac:dyDescent="0.25">
      <c r="A235" s="96"/>
      <c r="B235" s="97"/>
      <c r="C235" s="97"/>
      <c r="D235" s="97"/>
      <c r="E235" s="98"/>
      <c r="F235" s="99"/>
      <c r="G235" s="97"/>
      <c r="H235" s="99"/>
      <c r="I235" s="99"/>
      <c r="J235" s="100"/>
      <c r="K235" s="101"/>
      <c r="L235" s="102"/>
      <c r="M235" s="103"/>
      <c r="N235" s="104"/>
      <c r="O235" s="97"/>
      <c r="P235" s="97"/>
      <c r="Q235" s="97"/>
      <c r="R235" s="105"/>
      <c r="S235" s="97"/>
      <c r="T235" s="97"/>
      <c r="U235" s="97" t="str">
        <f t="shared" si="5"/>
        <v/>
      </c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  <c r="AX235" s="97"/>
      <c r="AY235" s="97"/>
      <c r="AZ235" s="97"/>
      <c r="BA235" s="97"/>
      <c r="BB235" s="97"/>
      <c r="BC235" s="97"/>
      <c r="BD235" s="97"/>
      <c r="BE235" s="97"/>
      <c r="BF235" s="97"/>
      <c r="BG235" s="97"/>
      <c r="BH235" s="97"/>
    </row>
    <row r="236" spans="1:60" x14ac:dyDescent="0.25">
      <c r="A236" s="106"/>
      <c r="B236" s="107"/>
      <c r="C236" s="107"/>
      <c r="D236" s="107"/>
      <c r="E236" s="108"/>
      <c r="F236" s="109"/>
      <c r="G236" s="107"/>
      <c r="H236" s="109"/>
      <c r="I236" s="110"/>
      <c r="J236" s="110"/>
      <c r="K236" s="111"/>
      <c r="L236" s="112"/>
      <c r="M236" s="113"/>
      <c r="N236" s="114"/>
      <c r="O236" s="107"/>
      <c r="P236" s="107"/>
      <c r="Q236" s="115"/>
      <c r="R236" s="116"/>
      <c r="S236" s="107"/>
      <c r="T236" s="107"/>
      <c r="U236" s="107" t="str">
        <f t="shared" si="5"/>
        <v/>
      </c>
      <c r="V236" s="107"/>
      <c r="W236" s="107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R236" s="107"/>
      <c r="AS236" s="107"/>
      <c r="AT236" s="107"/>
      <c r="AU236" s="107"/>
      <c r="AV236" s="107"/>
      <c r="AW236" s="107"/>
      <c r="AX236" s="107"/>
      <c r="AY236" s="107"/>
      <c r="AZ236" s="107"/>
      <c r="BA236" s="107"/>
      <c r="BB236" s="107"/>
      <c r="BC236" s="107"/>
      <c r="BD236" s="107"/>
      <c r="BE236" s="107"/>
      <c r="BF236" s="107"/>
      <c r="BG236" s="107"/>
      <c r="BH236" s="107"/>
    </row>
    <row r="237" spans="1:60" x14ac:dyDescent="0.25">
      <c r="A237" s="96"/>
      <c r="B237" s="97"/>
      <c r="C237" s="97"/>
      <c r="D237" s="97"/>
      <c r="E237" s="98"/>
      <c r="F237" s="99"/>
      <c r="G237" s="97"/>
      <c r="H237" s="99"/>
      <c r="I237" s="99"/>
      <c r="J237" s="100"/>
      <c r="K237" s="101"/>
      <c r="L237" s="102"/>
      <c r="M237" s="103"/>
      <c r="N237" s="104"/>
      <c r="O237" s="97"/>
      <c r="P237" s="97"/>
      <c r="Q237" s="97"/>
      <c r="R237" s="105"/>
      <c r="S237" s="97"/>
      <c r="T237" s="97"/>
      <c r="U237" s="97" t="str">
        <f t="shared" si="5"/>
        <v/>
      </c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7"/>
      <c r="BG237" s="97"/>
      <c r="BH237" s="97"/>
    </row>
    <row r="238" spans="1:60" x14ac:dyDescent="0.25">
      <c r="A238" s="106"/>
      <c r="B238" s="107"/>
      <c r="C238" s="107"/>
      <c r="D238" s="107"/>
      <c r="E238" s="108"/>
      <c r="F238" s="109"/>
      <c r="G238" s="107"/>
      <c r="H238" s="109"/>
      <c r="I238" s="110"/>
      <c r="J238" s="110"/>
      <c r="K238" s="111"/>
      <c r="L238" s="112"/>
      <c r="M238" s="113"/>
      <c r="N238" s="114"/>
      <c r="O238" s="107"/>
      <c r="P238" s="107"/>
      <c r="Q238" s="115"/>
      <c r="R238" s="116"/>
      <c r="S238" s="107"/>
      <c r="T238" s="107"/>
      <c r="U238" s="107" t="str">
        <f t="shared" si="5"/>
        <v/>
      </c>
      <c r="V238" s="107"/>
      <c r="W238" s="107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R238" s="107"/>
      <c r="AS238" s="107"/>
      <c r="AT238" s="107"/>
      <c r="AU238" s="107"/>
      <c r="AV238" s="107"/>
      <c r="AW238" s="107"/>
      <c r="AX238" s="107"/>
      <c r="AY238" s="107"/>
      <c r="AZ238" s="107"/>
      <c r="BA238" s="107"/>
      <c r="BB238" s="107"/>
      <c r="BC238" s="107"/>
      <c r="BD238" s="107"/>
      <c r="BE238" s="107"/>
      <c r="BF238" s="107"/>
      <c r="BG238" s="107"/>
      <c r="BH238" s="107"/>
    </row>
    <row r="239" spans="1:60" x14ac:dyDescent="0.25">
      <c r="A239" s="96"/>
      <c r="B239" s="97"/>
      <c r="C239" s="97"/>
      <c r="D239" s="97"/>
      <c r="E239" s="98"/>
      <c r="F239" s="99"/>
      <c r="G239" s="97"/>
      <c r="H239" s="99"/>
      <c r="I239" s="99"/>
      <c r="J239" s="100"/>
      <c r="K239" s="101"/>
      <c r="L239" s="102"/>
      <c r="M239" s="103"/>
      <c r="N239" s="104"/>
      <c r="O239" s="97"/>
      <c r="P239" s="97"/>
      <c r="Q239" s="97"/>
      <c r="R239" s="105"/>
      <c r="S239" s="97"/>
      <c r="T239" s="97"/>
      <c r="U239" s="97" t="str">
        <f t="shared" si="5"/>
        <v/>
      </c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97"/>
      <c r="AU239" s="97"/>
      <c r="AV239" s="97"/>
      <c r="AW239" s="97"/>
      <c r="AX239" s="97"/>
      <c r="AY239" s="97"/>
      <c r="AZ239" s="97"/>
      <c r="BA239" s="97"/>
      <c r="BB239" s="97"/>
      <c r="BC239" s="97"/>
      <c r="BD239" s="97"/>
      <c r="BE239" s="97"/>
      <c r="BF239" s="97"/>
      <c r="BG239" s="97"/>
      <c r="BH239" s="97"/>
    </row>
    <row r="240" spans="1:60" x14ac:dyDescent="0.25">
      <c r="A240" s="106"/>
      <c r="B240" s="107"/>
      <c r="C240" s="107"/>
      <c r="D240" s="107"/>
      <c r="E240" s="108"/>
      <c r="F240" s="109"/>
      <c r="G240" s="107"/>
      <c r="H240" s="109"/>
      <c r="I240" s="110"/>
      <c r="J240" s="110"/>
      <c r="K240" s="111"/>
      <c r="L240" s="112"/>
      <c r="M240" s="113"/>
      <c r="N240" s="114"/>
      <c r="O240" s="107"/>
      <c r="P240" s="107"/>
      <c r="Q240" s="115"/>
      <c r="R240" s="116"/>
      <c r="S240" s="107"/>
      <c r="T240" s="107"/>
      <c r="U240" s="107" t="str">
        <f t="shared" si="5"/>
        <v/>
      </c>
      <c r="V240" s="107"/>
      <c r="W240" s="107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R240" s="107"/>
      <c r="AS240" s="107"/>
      <c r="AT240" s="107"/>
      <c r="AU240" s="107"/>
      <c r="AV240" s="107"/>
      <c r="AW240" s="107"/>
      <c r="AX240" s="107"/>
      <c r="AY240" s="107"/>
      <c r="AZ240" s="107"/>
      <c r="BA240" s="107"/>
      <c r="BB240" s="107"/>
      <c r="BC240" s="107"/>
      <c r="BD240" s="107"/>
      <c r="BE240" s="107"/>
      <c r="BF240" s="107"/>
      <c r="BG240" s="107"/>
      <c r="BH240" s="107"/>
    </row>
    <row r="241" spans="1:60" x14ac:dyDescent="0.25">
      <c r="A241" s="96"/>
      <c r="B241" s="97"/>
      <c r="C241" s="97"/>
      <c r="D241" s="97"/>
      <c r="E241" s="98"/>
      <c r="F241" s="99"/>
      <c r="G241" s="97"/>
      <c r="H241" s="99"/>
      <c r="I241" s="99"/>
      <c r="J241" s="100"/>
      <c r="K241" s="101"/>
      <c r="L241" s="102"/>
      <c r="M241" s="103"/>
      <c r="N241" s="104"/>
      <c r="O241" s="97"/>
      <c r="P241" s="97"/>
      <c r="Q241" s="97"/>
      <c r="R241" s="105"/>
      <c r="S241" s="97"/>
      <c r="T241" s="97"/>
      <c r="U241" s="97" t="str">
        <f t="shared" si="5"/>
        <v/>
      </c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  <c r="AX241" s="97"/>
      <c r="AY241" s="97"/>
      <c r="AZ241" s="97"/>
      <c r="BA241" s="97"/>
      <c r="BB241" s="97"/>
      <c r="BC241" s="97"/>
      <c r="BD241" s="97"/>
      <c r="BE241" s="97"/>
      <c r="BF241" s="97"/>
      <c r="BG241" s="97"/>
      <c r="BH241" s="97"/>
    </row>
    <row r="242" spans="1:60" x14ac:dyDescent="0.25">
      <c r="A242" s="106"/>
      <c r="B242" s="107"/>
      <c r="C242" s="107"/>
      <c r="D242" s="107"/>
      <c r="E242" s="108"/>
      <c r="F242" s="109"/>
      <c r="G242" s="107"/>
      <c r="H242" s="109"/>
      <c r="I242" s="110"/>
      <c r="J242" s="110"/>
      <c r="K242" s="111"/>
      <c r="L242" s="112"/>
      <c r="M242" s="113"/>
      <c r="N242" s="114"/>
      <c r="O242" s="107"/>
      <c r="P242" s="107"/>
      <c r="Q242" s="115"/>
      <c r="R242" s="116"/>
      <c r="S242" s="107"/>
      <c r="T242" s="107"/>
      <c r="U242" s="107" t="str">
        <f t="shared" si="5"/>
        <v/>
      </c>
      <c r="V242" s="107"/>
      <c r="W242" s="107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R242" s="107"/>
      <c r="AS242" s="107"/>
      <c r="AT242" s="107"/>
      <c r="AU242" s="107"/>
      <c r="AV242" s="107"/>
      <c r="AW242" s="107"/>
      <c r="AX242" s="107"/>
      <c r="AY242" s="107"/>
      <c r="AZ242" s="107"/>
      <c r="BA242" s="107"/>
      <c r="BB242" s="107"/>
      <c r="BC242" s="107"/>
      <c r="BD242" s="107"/>
      <c r="BE242" s="107"/>
      <c r="BF242" s="107"/>
      <c r="BG242" s="107"/>
      <c r="BH242" s="107"/>
    </row>
    <row r="243" spans="1:60" x14ac:dyDescent="0.25">
      <c r="A243" s="96"/>
      <c r="B243" s="97"/>
      <c r="C243" s="97"/>
      <c r="D243" s="97"/>
      <c r="E243" s="98"/>
      <c r="F243" s="99"/>
      <c r="G243" s="97"/>
      <c r="H243" s="99"/>
      <c r="I243" s="99"/>
      <c r="J243" s="100"/>
      <c r="K243" s="101"/>
      <c r="L243" s="102"/>
      <c r="M243" s="103"/>
      <c r="N243" s="104"/>
      <c r="O243" s="97"/>
      <c r="P243" s="97"/>
      <c r="Q243" s="97"/>
      <c r="R243" s="105"/>
      <c r="S243" s="97"/>
      <c r="T243" s="97"/>
      <c r="U243" s="97" t="str">
        <f t="shared" si="5"/>
        <v/>
      </c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/>
      <c r="AP243" s="97"/>
      <c r="AQ243" s="97"/>
      <c r="AR243" s="97"/>
      <c r="AS243" s="97"/>
      <c r="AT243" s="97"/>
      <c r="AU243" s="97"/>
      <c r="AV243" s="97"/>
      <c r="AW243" s="97"/>
      <c r="AX243" s="97"/>
      <c r="AY243" s="97"/>
      <c r="AZ243" s="97"/>
      <c r="BA243" s="97"/>
      <c r="BB243" s="97"/>
      <c r="BC243" s="97"/>
      <c r="BD243" s="97"/>
      <c r="BE243" s="97"/>
      <c r="BF243" s="97"/>
      <c r="BG243" s="97"/>
      <c r="BH243" s="97"/>
    </row>
    <row r="244" spans="1:60" x14ac:dyDescent="0.25">
      <c r="A244" s="106"/>
      <c r="B244" s="107"/>
      <c r="C244" s="107"/>
      <c r="D244" s="107"/>
      <c r="E244" s="108"/>
      <c r="F244" s="109"/>
      <c r="G244" s="107"/>
      <c r="H244" s="109"/>
      <c r="I244" s="110"/>
      <c r="J244" s="110"/>
      <c r="K244" s="111"/>
      <c r="L244" s="112"/>
      <c r="M244" s="113"/>
      <c r="N244" s="114"/>
      <c r="O244" s="107"/>
      <c r="P244" s="107"/>
      <c r="Q244" s="115"/>
      <c r="R244" s="116"/>
      <c r="S244" s="107"/>
      <c r="T244" s="107"/>
      <c r="U244" s="107" t="str">
        <f t="shared" si="5"/>
        <v/>
      </c>
      <c r="V244" s="107"/>
      <c r="W244" s="107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R244" s="107"/>
      <c r="AS244" s="107"/>
      <c r="AT244" s="107"/>
      <c r="AU244" s="107"/>
      <c r="AV244" s="107"/>
      <c r="AW244" s="107"/>
      <c r="AX244" s="107"/>
      <c r="AY244" s="107"/>
      <c r="AZ244" s="107"/>
      <c r="BA244" s="107"/>
      <c r="BB244" s="107"/>
      <c r="BC244" s="107"/>
      <c r="BD244" s="107"/>
      <c r="BE244" s="107"/>
      <c r="BF244" s="107"/>
      <c r="BG244" s="107"/>
      <c r="BH244" s="107"/>
    </row>
    <row r="245" spans="1:60" x14ac:dyDescent="0.25">
      <c r="A245" s="96"/>
      <c r="B245" s="97"/>
      <c r="C245" s="97"/>
      <c r="D245" s="97"/>
      <c r="E245" s="98"/>
      <c r="F245" s="99"/>
      <c r="G245" s="97"/>
      <c r="H245" s="99"/>
      <c r="I245" s="99"/>
      <c r="J245" s="100"/>
      <c r="K245" s="101"/>
      <c r="L245" s="102"/>
      <c r="M245" s="103"/>
      <c r="N245" s="104"/>
      <c r="O245" s="97"/>
      <c r="P245" s="97"/>
      <c r="Q245" s="97"/>
      <c r="R245" s="105"/>
      <c r="S245" s="97"/>
      <c r="T245" s="97"/>
      <c r="U245" s="97" t="str">
        <f t="shared" si="5"/>
        <v/>
      </c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/>
      <c r="AP245" s="97"/>
      <c r="AQ245" s="97"/>
      <c r="AR245" s="97"/>
      <c r="AS245" s="97"/>
      <c r="AT245" s="97"/>
      <c r="AU245" s="97"/>
      <c r="AV245" s="97"/>
      <c r="AW245" s="97"/>
      <c r="AX245" s="97"/>
      <c r="AY245" s="97"/>
      <c r="AZ245" s="97"/>
      <c r="BA245" s="97"/>
      <c r="BB245" s="97"/>
      <c r="BC245" s="97"/>
      <c r="BD245" s="97"/>
      <c r="BE245" s="97"/>
      <c r="BF245" s="97"/>
      <c r="BG245" s="97"/>
      <c r="BH245" s="97"/>
    </row>
    <row r="246" spans="1:60" x14ac:dyDescent="0.25">
      <c r="A246" s="106"/>
      <c r="B246" s="107"/>
      <c r="C246" s="107"/>
      <c r="D246" s="107"/>
      <c r="E246" s="108"/>
      <c r="F246" s="109"/>
      <c r="G246" s="107"/>
      <c r="H246" s="109"/>
      <c r="I246" s="110"/>
      <c r="J246" s="110"/>
      <c r="K246" s="111"/>
      <c r="L246" s="112"/>
      <c r="M246" s="113"/>
      <c r="N246" s="114"/>
      <c r="O246" s="107"/>
      <c r="P246" s="107"/>
      <c r="Q246" s="115"/>
      <c r="R246" s="116"/>
      <c r="S246" s="107"/>
      <c r="T246" s="107"/>
      <c r="U246" s="107" t="str">
        <f t="shared" si="5"/>
        <v/>
      </c>
      <c r="V246" s="107"/>
      <c r="W246" s="107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R246" s="107"/>
      <c r="AS246" s="107"/>
      <c r="AT246" s="107"/>
      <c r="AU246" s="107"/>
      <c r="AV246" s="107"/>
      <c r="AW246" s="107"/>
      <c r="AX246" s="107"/>
      <c r="AY246" s="107"/>
      <c r="AZ246" s="107"/>
      <c r="BA246" s="107"/>
      <c r="BB246" s="107"/>
      <c r="BC246" s="107"/>
      <c r="BD246" s="107"/>
      <c r="BE246" s="107"/>
      <c r="BF246" s="107"/>
      <c r="BG246" s="107"/>
      <c r="BH246" s="107"/>
    </row>
    <row r="247" spans="1:60" x14ac:dyDescent="0.25">
      <c r="A247" s="96"/>
      <c r="B247" s="97"/>
      <c r="C247" s="97"/>
      <c r="D247" s="97"/>
      <c r="E247" s="98"/>
      <c r="F247" s="99"/>
      <c r="G247" s="97"/>
      <c r="H247" s="99"/>
      <c r="I247" s="99"/>
      <c r="J247" s="100"/>
      <c r="K247" s="101"/>
      <c r="L247" s="102"/>
      <c r="M247" s="103"/>
      <c r="N247" s="104"/>
      <c r="O247" s="97"/>
      <c r="P247" s="97"/>
      <c r="Q247" s="97"/>
      <c r="R247" s="105"/>
      <c r="S247" s="97"/>
      <c r="T247" s="97"/>
      <c r="U247" s="97" t="str">
        <f t="shared" si="5"/>
        <v/>
      </c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  <c r="AX247" s="97"/>
      <c r="AY247" s="97"/>
      <c r="AZ247" s="97"/>
      <c r="BA247" s="97"/>
      <c r="BB247" s="97"/>
      <c r="BC247" s="97"/>
      <c r="BD247" s="97"/>
      <c r="BE247" s="97"/>
      <c r="BF247" s="97"/>
      <c r="BG247" s="97"/>
      <c r="BH247" s="97"/>
    </row>
    <row r="248" spans="1:60" x14ac:dyDescent="0.25">
      <c r="A248" s="106"/>
      <c r="B248" s="107"/>
      <c r="C248" s="107"/>
      <c r="D248" s="107"/>
      <c r="E248" s="108"/>
      <c r="F248" s="109"/>
      <c r="G248" s="107"/>
      <c r="H248" s="109"/>
      <c r="I248" s="110"/>
      <c r="J248" s="110"/>
      <c r="K248" s="111"/>
      <c r="L248" s="112"/>
      <c r="M248" s="113"/>
      <c r="N248" s="114"/>
      <c r="O248" s="107"/>
      <c r="P248" s="107"/>
      <c r="Q248" s="115"/>
      <c r="R248" s="116"/>
      <c r="S248" s="107"/>
      <c r="T248" s="107"/>
      <c r="U248" s="107" t="str">
        <f t="shared" si="5"/>
        <v/>
      </c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R248" s="107"/>
      <c r="AS248" s="107"/>
      <c r="AT248" s="107"/>
      <c r="AU248" s="107"/>
      <c r="AV248" s="107"/>
      <c r="AW248" s="107"/>
      <c r="AX248" s="107"/>
      <c r="AY248" s="107"/>
      <c r="AZ248" s="107"/>
      <c r="BA248" s="107"/>
      <c r="BB248" s="107"/>
      <c r="BC248" s="107"/>
      <c r="BD248" s="107"/>
      <c r="BE248" s="107"/>
      <c r="BF248" s="107"/>
      <c r="BG248" s="107"/>
      <c r="BH248" s="107"/>
    </row>
    <row r="249" spans="1:60" x14ac:dyDescent="0.25">
      <c r="A249" s="96"/>
      <c r="B249" s="97"/>
      <c r="C249" s="97"/>
      <c r="D249" s="97"/>
      <c r="E249" s="98"/>
      <c r="F249" s="99"/>
      <c r="G249" s="97"/>
      <c r="H249" s="99"/>
      <c r="I249" s="99"/>
      <c r="J249" s="100"/>
      <c r="K249" s="101"/>
      <c r="L249" s="102"/>
      <c r="M249" s="103"/>
      <c r="N249" s="104"/>
      <c r="O249" s="97"/>
      <c r="P249" s="97"/>
      <c r="Q249" s="97"/>
      <c r="R249" s="105"/>
      <c r="S249" s="97"/>
      <c r="T249" s="97"/>
      <c r="U249" s="97" t="str">
        <f t="shared" si="5"/>
        <v/>
      </c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  <c r="AX249" s="97"/>
      <c r="AY249" s="97"/>
      <c r="AZ249" s="97"/>
      <c r="BA249" s="97"/>
      <c r="BB249" s="97"/>
      <c r="BC249" s="97"/>
      <c r="BD249" s="97"/>
      <c r="BE249" s="97"/>
      <c r="BF249" s="97"/>
      <c r="BG249" s="97"/>
      <c r="BH249" s="97"/>
    </row>
    <row r="250" spans="1:60" x14ac:dyDescent="0.25">
      <c r="A250" s="106"/>
      <c r="B250" s="107"/>
      <c r="C250" s="107"/>
      <c r="D250" s="107"/>
      <c r="E250" s="108"/>
      <c r="F250" s="109"/>
      <c r="G250" s="107"/>
      <c r="H250" s="109"/>
      <c r="I250" s="110"/>
      <c r="J250" s="110"/>
      <c r="K250" s="111"/>
      <c r="L250" s="112"/>
      <c r="M250" s="113"/>
      <c r="N250" s="114"/>
      <c r="O250" s="107"/>
      <c r="P250" s="107"/>
      <c r="Q250" s="115"/>
      <c r="R250" s="116"/>
      <c r="S250" s="107"/>
      <c r="T250" s="107"/>
      <c r="U250" s="107" t="str">
        <f t="shared" si="5"/>
        <v/>
      </c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Y250" s="107"/>
      <c r="AZ250" s="107"/>
      <c r="BA250" s="107"/>
      <c r="BB250" s="107"/>
      <c r="BC250" s="107"/>
      <c r="BD250" s="107"/>
      <c r="BE250" s="107"/>
      <c r="BF250" s="107"/>
      <c r="BG250" s="107"/>
      <c r="BH250" s="107"/>
    </row>
    <row r="251" spans="1:60" x14ac:dyDescent="0.25">
      <c r="A251" s="96"/>
      <c r="B251" s="97"/>
      <c r="C251" s="97"/>
      <c r="D251" s="97"/>
      <c r="E251" s="98"/>
      <c r="F251" s="99"/>
      <c r="G251" s="97"/>
      <c r="H251" s="99"/>
      <c r="I251" s="99"/>
      <c r="J251" s="100"/>
      <c r="K251" s="101"/>
      <c r="L251" s="102"/>
      <c r="M251" s="103"/>
      <c r="N251" s="104"/>
      <c r="O251" s="97"/>
      <c r="P251" s="97"/>
      <c r="Q251" s="97"/>
      <c r="R251" s="105"/>
      <c r="S251" s="97"/>
      <c r="T251" s="97"/>
      <c r="U251" s="97" t="str">
        <f t="shared" ref="U251:U258" si="6">IF(B251="","",IF(I251="",0,1))</f>
        <v/>
      </c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7"/>
      <c r="BG251" s="97"/>
      <c r="BH251" s="97"/>
    </row>
    <row r="252" spans="1:60" x14ac:dyDescent="0.25">
      <c r="A252" s="106"/>
      <c r="B252" s="107"/>
      <c r="C252" s="107"/>
      <c r="D252" s="107"/>
      <c r="E252" s="108"/>
      <c r="F252" s="109"/>
      <c r="G252" s="107"/>
      <c r="H252" s="109"/>
      <c r="I252" s="110"/>
      <c r="J252" s="110"/>
      <c r="K252" s="111"/>
      <c r="L252" s="112"/>
      <c r="M252" s="113"/>
      <c r="N252" s="114"/>
      <c r="O252" s="107"/>
      <c r="P252" s="107"/>
      <c r="Q252" s="115"/>
      <c r="R252" s="116"/>
      <c r="S252" s="107"/>
      <c r="T252" s="107"/>
      <c r="U252" s="107" t="str">
        <f t="shared" si="6"/>
        <v/>
      </c>
      <c r="V252" s="107"/>
      <c r="W252" s="107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R252" s="107"/>
      <c r="AS252" s="107"/>
      <c r="AT252" s="107"/>
      <c r="AU252" s="107"/>
      <c r="AV252" s="107"/>
      <c r="AW252" s="107"/>
      <c r="AX252" s="107"/>
      <c r="AY252" s="107"/>
      <c r="AZ252" s="107"/>
      <c r="BA252" s="107"/>
      <c r="BB252" s="107"/>
      <c r="BC252" s="107"/>
      <c r="BD252" s="107"/>
      <c r="BE252" s="107"/>
      <c r="BF252" s="107"/>
      <c r="BG252" s="107"/>
      <c r="BH252" s="107"/>
    </row>
    <row r="253" spans="1:60" x14ac:dyDescent="0.25">
      <c r="A253" s="96"/>
      <c r="B253" s="97"/>
      <c r="C253" s="97"/>
      <c r="D253" s="97"/>
      <c r="E253" s="98"/>
      <c r="F253" s="99"/>
      <c r="G253" s="97"/>
      <c r="H253" s="99"/>
      <c r="I253" s="99"/>
      <c r="J253" s="100"/>
      <c r="K253" s="101"/>
      <c r="L253" s="102"/>
      <c r="M253" s="103"/>
      <c r="N253" s="104"/>
      <c r="O253" s="97"/>
      <c r="P253" s="97"/>
      <c r="Q253" s="97"/>
      <c r="R253" s="105"/>
      <c r="S253" s="97"/>
      <c r="T253" s="97"/>
      <c r="U253" s="97" t="str">
        <f t="shared" si="6"/>
        <v/>
      </c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7"/>
      <c r="AU253" s="97"/>
      <c r="AV253" s="97"/>
      <c r="AW253" s="97"/>
      <c r="AX253" s="97"/>
      <c r="AY253" s="97"/>
      <c r="AZ253" s="97"/>
      <c r="BA253" s="97"/>
      <c r="BB253" s="97"/>
      <c r="BC253" s="97"/>
      <c r="BD253" s="97"/>
      <c r="BE253" s="97"/>
      <c r="BF253" s="97"/>
      <c r="BG253" s="97"/>
      <c r="BH253" s="97"/>
    </row>
    <row r="254" spans="1:60" x14ac:dyDescent="0.25">
      <c r="A254" s="106"/>
      <c r="B254" s="107"/>
      <c r="C254" s="107"/>
      <c r="D254" s="107"/>
      <c r="E254" s="108"/>
      <c r="F254" s="109"/>
      <c r="G254" s="107"/>
      <c r="H254" s="109"/>
      <c r="I254" s="110"/>
      <c r="J254" s="110"/>
      <c r="K254" s="111"/>
      <c r="L254" s="112"/>
      <c r="M254" s="113"/>
      <c r="N254" s="114"/>
      <c r="O254" s="107"/>
      <c r="P254" s="107"/>
      <c r="Q254" s="115"/>
      <c r="R254" s="116"/>
      <c r="S254" s="107"/>
      <c r="T254" s="107"/>
      <c r="U254" s="107" t="str">
        <f t="shared" si="6"/>
        <v/>
      </c>
      <c r="V254" s="107"/>
      <c r="W254" s="107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R254" s="107"/>
      <c r="AS254" s="107"/>
      <c r="AT254" s="107"/>
      <c r="AU254" s="107"/>
      <c r="AV254" s="107"/>
      <c r="AW254" s="107"/>
      <c r="AX254" s="107"/>
      <c r="AY254" s="107"/>
      <c r="AZ254" s="107"/>
      <c r="BA254" s="107"/>
      <c r="BB254" s="107"/>
      <c r="BC254" s="107"/>
      <c r="BD254" s="107"/>
      <c r="BE254" s="107"/>
      <c r="BF254" s="107"/>
      <c r="BG254" s="107"/>
      <c r="BH254" s="107"/>
    </row>
    <row r="255" spans="1:60" x14ac:dyDescent="0.25">
      <c r="A255" s="96"/>
      <c r="B255" s="97"/>
      <c r="C255" s="97"/>
      <c r="D255" s="97"/>
      <c r="E255" s="98"/>
      <c r="F255" s="99"/>
      <c r="G255" s="97"/>
      <c r="H255" s="99"/>
      <c r="I255" s="99"/>
      <c r="J255" s="100"/>
      <c r="K255" s="101"/>
      <c r="L255" s="102"/>
      <c r="M255" s="103"/>
      <c r="N255" s="104"/>
      <c r="O255" s="97"/>
      <c r="P255" s="97"/>
      <c r="Q255" s="97"/>
      <c r="R255" s="105"/>
      <c r="S255" s="97"/>
      <c r="T255" s="97"/>
      <c r="U255" s="97" t="str">
        <f t="shared" si="6"/>
        <v/>
      </c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  <c r="AX255" s="97"/>
      <c r="AY255" s="97"/>
      <c r="AZ255" s="97"/>
      <c r="BA255" s="97"/>
      <c r="BB255" s="97"/>
      <c r="BC255" s="97"/>
      <c r="BD255" s="97"/>
      <c r="BE255" s="97"/>
      <c r="BF255" s="97"/>
      <c r="BG255" s="97"/>
      <c r="BH255" s="97"/>
    </row>
    <row r="256" spans="1:60" x14ac:dyDescent="0.25">
      <c r="A256" s="106"/>
      <c r="B256" s="107"/>
      <c r="C256" s="107"/>
      <c r="D256" s="107"/>
      <c r="E256" s="108"/>
      <c r="F256" s="109"/>
      <c r="G256" s="107"/>
      <c r="H256" s="109"/>
      <c r="I256" s="110"/>
      <c r="J256" s="110"/>
      <c r="K256" s="111"/>
      <c r="L256" s="112"/>
      <c r="M256" s="113"/>
      <c r="N256" s="114"/>
      <c r="O256" s="107"/>
      <c r="P256" s="107"/>
      <c r="Q256" s="115"/>
      <c r="R256" s="116"/>
      <c r="S256" s="107"/>
      <c r="T256" s="107"/>
      <c r="U256" s="107" t="str">
        <f t="shared" si="6"/>
        <v/>
      </c>
      <c r="V256" s="107"/>
      <c r="W256" s="107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R256" s="107"/>
      <c r="AS256" s="107"/>
      <c r="AT256" s="107"/>
      <c r="AU256" s="107"/>
      <c r="AV256" s="107"/>
      <c r="AW256" s="107"/>
      <c r="AX256" s="107"/>
      <c r="AY256" s="107"/>
      <c r="AZ256" s="107"/>
      <c r="BA256" s="107"/>
      <c r="BB256" s="107"/>
      <c r="BC256" s="107"/>
      <c r="BD256" s="107"/>
      <c r="BE256" s="107"/>
      <c r="BF256" s="107"/>
      <c r="BG256" s="107"/>
      <c r="BH256" s="107"/>
    </row>
    <row r="257" spans="1:60" x14ac:dyDescent="0.25">
      <c r="A257" s="96"/>
      <c r="B257" s="97"/>
      <c r="C257" s="97"/>
      <c r="D257" s="97"/>
      <c r="E257" s="98"/>
      <c r="F257" s="99"/>
      <c r="G257" s="97"/>
      <c r="H257" s="99"/>
      <c r="I257" s="99"/>
      <c r="J257" s="100"/>
      <c r="K257" s="101"/>
      <c r="L257" s="102"/>
      <c r="M257" s="103"/>
      <c r="N257" s="104"/>
      <c r="O257" s="97"/>
      <c r="P257" s="97"/>
      <c r="Q257" s="97"/>
      <c r="R257" s="105"/>
      <c r="S257" s="97"/>
      <c r="T257" s="97"/>
      <c r="U257" s="97" t="str">
        <f t="shared" si="6"/>
        <v/>
      </c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  <c r="AX257" s="97"/>
      <c r="AY257" s="97"/>
      <c r="AZ257" s="97"/>
      <c r="BA257" s="97"/>
      <c r="BB257" s="97"/>
      <c r="BC257" s="97"/>
      <c r="BD257" s="97"/>
      <c r="BE257" s="97"/>
      <c r="BF257" s="97"/>
      <c r="BG257" s="97"/>
      <c r="BH257" s="97"/>
    </row>
    <row r="258" spans="1:60" x14ac:dyDescent="0.25">
      <c r="A258" s="106"/>
      <c r="B258" s="107"/>
      <c r="C258" s="107"/>
      <c r="D258" s="107"/>
      <c r="E258" s="108"/>
      <c r="F258" s="109"/>
      <c r="G258" s="107"/>
      <c r="H258" s="109"/>
      <c r="I258" s="110"/>
      <c r="J258" s="110"/>
      <c r="K258" s="111"/>
      <c r="L258" s="112"/>
      <c r="M258" s="113"/>
      <c r="N258" s="114"/>
      <c r="O258" s="107"/>
      <c r="P258" s="107"/>
      <c r="Q258" s="115"/>
      <c r="R258" s="116"/>
      <c r="S258" s="107"/>
      <c r="T258" s="107"/>
      <c r="U258" s="107" t="str">
        <f t="shared" si="6"/>
        <v/>
      </c>
      <c r="V258" s="107"/>
      <c r="W258" s="107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R258" s="107"/>
      <c r="AS258" s="107"/>
      <c r="AT258" s="107"/>
      <c r="AU258" s="107"/>
      <c r="AV258" s="107"/>
      <c r="AW258" s="107"/>
      <c r="AX258" s="107"/>
      <c r="AY258" s="107"/>
      <c r="AZ258" s="107"/>
      <c r="BA258" s="107"/>
      <c r="BB258" s="107"/>
      <c r="BC258" s="107"/>
      <c r="BD258" s="107"/>
      <c r="BE258" s="107"/>
      <c r="BF258" s="107"/>
      <c r="BG258" s="107"/>
      <c r="BH258" s="107"/>
    </row>
    <row r="259" spans="1:60" x14ac:dyDescent="0.25">
      <c r="A259" s="96"/>
      <c r="B259" s="97"/>
      <c r="C259" s="97"/>
      <c r="D259" s="97"/>
      <c r="E259" s="98"/>
      <c r="F259" s="99"/>
      <c r="G259" s="97"/>
      <c r="H259" s="99"/>
      <c r="I259" s="99"/>
      <c r="J259" s="100"/>
      <c r="K259" s="101"/>
      <c r="L259" s="102"/>
      <c r="M259" s="103"/>
      <c r="N259" s="104"/>
      <c r="O259" s="97"/>
      <c r="P259" s="97"/>
      <c r="Q259" s="97"/>
      <c r="R259" s="105"/>
      <c r="S259" s="97"/>
      <c r="T259" s="97"/>
      <c r="U259" s="97" t="str">
        <f t="shared" ref="U259:U322" si="7">IF(B259="","",IF(I259="",0,1))</f>
        <v/>
      </c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/>
      <c r="AP259" s="97"/>
      <c r="AQ259" s="97"/>
      <c r="AR259" s="97"/>
      <c r="AS259" s="97"/>
      <c r="AT259" s="97"/>
      <c r="AU259" s="97"/>
      <c r="AV259" s="97"/>
      <c r="AW259" s="97"/>
      <c r="AX259" s="97"/>
      <c r="AY259" s="97"/>
      <c r="AZ259" s="97"/>
      <c r="BA259" s="97"/>
      <c r="BB259" s="97"/>
      <c r="BC259" s="97"/>
      <c r="BD259" s="97"/>
      <c r="BE259" s="97"/>
      <c r="BF259" s="97"/>
      <c r="BG259" s="97"/>
      <c r="BH259" s="97"/>
    </row>
    <row r="260" spans="1:60" x14ac:dyDescent="0.25">
      <c r="A260" s="106"/>
      <c r="B260" s="107"/>
      <c r="C260" s="107"/>
      <c r="D260" s="107"/>
      <c r="E260" s="108"/>
      <c r="F260" s="109"/>
      <c r="G260" s="107"/>
      <c r="H260" s="109"/>
      <c r="I260" s="110"/>
      <c r="J260" s="110"/>
      <c r="K260" s="111"/>
      <c r="L260" s="112"/>
      <c r="M260" s="113"/>
      <c r="N260" s="114"/>
      <c r="O260" s="107"/>
      <c r="P260" s="107"/>
      <c r="Q260" s="115"/>
      <c r="R260" s="116"/>
      <c r="S260" s="107"/>
      <c r="T260" s="107"/>
      <c r="U260" s="107" t="str">
        <f t="shared" si="7"/>
        <v/>
      </c>
      <c r="V260" s="107"/>
      <c r="W260" s="107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R260" s="107"/>
      <c r="AS260" s="107"/>
      <c r="AT260" s="107"/>
      <c r="AU260" s="107"/>
      <c r="AV260" s="107"/>
      <c r="AW260" s="107"/>
      <c r="AX260" s="107"/>
      <c r="AY260" s="107"/>
      <c r="AZ260" s="107"/>
      <c r="BA260" s="107"/>
      <c r="BB260" s="107"/>
      <c r="BC260" s="107"/>
      <c r="BD260" s="107"/>
      <c r="BE260" s="107"/>
      <c r="BF260" s="107"/>
      <c r="BG260" s="107"/>
      <c r="BH260" s="107"/>
    </row>
    <row r="261" spans="1:60" x14ac:dyDescent="0.25">
      <c r="A261" s="96"/>
      <c r="B261" s="97"/>
      <c r="C261" s="97"/>
      <c r="D261" s="97"/>
      <c r="E261" s="98"/>
      <c r="F261" s="99"/>
      <c r="G261" s="97"/>
      <c r="H261" s="99"/>
      <c r="I261" s="99"/>
      <c r="J261" s="100"/>
      <c r="K261" s="101"/>
      <c r="L261" s="102"/>
      <c r="M261" s="103"/>
      <c r="N261" s="104"/>
      <c r="O261" s="97"/>
      <c r="P261" s="97"/>
      <c r="Q261" s="97"/>
      <c r="R261" s="105"/>
      <c r="S261" s="97"/>
      <c r="T261" s="97"/>
      <c r="U261" s="97" t="str">
        <f t="shared" si="7"/>
        <v/>
      </c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  <c r="AX261" s="97"/>
      <c r="AY261" s="97"/>
      <c r="AZ261" s="97"/>
      <c r="BA261" s="97"/>
      <c r="BB261" s="97"/>
      <c r="BC261" s="97"/>
      <c r="BD261" s="97"/>
      <c r="BE261" s="97"/>
      <c r="BF261" s="97"/>
      <c r="BG261" s="97"/>
      <c r="BH261" s="97"/>
    </row>
    <row r="262" spans="1:60" x14ac:dyDescent="0.25">
      <c r="A262" s="106"/>
      <c r="B262" s="107"/>
      <c r="C262" s="107"/>
      <c r="D262" s="107"/>
      <c r="E262" s="108"/>
      <c r="F262" s="109"/>
      <c r="G262" s="107"/>
      <c r="H262" s="109"/>
      <c r="I262" s="110"/>
      <c r="J262" s="110"/>
      <c r="K262" s="111"/>
      <c r="L262" s="112"/>
      <c r="M262" s="113"/>
      <c r="N262" s="114"/>
      <c r="O262" s="107"/>
      <c r="P262" s="107"/>
      <c r="Q262" s="115"/>
      <c r="R262" s="116"/>
      <c r="S262" s="107"/>
      <c r="T262" s="107"/>
      <c r="U262" s="107" t="str">
        <f t="shared" si="7"/>
        <v/>
      </c>
      <c r="V262" s="107"/>
      <c r="W262" s="107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R262" s="107"/>
      <c r="AS262" s="107"/>
      <c r="AT262" s="107"/>
      <c r="AU262" s="107"/>
      <c r="AV262" s="107"/>
      <c r="AW262" s="107"/>
      <c r="AX262" s="107"/>
      <c r="AY262" s="107"/>
      <c r="AZ262" s="107"/>
      <c r="BA262" s="107"/>
      <c r="BB262" s="107"/>
      <c r="BC262" s="107"/>
      <c r="BD262" s="107"/>
      <c r="BE262" s="107"/>
      <c r="BF262" s="107"/>
      <c r="BG262" s="107"/>
      <c r="BH262" s="107"/>
    </row>
    <row r="263" spans="1:60" x14ac:dyDescent="0.25">
      <c r="A263" s="96"/>
      <c r="B263" s="97"/>
      <c r="C263" s="97"/>
      <c r="D263" s="97"/>
      <c r="E263" s="98"/>
      <c r="F263" s="99"/>
      <c r="G263" s="97"/>
      <c r="H263" s="99"/>
      <c r="I263" s="99"/>
      <c r="J263" s="100"/>
      <c r="K263" s="101"/>
      <c r="L263" s="102"/>
      <c r="M263" s="103"/>
      <c r="N263" s="104"/>
      <c r="O263" s="97"/>
      <c r="P263" s="97"/>
      <c r="Q263" s="97"/>
      <c r="R263" s="105"/>
      <c r="S263" s="97"/>
      <c r="T263" s="97"/>
      <c r="U263" s="97" t="str">
        <f t="shared" si="7"/>
        <v/>
      </c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  <c r="AX263" s="97"/>
      <c r="AY263" s="97"/>
      <c r="AZ263" s="97"/>
      <c r="BA263" s="97"/>
      <c r="BB263" s="97"/>
      <c r="BC263" s="97"/>
      <c r="BD263" s="97"/>
      <c r="BE263" s="97"/>
      <c r="BF263" s="97"/>
      <c r="BG263" s="97"/>
      <c r="BH263" s="97"/>
    </row>
    <row r="264" spans="1:60" x14ac:dyDescent="0.25">
      <c r="A264" s="106"/>
      <c r="B264" s="107"/>
      <c r="C264" s="107"/>
      <c r="D264" s="107"/>
      <c r="E264" s="108"/>
      <c r="F264" s="109"/>
      <c r="G264" s="107"/>
      <c r="H264" s="109"/>
      <c r="I264" s="110"/>
      <c r="J264" s="110"/>
      <c r="K264" s="111"/>
      <c r="L264" s="112"/>
      <c r="M264" s="113"/>
      <c r="N264" s="114"/>
      <c r="O264" s="107"/>
      <c r="P264" s="107"/>
      <c r="Q264" s="115"/>
      <c r="R264" s="116"/>
      <c r="S264" s="107"/>
      <c r="T264" s="107"/>
      <c r="U264" s="107" t="str">
        <f t="shared" si="7"/>
        <v/>
      </c>
      <c r="V264" s="107"/>
      <c r="W264" s="107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R264" s="107"/>
      <c r="AS264" s="107"/>
      <c r="AT264" s="107"/>
      <c r="AU264" s="107"/>
      <c r="AV264" s="107"/>
      <c r="AW264" s="107"/>
      <c r="AX264" s="107"/>
      <c r="AY264" s="107"/>
      <c r="AZ264" s="107"/>
      <c r="BA264" s="107"/>
      <c r="BB264" s="107"/>
      <c r="BC264" s="107"/>
      <c r="BD264" s="107"/>
      <c r="BE264" s="107"/>
      <c r="BF264" s="107"/>
      <c r="BG264" s="107"/>
      <c r="BH264" s="107"/>
    </row>
    <row r="265" spans="1:60" x14ac:dyDescent="0.25">
      <c r="A265" s="96"/>
      <c r="B265" s="97"/>
      <c r="C265" s="97"/>
      <c r="D265" s="97"/>
      <c r="E265" s="98"/>
      <c r="F265" s="99"/>
      <c r="G265" s="97"/>
      <c r="H265" s="99"/>
      <c r="I265" s="99"/>
      <c r="J265" s="100"/>
      <c r="K265" s="101"/>
      <c r="L265" s="102"/>
      <c r="M265" s="103"/>
      <c r="N265" s="104"/>
      <c r="O265" s="97"/>
      <c r="P265" s="97"/>
      <c r="Q265" s="97"/>
      <c r="R265" s="105"/>
      <c r="S265" s="97"/>
      <c r="T265" s="97"/>
      <c r="U265" s="97" t="str">
        <f t="shared" si="7"/>
        <v/>
      </c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  <c r="AX265" s="97"/>
      <c r="AY265" s="97"/>
      <c r="AZ265" s="97"/>
      <c r="BA265" s="97"/>
      <c r="BB265" s="97"/>
      <c r="BC265" s="97"/>
      <c r="BD265" s="97"/>
      <c r="BE265" s="97"/>
      <c r="BF265" s="97"/>
      <c r="BG265" s="97"/>
      <c r="BH265" s="97"/>
    </row>
    <row r="266" spans="1:60" x14ac:dyDescent="0.25">
      <c r="A266" s="106"/>
      <c r="B266" s="107"/>
      <c r="C266" s="107"/>
      <c r="D266" s="107"/>
      <c r="E266" s="108"/>
      <c r="F266" s="109"/>
      <c r="G266" s="107"/>
      <c r="H266" s="109"/>
      <c r="I266" s="110"/>
      <c r="J266" s="110"/>
      <c r="K266" s="111"/>
      <c r="L266" s="112"/>
      <c r="M266" s="113"/>
      <c r="N266" s="114"/>
      <c r="O266" s="107"/>
      <c r="P266" s="107"/>
      <c r="Q266" s="115"/>
      <c r="R266" s="116"/>
      <c r="S266" s="107"/>
      <c r="T266" s="107"/>
      <c r="U266" s="107" t="str">
        <f t="shared" si="7"/>
        <v/>
      </c>
      <c r="V266" s="107"/>
      <c r="W266" s="107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R266" s="107"/>
      <c r="AS266" s="107"/>
      <c r="AT266" s="107"/>
      <c r="AU266" s="107"/>
      <c r="AV266" s="107"/>
      <c r="AW266" s="107"/>
      <c r="AX266" s="107"/>
      <c r="AY266" s="107"/>
      <c r="AZ266" s="107"/>
      <c r="BA266" s="107"/>
      <c r="BB266" s="107"/>
      <c r="BC266" s="107"/>
      <c r="BD266" s="107"/>
      <c r="BE266" s="107"/>
      <c r="BF266" s="107"/>
      <c r="BG266" s="107"/>
      <c r="BH266" s="107"/>
    </row>
    <row r="267" spans="1:60" x14ac:dyDescent="0.25">
      <c r="A267" s="96"/>
      <c r="B267" s="97"/>
      <c r="C267" s="97"/>
      <c r="D267" s="97"/>
      <c r="E267" s="98"/>
      <c r="F267" s="99"/>
      <c r="G267" s="97"/>
      <c r="H267" s="99"/>
      <c r="I267" s="99"/>
      <c r="J267" s="100"/>
      <c r="K267" s="101"/>
      <c r="L267" s="102"/>
      <c r="M267" s="103"/>
      <c r="N267" s="104"/>
      <c r="O267" s="97"/>
      <c r="P267" s="97"/>
      <c r="Q267" s="97"/>
      <c r="R267" s="105"/>
      <c r="S267" s="97"/>
      <c r="T267" s="97"/>
      <c r="U267" s="97" t="str">
        <f t="shared" si="7"/>
        <v/>
      </c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/>
      <c r="AP267" s="97"/>
      <c r="AQ267" s="97"/>
      <c r="AR267" s="97"/>
      <c r="AS267" s="97"/>
      <c r="AT267" s="97"/>
      <c r="AU267" s="97"/>
      <c r="AV267" s="97"/>
      <c r="AW267" s="97"/>
      <c r="AX267" s="97"/>
      <c r="AY267" s="97"/>
      <c r="AZ267" s="97"/>
      <c r="BA267" s="97"/>
      <c r="BB267" s="97"/>
      <c r="BC267" s="97"/>
      <c r="BD267" s="97"/>
      <c r="BE267" s="97"/>
      <c r="BF267" s="97"/>
      <c r="BG267" s="97"/>
      <c r="BH267" s="97"/>
    </row>
    <row r="268" spans="1:60" x14ac:dyDescent="0.25">
      <c r="A268" s="106"/>
      <c r="B268" s="107"/>
      <c r="C268" s="107"/>
      <c r="D268" s="107"/>
      <c r="E268" s="108"/>
      <c r="F268" s="109"/>
      <c r="G268" s="107"/>
      <c r="H268" s="109"/>
      <c r="I268" s="110"/>
      <c r="J268" s="110"/>
      <c r="K268" s="111"/>
      <c r="L268" s="112"/>
      <c r="M268" s="113"/>
      <c r="N268" s="114"/>
      <c r="O268" s="107"/>
      <c r="P268" s="107"/>
      <c r="Q268" s="115"/>
      <c r="R268" s="116"/>
      <c r="S268" s="107"/>
      <c r="T268" s="107"/>
      <c r="U268" s="107" t="str">
        <f t="shared" si="7"/>
        <v/>
      </c>
      <c r="V268" s="107"/>
      <c r="W268" s="107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R268" s="107"/>
      <c r="AS268" s="107"/>
      <c r="AT268" s="107"/>
      <c r="AU268" s="107"/>
      <c r="AV268" s="107"/>
      <c r="AW268" s="107"/>
      <c r="AX268" s="107"/>
      <c r="AY268" s="107"/>
      <c r="AZ268" s="107"/>
      <c r="BA268" s="107"/>
      <c r="BB268" s="107"/>
      <c r="BC268" s="107"/>
      <c r="BD268" s="107"/>
      <c r="BE268" s="107"/>
      <c r="BF268" s="107"/>
      <c r="BG268" s="107"/>
      <c r="BH268" s="107"/>
    </row>
    <row r="269" spans="1:60" x14ac:dyDescent="0.25">
      <c r="A269" s="96"/>
      <c r="B269" s="97"/>
      <c r="C269" s="97"/>
      <c r="D269" s="97"/>
      <c r="E269" s="98"/>
      <c r="F269" s="99"/>
      <c r="G269" s="97"/>
      <c r="H269" s="99"/>
      <c r="I269" s="99"/>
      <c r="J269" s="100"/>
      <c r="K269" s="101"/>
      <c r="L269" s="102"/>
      <c r="M269" s="103"/>
      <c r="N269" s="104"/>
      <c r="O269" s="97"/>
      <c r="P269" s="97"/>
      <c r="Q269" s="97"/>
      <c r="R269" s="105"/>
      <c r="S269" s="97"/>
      <c r="T269" s="97"/>
      <c r="U269" s="97" t="str">
        <f t="shared" si="7"/>
        <v/>
      </c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/>
      <c r="AP269" s="97"/>
      <c r="AQ269" s="97"/>
      <c r="AR269" s="97"/>
      <c r="AS269" s="97"/>
      <c r="AT269" s="97"/>
      <c r="AU269" s="97"/>
      <c r="AV269" s="97"/>
      <c r="AW269" s="97"/>
      <c r="AX269" s="97"/>
      <c r="AY269" s="97"/>
      <c r="AZ269" s="97"/>
      <c r="BA269" s="97"/>
      <c r="BB269" s="97"/>
      <c r="BC269" s="97"/>
      <c r="BD269" s="97"/>
      <c r="BE269" s="97"/>
      <c r="BF269" s="97"/>
      <c r="BG269" s="97"/>
      <c r="BH269" s="97"/>
    </row>
    <row r="270" spans="1:60" x14ac:dyDescent="0.25">
      <c r="A270" s="106"/>
      <c r="B270" s="107"/>
      <c r="C270" s="107"/>
      <c r="D270" s="107"/>
      <c r="E270" s="108"/>
      <c r="F270" s="109"/>
      <c r="G270" s="107"/>
      <c r="H270" s="109"/>
      <c r="I270" s="110"/>
      <c r="J270" s="110"/>
      <c r="K270" s="111"/>
      <c r="L270" s="112"/>
      <c r="M270" s="113"/>
      <c r="N270" s="114"/>
      <c r="O270" s="107"/>
      <c r="P270" s="107"/>
      <c r="Q270" s="115"/>
      <c r="R270" s="116"/>
      <c r="S270" s="107"/>
      <c r="T270" s="107"/>
      <c r="U270" s="107" t="str">
        <f t="shared" si="7"/>
        <v/>
      </c>
      <c r="V270" s="107"/>
      <c r="W270" s="107"/>
      <c r="X270" s="107"/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R270" s="107"/>
      <c r="AS270" s="107"/>
      <c r="AT270" s="107"/>
      <c r="AU270" s="107"/>
      <c r="AV270" s="107"/>
      <c r="AW270" s="107"/>
      <c r="AX270" s="107"/>
      <c r="AY270" s="107"/>
      <c r="AZ270" s="107"/>
      <c r="BA270" s="107"/>
      <c r="BB270" s="107"/>
      <c r="BC270" s="107"/>
      <c r="BD270" s="107"/>
      <c r="BE270" s="107"/>
      <c r="BF270" s="107"/>
      <c r="BG270" s="107"/>
      <c r="BH270" s="107"/>
    </row>
    <row r="271" spans="1:60" x14ac:dyDescent="0.25">
      <c r="A271" s="96"/>
      <c r="B271" s="97"/>
      <c r="C271" s="97"/>
      <c r="D271" s="97"/>
      <c r="E271" s="98"/>
      <c r="F271" s="99"/>
      <c r="G271" s="97"/>
      <c r="H271" s="99"/>
      <c r="I271" s="99"/>
      <c r="J271" s="100"/>
      <c r="K271" s="101"/>
      <c r="L271" s="102"/>
      <c r="M271" s="103"/>
      <c r="N271" s="104"/>
      <c r="O271" s="97"/>
      <c r="P271" s="97"/>
      <c r="Q271" s="97"/>
      <c r="R271" s="105"/>
      <c r="S271" s="97"/>
      <c r="T271" s="97"/>
      <c r="U271" s="97" t="str">
        <f t="shared" si="7"/>
        <v/>
      </c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</row>
    <row r="272" spans="1:60" x14ac:dyDescent="0.25">
      <c r="A272" s="106"/>
      <c r="B272" s="107"/>
      <c r="C272" s="107"/>
      <c r="D272" s="107"/>
      <c r="E272" s="108"/>
      <c r="F272" s="109"/>
      <c r="G272" s="107"/>
      <c r="H272" s="109"/>
      <c r="I272" s="110"/>
      <c r="J272" s="110"/>
      <c r="K272" s="111"/>
      <c r="L272" s="112"/>
      <c r="M272" s="113"/>
      <c r="N272" s="114"/>
      <c r="O272" s="107"/>
      <c r="P272" s="107"/>
      <c r="Q272" s="115"/>
      <c r="R272" s="116"/>
      <c r="S272" s="107"/>
      <c r="T272" s="107"/>
      <c r="U272" s="107" t="str">
        <f t="shared" si="7"/>
        <v/>
      </c>
      <c r="V272" s="107"/>
      <c r="W272" s="107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R272" s="107"/>
      <c r="AS272" s="107"/>
      <c r="AT272" s="107"/>
      <c r="AU272" s="107"/>
      <c r="AV272" s="107"/>
      <c r="AW272" s="107"/>
      <c r="AX272" s="107"/>
      <c r="AY272" s="107"/>
      <c r="AZ272" s="107"/>
      <c r="BA272" s="107"/>
      <c r="BB272" s="107"/>
      <c r="BC272" s="107"/>
      <c r="BD272" s="107"/>
      <c r="BE272" s="107"/>
      <c r="BF272" s="107"/>
      <c r="BG272" s="107"/>
      <c r="BH272" s="107"/>
    </row>
    <row r="273" spans="1:60" x14ac:dyDescent="0.25">
      <c r="A273" s="96"/>
      <c r="B273" s="97"/>
      <c r="C273" s="97"/>
      <c r="D273" s="97"/>
      <c r="E273" s="98"/>
      <c r="F273" s="99"/>
      <c r="G273" s="97"/>
      <c r="H273" s="99"/>
      <c r="I273" s="99"/>
      <c r="J273" s="100"/>
      <c r="K273" s="101"/>
      <c r="L273" s="102"/>
      <c r="M273" s="103"/>
      <c r="N273" s="104"/>
      <c r="O273" s="97"/>
      <c r="P273" s="97"/>
      <c r="Q273" s="97"/>
      <c r="R273" s="105"/>
      <c r="S273" s="97"/>
      <c r="T273" s="97"/>
      <c r="U273" s="97" t="str">
        <f t="shared" si="7"/>
        <v/>
      </c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</row>
    <row r="274" spans="1:60" x14ac:dyDescent="0.25">
      <c r="A274" s="106"/>
      <c r="B274" s="107"/>
      <c r="C274" s="107"/>
      <c r="D274" s="107"/>
      <c r="E274" s="108"/>
      <c r="F274" s="109"/>
      <c r="G274" s="107"/>
      <c r="H274" s="109"/>
      <c r="I274" s="110"/>
      <c r="J274" s="110"/>
      <c r="K274" s="111"/>
      <c r="L274" s="112"/>
      <c r="M274" s="113"/>
      <c r="N274" s="114"/>
      <c r="O274" s="107"/>
      <c r="P274" s="107"/>
      <c r="Q274" s="115"/>
      <c r="R274" s="116"/>
      <c r="S274" s="107"/>
      <c r="T274" s="107"/>
      <c r="U274" s="107" t="str">
        <f t="shared" si="7"/>
        <v/>
      </c>
      <c r="V274" s="107"/>
      <c r="W274" s="107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R274" s="107"/>
      <c r="AS274" s="107"/>
      <c r="AT274" s="107"/>
      <c r="AU274" s="107"/>
      <c r="AV274" s="107"/>
      <c r="AW274" s="107"/>
      <c r="AX274" s="107"/>
      <c r="AY274" s="107"/>
      <c r="AZ274" s="107"/>
      <c r="BA274" s="107"/>
      <c r="BB274" s="107"/>
      <c r="BC274" s="107"/>
      <c r="BD274" s="107"/>
      <c r="BE274" s="107"/>
      <c r="BF274" s="107"/>
      <c r="BG274" s="107"/>
      <c r="BH274" s="107"/>
    </row>
    <row r="275" spans="1:60" x14ac:dyDescent="0.25">
      <c r="A275" s="96"/>
      <c r="B275" s="97"/>
      <c r="C275" s="97"/>
      <c r="D275" s="97"/>
      <c r="E275" s="98"/>
      <c r="F275" s="99"/>
      <c r="G275" s="97"/>
      <c r="H275" s="99"/>
      <c r="I275" s="99"/>
      <c r="J275" s="100"/>
      <c r="K275" s="101"/>
      <c r="L275" s="102"/>
      <c r="M275" s="103"/>
      <c r="N275" s="104"/>
      <c r="O275" s="97"/>
      <c r="P275" s="97"/>
      <c r="Q275" s="97"/>
      <c r="R275" s="105"/>
      <c r="S275" s="97"/>
      <c r="T275" s="97"/>
      <c r="U275" s="97" t="str">
        <f t="shared" si="7"/>
        <v/>
      </c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7"/>
      <c r="AS275" s="97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</row>
    <row r="276" spans="1:60" x14ac:dyDescent="0.25">
      <c r="A276" s="106"/>
      <c r="B276" s="107"/>
      <c r="C276" s="107"/>
      <c r="D276" s="107"/>
      <c r="E276" s="108"/>
      <c r="F276" s="109"/>
      <c r="G276" s="107"/>
      <c r="H276" s="109"/>
      <c r="I276" s="110"/>
      <c r="J276" s="110"/>
      <c r="K276" s="111"/>
      <c r="L276" s="112"/>
      <c r="M276" s="113"/>
      <c r="N276" s="114"/>
      <c r="O276" s="107"/>
      <c r="P276" s="107"/>
      <c r="Q276" s="115"/>
      <c r="R276" s="116"/>
      <c r="S276" s="107"/>
      <c r="T276" s="107"/>
      <c r="U276" s="107" t="str">
        <f t="shared" si="7"/>
        <v/>
      </c>
      <c r="V276" s="107"/>
      <c r="W276" s="107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R276" s="107"/>
      <c r="AS276" s="107"/>
      <c r="AT276" s="107"/>
      <c r="AU276" s="107"/>
      <c r="AV276" s="107"/>
      <c r="AW276" s="107"/>
      <c r="AX276" s="107"/>
      <c r="AY276" s="107"/>
      <c r="AZ276" s="107"/>
      <c r="BA276" s="107"/>
      <c r="BB276" s="107"/>
      <c r="BC276" s="107"/>
      <c r="BD276" s="107"/>
      <c r="BE276" s="107"/>
      <c r="BF276" s="107"/>
      <c r="BG276" s="107"/>
      <c r="BH276" s="107"/>
    </row>
    <row r="277" spans="1:60" x14ac:dyDescent="0.25">
      <c r="A277" s="96"/>
      <c r="B277" s="97"/>
      <c r="C277" s="97"/>
      <c r="D277" s="97"/>
      <c r="E277" s="98"/>
      <c r="F277" s="99"/>
      <c r="G277" s="97"/>
      <c r="H277" s="99"/>
      <c r="I277" s="99"/>
      <c r="J277" s="100"/>
      <c r="K277" s="101"/>
      <c r="L277" s="102"/>
      <c r="M277" s="103"/>
      <c r="N277" s="104"/>
      <c r="O277" s="97"/>
      <c r="P277" s="97"/>
      <c r="Q277" s="97"/>
      <c r="R277" s="105"/>
      <c r="S277" s="97"/>
      <c r="T277" s="97"/>
      <c r="U277" s="97" t="str">
        <f t="shared" si="7"/>
        <v/>
      </c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</row>
    <row r="278" spans="1:60" x14ac:dyDescent="0.25">
      <c r="A278" s="106"/>
      <c r="B278" s="107"/>
      <c r="C278" s="107"/>
      <c r="D278" s="107"/>
      <c r="E278" s="108"/>
      <c r="F278" s="109"/>
      <c r="G278" s="107"/>
      <c r="H278" s="109"/>
      <c r="I278" s="110"/>
      <c r="J278" s="110"/>
      <c r="K278" s="111"/>
      <c r="L278" s="112"/>
      <c r="M278" s="113"/>
      <c r="N278" s="114"/>
      <c r="O278" s="107"/>
      <c r="P278" s="107"/>
      <c r="Q278" s="115"/>
      <c r="R278" s="116"/>
      <c r="S278" s="107"/>
      <c r="T278" s="107"/>
      <c r="U278" s="107" t="str">
        <f t="shared" si="7"/>
        <v/>
      </c>
      <c r="V278" s="107"/>
      <c r="W278" s="107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R278" s="107"/>
      <c r="AS278" s="107"/>
      <c r="AT278" s="107"/>
      <c r="AU278" s="107"/>
      <c r="AV278" s="107"/>
      <c r="AW278" s="107"/>
      <c r="AX278" s="107"/>
      <c r="AY278" s="107"/>
      <c r="AZ278" s="107"/>
      <c r="BA278" s="107"/>
      <c r="BB278" s="107"/>
      <c r="BC278" s="107"/>
      <c r="BD278" s="107"/>
      <c r="BE278" s="107"/>
      <c r="BF278" s="107"/>
      <c r="BG278" s="107"/>
      <c r="BH278" s="107"/>
    </row>
    <row r="279" spans="1:60" x14ac:dyDescent="0.25">
      <c r="A279" s="96"/>
      <c r="B279" s="97"/>
      <c r="C279" s="97"/>
      <c r="D279" s="97"/>
      <c r="E279" s="98"/>
      <c r="F279" s="99"/>
      <c r="G279" s="97"/>
      <c r="H279" s="99"/>
      <c r="I279" s="99"/>
      <c r="J279" s="100"/>
      <c r="K279" s="101"/>
      <c r="L279" s="102"/>
      <c r="M279" s="103"/>
      <c r="N279" s="104"/>
      <c r="O279" s="97"/>
      <c r="P279" s="97"/>
      <c r="Q279" s="97"/>
      <c r="R279" s="105"/>
      <c r="S279" s="97"/>
      <c r="T279" s="97"/>
      <c r="U279" s="97" t="str">
        <f t="shared" si="7"/>
        <v/>
      </c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  <c r="AX279" s="97"/>
      <c r="AY279" s="97"/>
      <c r="AZ279" s="97"/>
      <c r="BA279" s="97"/>
      <c r="BB279" s="97"/>
      <c r="BC279" s="97"/>
      <c r="BD279" s="97"/>
      <c r="BE279" s="97"/>
      <c r="BF279" s="97"/>
      <c r="BG279" s="97"/>
      <c r="BH279" s="97"/>
    </row>
    <row r="280" spans="1:60" x14ac:dyDescent="0.25">
      <c r="A280" s="106"/>
      <c r="B280" s="107"/>
      <c r="C280" s="107"/>
      <c r="D280" s="107"/>
      <c r="E280" s="108"/>
      <c r="F280" s="109"/>
      <c r="G280" s="107"/>
      <c r="H280" s="109"/>
      <c r="I280" s="110"/>
      <c r="J280" s="110"/>
      <c r="K280" s="111"/>
      <c r="L280" s="112"/>
      <c r="M280" s="113"/>
      <c r="N280" s="114"/>
      <c r="O280" s="107"/>
      <c r="P280" s="107"/>
      <c r="Q280" s="115"/>
      <c r="R280" s="116"/>
      <c r="S280" s="107"/>
      <c r="T280" s="107"/>
      <c r="U280" s="107" t="str">
        <f t="shared" si="7"/>
        <v/>
      </c>
      <c r="V280" s="107"/>
      <c r="W280" s="107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R280" s="107"/>
      <c r="AS280" s="107"/>
      <c r="AT280" s="107"/>
      <c r="AU280" s="107"/>
      <c r="AV280" s="107"/>
      <c r="AW280" s="107"/>
      <c r="AX280" s="107"/>
      <c r="AY280" s="107"/>
      <c r="AZ280" s="107"/>
      <c r="BA280" s="107"/>
      <c r="BB280" s="107"/>
      <c r="BC280" s="107"/>
      <c r="BD280" s="107"/>
      <c r="BE280" s="107"/>
      <c r="BF280" s="107"/>
      <c r="BG280" s="107"/>
      <c r="BH280" s="107"/>
    </row>
    <row r="281" spans="1:60" x14ac:dyDescent="0.25">
      <c r="A281" s="96"/>
      <c r="B281" s="97"/>
      <c r="C281" s="97"/>
      <c r="D281" s="97"/>
      <c r="E281" s="98"/>
      <c r="F281" s="99"/>
      <c r="G281" s="97"/>
      <c r="H281" s="99"/>
      <c r="I281" s="99"/>
      <c r="J281" s="100"/>
      <c r="K281" s="101"/>
      <c r="L281" s="102"/>
      <c r="M281" s="103"/>
      <c r="N281" s="104"/>
      <c r="O281" s="97"/>
      <c r="P281" s="97"/>
      <c r="Q281" s="97"/>
      <c r="R281" s="105"/>
      <c r="S281" s="97"/>
      <c r="T281" s="97"/>
      <c r="U281" s="97" t="str">
        <f t="shared" si="7"/>
        <v/>
      </c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  <c r="AX281" s="97"/>
      <c r="AY281" s="97"/>
      <c r="AZ281" s="97"/>
      <c r="BA281" s="97"/>
      <c r="BB281" s="97"/>
      <c r="BC281" s="97"/>
      <c r="BD281" s="97"/>
      <c r="BE281" s="97"/>
      <c r="BF281" s="97"/>
      <c r="BG281" s="97"/>
      <c r="BH281" s="97"/>
    </row>
    <row r="282" spans="1:60" x14ac:dyDescent="0.25">
      <c r="A282" s="106"/>
      <c r="B282" s="107"/>
      <c r="C282" s="107"/>
      <c r="D282" s="107"/>
      <c r="E282" s="108"/>
      <c r="F282" s="109"/>
      <c r="G282" s="107"/>
      <c r="H282" s="109"/>
      <c r="I282" s="110"/>
      <c r="J282" s="110"/>
      <c r="K282" s="111"/>
      <c r="L282" s="112"/>
      <c r="M282" s="113"/>
      <c r="N282" s="114"/>
      <c r="O282" s="107"/>
      <c r="P282" s="107"/>
      <c r="Q282" s="115"/>
      <c r="R282" s="116"/>
      <c r="S282" s="107"/>
      <c r="T282" s="107"/>
      <c r="U282" s="107" t="str">
        <f t="shared" si="7"/>
        <v/>
      </c>
      <c r="V282" s="107"/>
      <c r="W282" s="107"/>
      <c r="X282" s="107"/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R282" s="107"/>
      <c r="AS282" s="107"/>
      <c r="AT282" s="107"/>
      <c r="AU282" s="107"/>
      <c r="AV282" s="107"/>
      <c r="AW282" s="107"/>
      <c r="AX282" s="107"/>
      <c r="AY282" s="107"/>
      <c r="AZ282" s="107"/>
      <c r="BA282" s="107"/>
      <c r="BB282" s="107"/>
      <c r="BC282" s="107"/>
      <c r="BD282" s="107"/>
      <c r="BE282" s="107"/>
      <c r="BF282" s="107"/>
      <c r="BG282" s="107"/>
      <c r="BH282" s="107"/>
    </row>
    <row r="283" spans="1:60" x14ac:dyDescent="0.25">
      <c r="A283" s="96"/>
      <c r="B283" s="97"/>
      <c r="C283" s="97"/>
      <c r="D283" s="97"/>
      <c r="E283" s="98"/>
      <c r="F283" s="99"/>
      <c r="G283" s="97"/>
      <c r="H283" s="99"/>
      <c r="I283" s="99"/>
      <c r="J283" s="100"/>
      <c r="K283" s="101"/>
      <c r="L283" s="102"/>
      <c r="M283" s="103"/>
      <c r="N283" s="104"/>
      <c r="O283" s="97"/>
      <c r="P283" s="97"/>
      <c r="Q283" s="97"/>
      <c r="R283" s="105"/>
      <c r="S283" s="97"/>
      <c r="T283" s="97"/>
      <c r="U283" s="97" t="str">
        <f t="shared" si="7"/>
        <v/>
      </c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/>
      <c r="AP283" s="97"/>
      <c r="AQ283" s="97"/>
      <c r="AR283" s="97"/>
      <c r="AS283" s="97"/>
      <c r="AT283" s="97"/>
      <c r="AU283" s="97"/>
      <c r="AV283" s="97"/>
      <c r="AW283" s="97"/>
      <c r="AX283" s="97"/>
      <c r="AY283" s="97"/>
      <c r="AZ283" s="97"/>
      <c r="BA283" s="97"/>
      <c r="BB283" s="97"/>
      <c r="BC283" s="97"/>
      <c r="BD283" s="97"/>
      <c r="BE283" s="97"/>
      <c r="BF283" s="97"/>
      <c r="BG283" s="97"/>
      <c r="BH283" s="97"/>
    </row>
    <row r="284" spans="1:60" x14ac:dyDescent="0.25">
      <c r="A284" s="106"/>
      <c r="B284" s="107"/>
      <c r="C284" s="107"/>
      <c r="D284" s="107"/>
      <c r="E284" s="108"/>
      <c r="F284" s="109"/>
      <c r="G284" s="107"/>
      <c r="H284" s="109"/>
      <c r="I284" s="110"/>
      <c r="J284" s="110"/>
      <c r="K284" s="111"/>
      <c r="L284" s="112"/>
      <c r="M284" s="113"/>
      <c r="N284" s="114"/>
      <c r="O284" s="107"/>
      <c r="P284" s="107"/>
      <c r="Q284" s="115"/>
      <c r="R284" s="116"/>
      <c r="S284" s="107"/>
      <c r="T284" s="107"/>
      <c r="U284" s="107" t="str">
        <f t="shared" si="7"/>
        <v/>
      </c>
      <c r="V284" s="107"/>
      <c r="W284" s="107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R284" s="107"/>
      <c r="AS284" s="107"/>
      <c r="AT284" s="107"/>
      <c r="AU284" s="107"/>
      <c r="AV284" s="107"/>
      <c r="AW284" s="107"/>
      <c r="AX284" s="107"/>
      <c r="AY284" s="107"/>
      <c r="AZ284" s="107"/>
      <c r="BA284" s="107"/>
      <c r="BB284" s="107"/>
      <c r="BC284" s="107"/>
      <c r="BD284" s="107"/>
      <c r="BE284" s="107"/>
      <c r="BF284" s="107"/>
      <c r="BG284" s="107"/>
      <c r="BH284" s="107"/>
    </row>
    <row r="285" spans="1:60" x14ac:dyDescent="0.25">
      <c r="A285" s="96"/>
      <c r="B285" s="97"/>
      <c r="C285" s="97"/>
      <c r="D285" s="97"/>
      <c r="E285" s="98"/>
      <c r="F285" s="99"/>
      <c r="G285" s="97"/>
      <c r="H285" s="99"/>
      <c r="I285" s="99"/>
      <c r="J285" s="100"/>
      <c r="K285" s="101"/>
      <c r="L285" s="102"/>
      <c r="M285" s="103"/>
      <c r="N285" s="104"/>
      <c r="O285" s="97"/>
      <c r="P285" s="97"/>
      <c r="Q285" s="97"/>
      <c r="R285" s="105"/>
      <c r="S285" s="97"/>
      <c r="T285" s="97"/>
      <c r="U285" s="97" t="str">
        <f t="shared" si="7"/>
        <v/>
      </c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  <c r="AX285" s="97"/>
      <c r="AY285" s="97"/>
      <c r="AZ285" s="97"/>
      <c r="BA285" s="97"/>
      <c r="BB285" s="97"/>
      <c r="BC285" s="97"/>
      <c r="BD285" s="97"/>
      <c r="BE285" s="97"/>
      <c r="BF285" s="97"/>
      <c r="BG285" s="97"/>
      <c r="BH285" s="97"/>
    </row>
    <row r="286" spans="1:60" x14ac:dyDescent="0.25">
      <c r="A286" s="106"/>
      <c r="B286" s="107"/>
      <c r="C286" s="107"/>
      <c r="D286" s="107"/>
      <c r="E286" s="108"/>
      <c r="F286" s="109"/>
      <c r="G286" s="107"/>
      <c r="H286" s="109"/>
      <c r="I286" s="110"/>
      <c r="J286" s="110"/>
      <c r="K286" s="111"/>
      <c r="L286" s="112"/>
      <c r="M286" s="113"/>
      <c r="N286" s="114"/>
      <c r="O286" s="107"/>
      <c r="P286" s="107"/>
      <c r="Q286" s="115"/>
      <c r="R286" s="116"/>
      <c r="S286" s="107"/>
      <c r="T286" s="107"/>
      <c r="U286" s="107" t="str">
        <f t="shared" si="7"/>
        <v/>
      </c>
      <c r="V286" s="107"/>
      <c r="W286" s="107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R286" s="107"/>
      <c r="AS286" s="107"/>
      <c r="AT286" s="107"/>
      <c r="AU286" s="107"/>
      <c r="AV286" s="107"/>
      <c r="AW286" s="107"/>
      <c r="AX286" s="107"/>
      <c r="AY286" s="107"/>
      <c r="AZ286" s="107"/>
      <c r="BA286" s="107"/>
      <c r="BB286" s="107"/>
      <c r="BC286" s="107"/>
      <c r="BD286" s="107"/>
      <c r="BE286" s="107"/>
      <c r="BF286" s="107"/>
      <c r="BG286" s="107"/>
      <c r="BH286" s="107"/>
    </row>
    <row r="287" spans="1:60" x14ac:dyDescent="0.25">
      <c r="A287" s="96"/>
      <c r="B287" s="97"/>
      <c r="C287" s="97"/>
      <c r="D287" s="97"/>
      <c r="E287" s="98"/>
      <c r="F287" s="99"/>
      <c r="G287" s="97"/>
      <c r="H287" s="99"/>
      <c r="I287" s="99"/>
      <c r="J287" s="100"/>
      <c r="K287" s="101"/>
      <c r="L287" s="102"/>
      <c r="M287" s="103"/>
      <c r="N287" s="104"/>
      <c r="O287" s="97"/>
      <c r="P287" s="97"/>
      <c r="Q287" s="97"/>
      <c r="R287" s="105"/>
      <c r="S287" s="97"/>
      <c r="T287" s="97"/>
      <c r="U287" s="97" t="str">
        <f t="shared" si="7"/>
        <v/>
      </c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  <c r="AX287" s="97"/>
      <c r="AY287" s="97"/>
      <c r="AZ287" s="97"/>
      <c r="BA287" s="97"/>
      <c r="BB287" s="97"/>
      <c r="BC287" s="97"/>
      <c r="BD287" s="97"/>
      <c r="BE287" s="97"/>
      <c r="BF287" s="97"/>
      <c r="BG287" s="97"/>
      <c r="BH287" s="97"/>
    </row>
    <row r="288" spans="1:60" x14ac:dyDescent="0.25">
      <c r="A288" s="106"/>
      <c r="B288" s="107"/>
      <c r="C288" s="107"/>
      <c r="D288" s="107"/>
      <c r="E288" s="108"/>
      <c r="F288" s="109"/>
      <c r="G288" s="107"/>
      <c r="H288" s="109"/>
      <c r="I288" s="110"/>
      <c r="J288" s="110"/>
      <c r="K288" s="111"/>
      <c r="L288" s="112"/>
      <c r="M288" s="113"/>
      <c r="N288" s="114"/>
      <c r="O288" s="107"/>
      <c r="P288" s="107"/>
      <c r="Q288" s="115"/>
      <c r="R288" s="116"/>
      <c r="S288" s="107"/>
      <c r="T288" s="107"/>
      <c r="U288" s="107" t="str">
        <f t="shared" si="7"/>
        <v/>
      </c>
      <c r="V288" s="107"/>
      <c r="W288" s="107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R288" s="107"/>
      <c r="AS288" s="107"/>
      <c r="AT288" s="107"/>
      <c r="AU288" s="107"/>
      <c r="AV288" s="107"/>
      <c r="AW288" s="107"/>
      <c r="AX288" s="107"/>
      <c r="AY288" s="107"/>
      <c r="AZ288" s="107"/>
      <c r="BA288" s="107"/>
      <c r="BB288" s="107"/>
      <c r="BC288" s="107"/>
      <c r="BD288" s="107"/>
      <c r="BE288" s="107"/>
      <c r="BF288" s="107"/>
      <c r="BG288" s="107"/>
      <c r="BH288" s="107"/>
    </row>
    <row r="289" spans="1:60" x14ac:dyDescent="0.25">
      <c r="A289" s="96"/>
      <c r="B289" s="97"/>
      <c r="C289" s="97"/>
      <c r="D289" s="97"/>
      <c r="E289" s="98"/>
      <c r="F289" s="99"/>
      <c r="G289" s="97"/>
      <c r="H289" s="99"/>
      <c r="I289" s="99"/>
      <c r="J289" s="100"/>
      <c r="K289" s="101"/>
      <c r="L289" s="102"/>
      <c r="M289" s="103"/>
      <c r="N289" s="104"/>
      <c r="O289" s="97"/>
      <c r="P289" s="97"/>
      <c r="Q289" s="97"/>
      <c r="R289" s="105"/>
      <c r="S289" s="97"/>
      <c r="T289" s="97"/>
      <c r="U289" s="97" t="str">
        <f t="shared" si="7"/>
        <v/>
      </c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</row>
    <row r="290" spans="1:60" x14ac:dyDescent="0.25">
      <c r="A290" s="106"/>
      <c r="B290" s="107"/>
      <c r="C290" s="107"/>
      <c r="D290" s="107"/>
      <c r="E290" s="108"/>
      <c r="F290" s="109"/>
      <c r="G290" s="107"/>
      <c r="H290" s="109"/>
      <c r="I290" s="110"/>
      <c r="J290" s="110"/>
      <c r="K290" s="111"/>
      <c r="L290" s="112"/>
      <c r="M290" s="113"/>
      <c r="N290" s="114"/>
      <c r="O290" s="107"/>
      <c r="P290" s="107"/>
      <c r="Q290" s="115"/>
      <c r="R290" s="116"/>
      <c r="S290" s="107"/>
      <c r="T290" s="107"/>
      <c r="U290" s="107" t="str">
        <f t="shared" si="7"/>
        <v/>
      </c>
      <c r="V290" s="107"/>
      <c r="W290" s="107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R290" s="107"/>
      <c r="AS290" s="107"/>
      <c r="AT290" s="107"/>
      <c r="AU290" s="107"/>
      <c r="AV290" s="107"/>
      <c r="AW290" s="107"/>
      <c r="AX290" s="107"/>
      <c r="AY290" s="107"/>
      <c r="AZ290" s="107"/>
      <c r="BA290" s="107"/>
      <c r="BB290" s="107"/>
      <c r="BC290" s="107"/>
      <c r="BD290" s="107"/>
      <c r="BE290" s="107"/>
      <c r="BF290" s="107"/>
      <c r="BG290" s="107"/>
      <c r="BH290" s="107"/>
    </row>
    <row r="291" spans="1:60" x14ac:dyDescent="0.25">
      <c r="A291" s="96"/>
      <c r="B291" s="97"/>
      <c r="C291" s="97"/>
      <c r="D291" s="97"/>
      <c r="E291" s="98"/>
      <c r="F291" s="99"/>
      <c r="G291" s="97"/>
      <c r="H291" s="99"/>
      <c r="I291" s="99"/>
      <c r="J291" s="100"/>
      <c r="K291" s="101"/>
      <c r="L291" s="102"/>
      <c r="M291" s="103"/>
      <c r="N291" s="104"/>
      <c r="O291" s="97"/>
      <c r="P291" s="97"/>
      <c r="Q291" s="97"/>
      <c r="R291" s="105"/>
      <c r="S291" s="97"/>
      <c r="T291" s="97"/>
      <c r="U291" s="97" t="str">
        <f t="shared" si="7"/>
        <v/>
      </c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</row>
    <row r="292" spans="1:60" x14ac:dyDescent="0.25">
      <c r="A292" s="106"/>
      <c r="B292" s="107"/>
      <c r="C292" s="107"/>
      <c r="D292" s="107"/>
      <c r="E292" s="108"/>
      <c r="F292" s="109"/>
      <c r="G292" s="107"/>
      <c r="H292" s="109"/>
      <c r="I292" s="110"/>
      <c r="J292" s="110"/>
      <c r="K292" s="111"/>
      <c r="L292" s="112"/>
      <c r="M292" s="113"/>
      <c r="N292" s="114"/>
      <c r="O292" s="107"/>
      <c r="P292" s="107"/>
      <c r="Q292" s="115"/>
      <c r="R292" s="116"/>
      <c r="S292" s="107"/>
      <c r="T292" s="107"/>
      <c r="U292" s="107" t="str">
        <f t="shared" si="7"/>
        <v/>
      </c>
      <c r="V292" s="107"/>
      <c r="W292" s="107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R292" s="107"/>
      <c r="AS292" s="107"/>
      <c r="AT292" s="107"/>
      <c r="AU292" s="107"/>
      <c r="AV292" s="107"/>
      <c r="AW292" s="107"/>
      <c r="AX292" s="107"/>
      <c r="AY292" s="107"/>
      <c r="AZ292" s="107"/>
      <c r="BA292" s="107"/>
      <c r="BB292" s="107"/>
      <c r="BC292" s="107"/>
      <c r="BD292" s="107"/>
      <c r="BE292" s="107"/>
      <c r="BF292" s="107"/>
      <c r="BG292" s="107"/>
      <c r="BH292" s="107"/>
    </row>
    <row r="293" spans="1:60" x14ac:dyDescent="0.25">
      <c r="A293" s="96"/>
      <c r="B293" s="97"/>
      <c r="C293" s="97"/>
      <c r="D293" s="97"/>
      <c r="E293" s="98"/>
      <c r="F293" s="99"/>
      <c r="G293" s="97"/>
      <c r="H293" s="99"/>
      <c r="I293" s="99"/>
      <c r="J293" s="100"/>
      <c r="K293" s="101"/>
      <c r="L293" s="102"/>
      <c r="M293" s="103"/>
      <c r="N293" s="104"/>
      <c r="O293" s="97"/>
      <c r="P293" s="97"/>
      <c r="Q293" s="97"/>
      <c r="R293" s="105"/>
      <c r="S293" s="97"/>
      <c r="T293" s="97"/>
      <c r="U293" s="97" t="str">
        <f t="shared" si="7"/>
        <v/>
      </c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7"/>
      <c r="BA293" s="97"/>
      <c r="BB293" s="97"/>
      <c r="BC293" s="97"/>
      <c r="BD293" s="97"/>
      <c r="BE293" s="97"/>
      <c r="BF293" s="97"/>
      <c r="BG293" s="97"/>
      <c r="BH293" s="97"/>
    </row>
    <row r="294" spans="1:60" x14ac:dyDescent="0.25">
      <c r="A294" s="106"/>
      <c r="B294" s="107"/>
      <c r="C294" s="107"/>
      <c r="D294" s="107"/>
      <c r="E294" s="108"/>
      <c r="F294" s="109"/>
      <c r="G294" s="107"/>
      <c r="H294" s="109"/>
      <c r="I294" s="110"/>
      <c r="J294" s="110"/>
      <c r="K294" s="111"/>
      <c r="L294" s="112"/>
      <c r="M294" s="113"/>
      <c r="N294" s="114"/>
      <c r="O294" s="107"/>
      <c r="P294" s="107"/>
      <c r="Q294" s="115"/>
      <c r="R294" s="116"/>
      <c r="S294" s="107"/>
      <c r="T294" s="107"/>
      <c r="U294" s="107" t="str">
        <f t="shared" si="7"/>
        <v/>
      </c>
      <c r="V294" s="107"/>
      <c r="W294" s="107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R294" s="107"/>
      <c r="AS294" s="107"/>
      <c r="AT294" s="107"/>
      <c r="AU294" s="107"/>
      <c r="AV294" s="107"/>
      <c r="AW294" s="107"/>
      <c r="AX294" s="107"/>
      <c r="AY294" s="107"/>
      <c r="AZ294" s="107"/>
      <c r="BA294" s="107"/>
      <c r="BB294" s="107"/>
      <c r="BC294" s="107"/>
      <c r="BD294" s="107"/>
      <c r="BE294" s="107"/>
      <c r="BF294" s="107"/>
      <c r="BG294" s="107"/>
      <c r="BH294" s="107"/>
    </row>
    <row r="295" spans="1:60" x14ac:dyDescent="0.25">
      <c r="A295" s="96"/>
      <c r="B295" s="97"/>
      <c r="C295" s="97"/>
      <c r="D295" s="97"/>
      <c r="E295" s="98"/>
      <c r="F295" s="99"/>
      <c r="G295" s="97"/>
      <c r="H295" s="99"/>
      <c r="I295" s="99"/>
      <c r="J295" s="100"/>
      <c r="K295" s="101"/>
      <c r="L295" s="102"/>
      <c r="M295" s="103"/>
      <c r="N295" s="104"/>
      <c r="O295" s="97"/>
      <c r="P295" s="97"/>
      <c r="Q295" s="97"/>
      <c r="R295" s="105"/>
      <c r="S295" s="97"/>
      <c r="T295" s="97"/>
      <c r="U295" s="97" t="str">
        <f t="shared" si="7"/>
        <v/>
      </c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7"/>
      <c r="BA295" s="97"/>
      <c r="BB295" s="97"/>
      <c r="BC295" s="97"/>
      <c r="BD295" s="97"/>
      <c r="BE295" s="97"/>
      <c r="BF295" s="97"/>
      <c r="BG295" s="97"/>
      <c r="BH295" s="97"/>
    </row>
    <row r="296" spans="1:60" x14ac:dyDescent="0.25">
      <c r="A296" s="106"/>
      <c r="B296" s="107"/>
      <c r="C296" s="107"/>
      <c r="D296" s="107"/>
      <c r="E296" s="108"/>
      <c r="F296" s="109"/>
      <c r="G296" s="107"/>
      <c r="H296" s="109"/>
      <c r="I296" s="110"/>
      <c r="J296" s="110"/>
      <c r="K296" s="111"/>
      <c r="L296" s="112"/>
      <c r="M296" s="113"/>
      <c r="N296" s="114"/>
      <c r="O296" s="107"/>
      <c r="P296" s="107"/>
      <c r="Q296" s="115"/>
      <c r="R296" s="116"/>
      <c r="S296" s="107"/>
      <c r="T296" s="107"/>
      <c r="U296" s="107" t="str">
        <f t="shared" si="7"/>
        <v/>
      </c>
      <c r="V296" s="107"/>
      <c r="W296" s="107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R296" s="107"/>
      <c r="AS296" s="107"/>
      <c r="AT296" s="107"/>
      <c r="AU296" s="107"/>
      <c r="AV296" s="107"/>
      <c r="AW296" s="107"/>
      <c r="AX296" s="107"/>
      <c r="AY296" s="107"/>
      <c r="AZ296" s="107"/>
      <c r="BA296" s="107"/>
      <c r="BB296" s="107"/>
      <c r="BC296" s="107"/>
      <c r="BD296" s="107"/>
      <c r="BE296" s="107"/>
      <c r="BF296" s="107"/>
      <c r="BG296" s="107"/>
      <c r="BH296" s="107"/>
    </row>
    <row r="297" spans="1:60" x14ac:dyDescent="0.25">
      <c r="A297" s="96"/>
      <c r="B297" s="97"/>
      <c r="C297" s="97"/>
      <c r="D297" s="97"/>
      <c r="E297" s="98"/>
      <c r="F297" s="99"/>
      <c r="G297" s="97"/>
      <c r="H297" s="99"/>
      <c r="I297" s="99"/>
      <c r="J297" s="100"/>
      <c r="K297" s="101"/>
      <c r="L297" s="102"/>
      <c r="M297" s="103"/>
      <c r="N297" s="104"/>
      <c r="O297" s="97"/>
      <c r="P297" s="97"/>
      <c r="Q297" s="97"/>
      <c r="R297" s="105"/>
      <c r="S297" s="97"/>
      <c r="T297" s="97"/>
      <c r="U297" s="97" t="str">
        <f t="shared" si="7"/>
        <v/>
      </c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/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  <c r="BF297" s="97"/>
      <c r="BG297" s="97"/>
      <c r="BH297" s="97"/>
    </row>
    <row r="298" spans="1:60" x14ac:dyDescent="0.25">
      <c r="A298" s="106"/>
      <c r="B298" s="107"/>
      <c r="C298" s="107"/>
      <c r="D298" s="107"/>
      <c r="E298" s="108"/>
      <c r="F298" s="109"/>
      <c r="G298" s="107"/>
      <c r="H298" s="109"/>
      <c r="I298" s="110"/>
      <c r="J298" s="110"/>
      <c r="K298" s="111"/>
      <c r="L298" s="112"/>
      <c r="M298" s="113"/>
      <c r="N298" s="114"/>
      <c r="O298" s="107"/>
      <c r="P298" s="107"/>
      <c r="Q298" s="115"/>
      <c r="R298" s="116"/>
      <c r="S298" s="107"/>
      <c r="T298" s="107"/>
      <c r="U298" s="107" t="str">
        <f t="shared" si="7"/>
        <v/>
      </c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  <c r="AY298" s="107"/>
      <c r="AZ298" s="107"/>
      <c r="BA298" s="107"/>
      <c r="BB298" s="107"/>
      <c r="BC298" s="107"/>
      <c r="BD298" s="107"/>
      <c r="BE298" s="107"/>
      <c r="BF298" s="107"/>
      <c r="BG298" s="107"/>
      <c r="BH298" s="107"/>
    </row>
    <row r="299" spans="1:60" x14ac:dyDescent="0.25">
      <c r="A299" s="96"/>
      <c r="B299" s="97"/>
      <c r="C299" s="97"/>
      <c r="D299" s="97"/>
      <c r="E299" s="98"/>
      <c r="F299" s="99"/>
      <c r="G299" s="97"/>
      <c r="H299" s="99"/>
      <c r="I299" s="99"/>
      <c r="J299" s="100"/>
      <c r="K299" s="101"/>
      <c r="L299" s="102"/>
      <c r="M299" s="103"/>
      <c r="N299" s="104"/>
      <c r="O299" s="97"/>
      <c r="P299" s="97"/>
      <c r="Q299" s="97"/>
      <c r="R299" s="105"/>
      <c r="S299" s="97"/>
      <c r="T299" s="97"/>
      <c r="U299" s="97" t="str">
        <f t="shared" si="7"/>
        <v/>
      </c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/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7"/>
      <c r="BA299" s="97"/>
      <c r="BB299" s="97"/>
      <c r="BC299" s="97"/>
      <c r="BD299" s="97"/>
      <c r="BE299" s="97"/>
      <c r="BF299" s="97"/>
      <c r="BG299" s="97"/>
      <c r="BH299" s="97"/>
    </row>
    <row r="300" spans="1:60" x14ac:dyDescent="0.25">
      <c r="A300" s="106"/>
      <c r="B300" s="107"/>
      <c r="C300" s="107"/>
      <c r="D300" s="107"/>
      <c r="E300" s="108"/>
      <c r="F300" s="109"/>
      <c r="G300" s="107"/>
      <c r="H300" s="109"/>
      <c r="I300" s="110"/>
      <c r="J300" s="110"/>
      <c r="K300" s="111"/>
      <c r="L300" s="112"/>
      <c r="M300" s="113"/>
      <c r="N300" s="114"/>
      <c r="O300" s="107"/>
      <c r="P300" s="107"/>
      <c r="Q300" s="115"/>
      <c r="R300" s="116"/>
      <c r="S300" s="107"/>
      <c r="T300" s="107"/>
      <c r="U300" s="107" t="str">
        <f t="shared" si="7"/>
        <v/>
      </c>
      <c r="V300" s="107"/>
      <c r="W300" s="107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R300" s="107"/>
      <c r="AS300" s="107"/>
      <c r="AT300" s="107"/>
      <c r="AU300" s="107"/>
      <c r="AV300" s="107"/>
      <c r="AW300" s="107"/>
      <c r="AX300" s="107"/>
      <c r="AY300" s="107"/>
      <c r="AZ300" s="107"/>
      <c r="BA300" s="107"/>
      <c r="BB300" s="107"/>
      <c r="BC300" s="107"/>
      <c r="BD300" s="107"/>
      <c r="BE300" s="107"/>
      <c r="BF300" s="107"/>
      <c r="BG300" s="107"/>
      <c r="BH300" s="107"/>
    </row>
    <row r="301" spans="1:60" x14ac:dyDescent="0.25">
      <c r="A301" s="96"/>
      <c r="B301" s="97"/>
      <c r="C301" s="97"/>
      <c r="D301" s="97"/>
      <c r="E301" s="98"/>
      <c r="F301" s="99"/>
      <c r="G301" s="97"/>
      <c r="H301" s="99"/>
      <c r="I301" s="99"/>
      <c r="J301" s="100"/>
      <c r="K301" s="101"/>
      <c r="L301" s="102"/>
      <c r="M301" s="103"/>
      <c r="N301" s="104"/>
      <c r="O301" s="97"/>
      <c r="P301" s="97"/>
      <c r="Q301" s="97"/>
      <c r="R301" s="105"/>
      <c r="S301" s="97"/>
      <c r="T301" s="97"/>
      <c r="U301" s="97" t="str">
        <f t="shared" si="7"/>
        <v/>
      </c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7"/>
      <c r="BA301" s="97"/>
      <c r="BB301" s="97"/>
      <c r="BC301" s="97"/>
      <c r="BD301" s="97"/>
      <c r="BE301" s="97"/>
      <c r="BF301" s="97"/>
      <c r="BG301" s="97"/>
      <c r="BH301" s="97"/>
    </row>
    <row r="302" spans="1:60" x14ac:dyDescent="0.25">
      <c r="A302" s="106"/>
      <c r="B302" s="107"/>
      <c r="C302" s="107"/>
      <c r="D302" s="107"/>
      <c r="E302" s="108"/>
      <c r="F302" s="109"/>
      <c r="G302" s="107"/>
      <c r="H302" s="109"/>
      <c r="I302" s="110"/>
      <c r="J302" s="110"/>
      <c r="K302" s="111"/>
      <c r="L302" s="112"/>
      <c r="M302" s="113"/>
      <c r="N302" s="114"/>
      <c r="O302" s="107"/>
      <c r="P302" s="107"/>
      <c r="Q302" s="115"/>
      <c r="R302" s="116"/>
      <c r="S302" s="107"/>
      <c r="T302" s="107"/>
      <c r="U302" s="107" t="str">
        <f t="shared" si="7"/>
        <v/>
      </c>
      <c r="V302" s="107"/>
      <c r="W302" s="107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R302" s="107"/>
      <c r="AS302" s="107"/>
      <c r="AT302" s="107"/>
      <c r="AU302" s="107"/>
      <c r="AV302" s="107"/>
      <c r="AW302" s="107"/>
      <c r="AX302" s="107"/>
      <c r="AY302" s="107"/>
      <c r="AZ302" s="107"/>
      <c r="BA302" s="107"/>
      <c r="BB302" s="107"/>
      <c r="BC302" s="107"/>
      <c r="BD302" s="107"/>
      <c r="BE302" s="107"/>
      <c r="BF302" s="107"/>
      <c r="BG302" s="107"/>
      <c r="BH302" s="107"/>
    </row>
    <row r="303" spans="1:60" x14ac:dyDescent="0.25">
      <c r="A303" s="96"/>
      <c r="B303" s="97"/>
      <c r="C303" s="97"/>
      <c r="D303" s="97"/>
      <c r="E303" s="98"/>
      <c r="F303" s="99"/>
      <c r="G303" s="97"/>
      <c r="H303" s="99"/>
      <c r="I303" s="99"/>
      <c r="J303" s="100"/>
      <c r="K303" s="101"/>
      <c r="L303" s="102"/>
      <c r="M303" s="103"/>
      <c r="N303" s="104"/>
      <c r="O303" s="97"/>
      <c r="P303" s="97"/>
      <c r="Q303" s="97"/>
      <c r="R303" s="105"/>
      <c r="S303" s="97"/>
      <c r="T303" s="97"/>
      <c r="U303" s="97" t="str">
        <f t="shared" si="7"/>
        <v/>
      </c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7"/>
      <c r="BA303" s="97"/>
      <c r="BB303" s="97"/>
      <c r="BC303" s="97"/>
      <c r="BD303" s="97"/>
      <c r="BE303" s="97"/>
      <c r="BF303" s="97"/>
      <c r="BG303" s="97"/>
      <c r="BH303" s="97"/>
    </row>
    <row r="304" spans="1:60" x14ac:dyDescent="0.25">
      <c r="A304" s="106"/>
      <c r="B304" s="107"/>
      <c r="C304" s="107"/>
      <c r="D304" s="107"/>
      <c r="E304" s="108"/>
      <c r="F304" s="109"/>
      <c r="G304" s="107"/>
      <c r="H304" s="109"/>
      <c r="I304" s="110"/>
      <c r="J304" s="110"/>
      <c r="K304" s="111"/>
      <c r="L304" s="112"/>
      <c r="M304" s="113"/>
      <c r="N304" s="114"/>
      <c r="O304" s="107"/>
      <c r="P304" s="107"/>
      <c r="Q304" s="115"/>
      <c r="R304" s="116"/>
      <c r="S304" s="107"/>
      <c r="T304" s="107"/>
      <c r="U304" s="107" t="str">
        <f t="shared" si="7"/>
        <v/>
      </c>
      <c r="V304" s="107"/>
      <c r="W304" s="107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R304" s="107"/>
      <c r="AS304" s="107"/>
      <c r="AT304" s="107"/>
      <c r="AU304" s="107"/>
      <c r="AV304" s="107"/>
      <c r="AW304" s="107"/>
      <c r="AX304" s="107"/>
      <c r="AY304" s="107"/>
      <c r="AZ304" s="107"/>
      <c r="BA304" s="107"/>
      <c r="BB304" s="107"/>
      <c r="BC304" s="107"/>
      <c r="BD304" s="107"/>
      <c r="BE304" s="107"/>
      <c r="BF304" s="107"/>
      <c r="BG304" s="107"/>
      <c r="BH304" s="107"/>
    </row>
    <row r="305" spans="1:60" x14ac:dyDescent="0.25">
      <c r="A305" s="96"/>
      <c r="B305" s="97"/>
      <c r="C305" s="97"/>
      <c r="D305" s="97"/>
      <c r="E305" s="98"/>
      <c r="F305" s="99"/>
      <c r="G305" s="97"/>
      <c r="H305" s="99"/>
      <c r="I305" s="99"/>
      <c r="J305" s="100"/>
      <c r="K305" s="101"/>
      <c r="L305" s="102"/>
      <c r="M305" s="103"/>
      <c r="N305" s="104"/>
      <c r="O305" s="97"/>
      <c r="P305" s="97"/>
      <c r="Q305" s="97"/>
      <c r="R305" s="105"/>
      <c r="S305" s="97"/>
      <c r="T305" s="97"/>
      <c r="U305" s="97" t="str">
        <f t="shared" si="7"/>
        <v/>
      </c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7"/>
      <c r="BA305" s="97"/>
      <c r="BB305" s="97"/>
      <c r="BC305" s="97"/>
      <c r="BD305" s="97"/>
      <c r="BE305" s="97"/>
      <c r="BF305" s="97"/>
      <c r="BG305" s="97"/>
      <c r="BH305" s="97"/>
    </row>
    <row r="306" spans="1:60" x14ac:dyDescent="0.25">
      <c r="A306" s="106"/>
      <c r="B306" s="107"/>
      <c r="C306" s="107"/>
      <c r="D306" s="107"/>
      <c r="E306" s="108"/>
      <c r="F306" s="109"/>
      <c r="G306" s="107"/>
      <c r="H306" s="109"/>
      <c r="I306" s="110"/>
      <c r="J306" s="110"/>
      <c r="K306" s="111"/>
      <c r="L306" s="112"/>
      <c r="M306" s="113"/>
      <c r="N306" s="114"/>
      <c r="O306" s="107"/>
      <c r="P306" s="107"/>
      <c r="Q306" s="115"/>
      <c r="R306" s="116"/>
      <c r="S306" s="107"/>
      <c r="T306" s="107"/>
      <c r="U306" s="107" t="str">
        <f t="shared" si="7"/>
        <v/>
      </c>
      <c r="V306" s="107"/>
      <c r="W306" s="107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R306" s="107"/>
      <c r="AS306" s="107"/>
      <c r="AT306" s="107"/>
      <c r="AU306" s="107"/>
      <c r="AV306" s="107"/>
      <c r="AW306" s="107"/>
      <c r="AX306" s="107"/>
      <c r="AY306" s="107"/>
      <c r="AZ306" s="107"/>
      <c r="BA306" s="107"/>
      <c r="BB306" s="107"/>
      <c r="BC306" s="107"/>
      <c r="BD306" s="107"/>
      <c r="BE306" s="107"/>
      <c r="BF306" s="107"/>
      <c r="BG306" s="107"/>
      <c r="BH306" s="107"/>
    </row>
    <row r="307" spans="1:60" x14ac:dyDescent="0.25">
      <c r="A307" s="96"/>
      <c r="B307" s="97"/>
      <c r="C307" s="97"/>
      <c r="D307" s="97"/>
      <c r="E307" s="98"/>
      <c r="F307" s="99"/>
      <c r="G307" s="97"/>
      <c r="H307" s="99"/>
      <c r="I307" s="99"/>
      <c r="J307" s="100"/>
      <c r="K307" s="101"/>
      <c r="L307" s="102"/>
      <c r="M307" s="103"/>
      <c r="N307" s="104"/>
      <c r="O307" s="97"/>
      <c r="P307" s="97"/>
      <c r="Q307" s="97"/>
      <c r="R307" s="105"/>
      <c r="S307" s="97"/>
      <c r="T307" s="97"/>
      <c r="U307" s="97" t="str">
        <f t="shared" si="7"/>
        <v/>
      </c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/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7"/>
      <c r="BA307" s="97"/>
      <c r="BB307" s="97"/>
      <c r="BC307" s="97"/>
      <c r="BD307" s="97"/>
      <c r="BE307" s="97"/>
      <c r="BF307" s="97"/>
      <c r="BG307" s="97"/>
      <c r="BH307" s="97"/>
    </row>
    <row r="308" spans="1:60" x14ac:dyDescent="0.25">
      <c r="A308" s="106"/>
      <c r="B308" s="107"/>
      <c r="C308" s="107"/>
      <c r="D308" s="107"/>
      <c r="E308" s="108"/>
      <c r="F308" s="109"/>
      <c r="G308" s="107"/>
      <c r="H308" s="109"/>
      <c r="I308" s="110"/>
      <c r="J308" s="110"/>
      <c r="K308" s="111"/>
      <c r="L308" s="112"/>
      <c r="M308" s="113"/>
      <c r="N308" s="114"/>
      <c r="O308" s="107"/>
      <c r="P308" s="107"/>
      <c r="Q308" s="115"/>
      <c r="R308" s="116"/>
      <c r="S308" s="107"/>
      <c r="T308" s="107"/>
      <c r="U308" s="107" t="str">
        <f t="shared" si="7"/>
        <v/>
      </c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R308" s="107"/>
      <c r="AS308" s="107"/>
      <c r="AT308" s="107"/>
      <c r="AU308" s="107"/>
      <c r="AV308" s="107"/>
      <c r="AW308" s="107"/>
      <c r="AX308" s="107"/>
      <c r="AY308" s="107"/>
      <c r="AZ308" s="107"/>
      <c r="BA308" s="107"/>
      <c r="BB308" s="107"/>
      <c r="BC308" s="107"/>
      <c r="BD308" s="107"/>
      <c r="BE308" s="107"/>
      <c r="BF308" s="107"/>
      <c r="BG308" s="107"/>
      <c r="BH308" s="107"/>
    </row>
    <row r="309" spans="1:60" x14ac:dyDescent="0.25">
      <c r="A309" s="96"/>
      <c r="B309" s="97"/>
      <c r="C309" s="97"/>
      <c r="D309" s="97"/>
      <c r="E309" s="98"/>
      <c r="F309" s="99"/>
      <c r="G309" s="97"/>
      <c r="H309" s="99"/>
      <c r="I309" s="99"/>
      <c r="J309" s="100"/>
      <c r="K309" s="101"/>
      <c r="L309" s="102"/>
      <c r="M309" s="103"/>
      <c r="N309" s="104"/>
      <c r="O309" s="97"/>
      <c r="P309" s="97"/>
      <c r="Q309" s="97"/>
      <c r="R309" s="105"/>
      <c r="S309" s="97"/>
      <c r="T309" s="97"/>
      <c r="U309" s="97" t="str">
        <f t="shared" si="7"/>
        <v/>
      </c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/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7"/>
      <c r="BA309" s="97"/>
      <c r="BB309" s="97"/>
      <c r="BC309" s="97"/>
      <c r="BD309" s="97"/>
      <c r="BE309" s="97"/>
      <c r="BF309" s="97"/>
      <c r="BG309" s="97"/>
      <c r="BH309" s="97"/>
    </row>
    <row r="310" spans="1:60" x14ac:dyDescent="0.25">
      <c r="A310" s="106"/>
      <c r="B310" s="107"/>
      <c r="C310" s="107"/>
      <c r="D310" s="107"/>
      <c r="E310" s="108"/>
      <c r="F310" s="109"/>
      <c r="G310" s="107"/>
      <c r="H310" s="109"/>
      <c r="I310" s="110"/>
      <c r="J310" s="110"/>
      <c r="K310" s="111"/>
      <c r="L310" s="112"/>
      <c r="M310" s="113"/>
      <c r="N310" s="114"/>
      <c r="O310" s="107"/>
      <c r="P310" s="107"/>
      <c r="Q310" s="115"/>
      <c r="R310" s="116"/>
      <c r="S310" s="107"/>
      <c r="T310" s="107"/>
      <c r="U310" s="107" t="str">
        <f t="shared" si="7"/>
        <v/>
      </c>
      <c r="V310" s="107"/>
      <c r="W310" s="107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R310" s="107"/>
      <c r="AS310" s="107"/>
      <c r="AT310" s="107"/>
      <c r="AU310" s="107"/>
      <c r="AV310" s="107"/>
      <c r="AW310" s="107"/>
      <c r="AX310" s="107"/>
      <c r="AY310" s="107"/>
      <c r="AZ310" s="107"/>
      <c r="BA310" s="107"/>
      <c r="BB310" s="107"/>
      <c r="BC310" s="107"/>
      <c r="BD310" s="107"/>
      <c r="BE310" s="107"/>
      <c r="BF310" s="107"/>
      <c r="BG310" s="107"/>
      <c r="BH310" s="107"/>
    </row>
    <row r="311" spans="1:60" x14ac:dyDescent="0.25">
      <c r="A311" s="96"/>
      <c r="B311" s="97"/>
      <c r="C311" s="97"/>
      <c r="D311" s="97"/>
      <c r="E311" s="98"/>
      <c r="F311" s="99"/>
      <c r="G311" s="97"/>
      <c r="H311" s="99"/>
      <c r="I311" s="99"/>
      <c r="J311" s="100"/>
      <c r="K311" s="101"/>
      <c r="L311" s="102"/>
      <c r="M311" s="103"/>
      <c r="N311" s="104"/>
      <c r="O311" s="97"/>
      <c r="P311" s="97"/>
      <c r="Q311" s="97"/>
      <c r="R311" s="105"/>
      <c r="S311" s="97"/>
      <c r="T311" s="97"/>
      <c r="U311" s="97" t="str">
        <f t="shared" si="7"/>
        <v/>
      </c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/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7"/>
      <c r="BA311" s="97"/>
      <c r="BB311" s="97"/>
      <c r="BC311" s="97"/>
      <c r="BD311" s="97"/>
      <c r="BE311" s="97"/>
      <c r="BF311" s="97"/>
      <c r="BG311" s="97"/>
      <c r="BH311" s="97"/>
    </row>
    <row r="312" spans="1:60" x14ac:dyDescent="0.25">
      <c r="A312" s="106"/>
      <c r="B312" s="107"/>
      <c r="C312" s="107"/>
      <c r="D312" s="107"/>
      <c r="E312" s="108"/>
      <c r="F312" s="109"/>
      <c r="G312" s="107"/>
      <c r="H312" s="109"/>
      <c r="I312" s="110"/>
      <c r="J312" s="110"/>
      <c r="K312" s="111"/>
      <c r="L312" s="112"/>
      <c r="M312" s="113"/>
      <c r="N312" s="114"/>
      <c r="O312" s="107"/>
      <c r="P312" s="107"/>
      <c r="Q312" s="115"/>
      <c r="R312" s="116"/>
      <c r="S312" s="107"/>
      <c r="T312" s="107"/>
      <c r="U312" s="107" t="str">
        <f t="shared" si="7"/>
        <v/>
      </c>
      <c r="V312" s="107"/>
      <c r="W312" s="107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R312" s="107"/>
      <c r="AS312" s="107"/>
      <c r="AT312" s="107"/>
      <c r="AU312" s="107"/>
      <c r="AV312" s="107"/>
      <c r="AW312" s="107"/>
      <c r="AX312" s="107"/>
      <c r="AY312" s="107"/>
      <c r="AZ312" s="107"/>
      <c r="BA312" s="107"/>
      <c r="BB312" s="107"/>
      <c r="BC312" s="107"/>
      <c r="BD312" s="107"/>
      <c r="BE312" s="107"/>
      <c r="BF312" s="107"/>
      <c r="BG312" s="107"/>
      <c r="BH312" s="107"/>
    </row>
    <row r="313" spans="1:60" x14ac:dyDescent="0.25">
      <c r="A313" s="96"/>
      <c r="B313" s="97"/>
      <c r="C313" s="97"/>
      <c r="D313" s="97"/>
      <c r="E313" s="98"/>
      <c r="F313" s="99"/>
      <c r="G313" s="97"/>
      <c r="H313" s="99"/>
      <c r="I313" s="99"/>
      <c r="J313" s="100"/>
      <c r="K313" s="101"/>
      <c r="L313" s="102"/>
      <c r="M313" s="103"/>
      <c r="N313" s="104"/>
      <c r="O313" s="97"/>
      <c r="P313" s="97"/>
      <c r="Q313" s="97"/>
      <c r="R313" s="105"/>
      <c r="S313" s="97"/>
      <c r="T313" s="97"/>
      <c r="U313" s="97" t="str">
        <f t="shared" si="7"/>
        <v/>
      </c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7"/>
      <c r="BA313" s="97"/>
      <c r="BB313" s="97"/>
      <c r="BC313" s="97"/>
      <c r="BD313" s="97"/>
      <c r="BE313" s="97"/>
      <c r="BF313" s="97"/>
      <c r="BG313" s="97"/>
      <c r="BH313" s="97"/>
    </row>
    <row r="314" spans="1:60" x14ac:dyDescent="0.25">
      <c r="A314" s="106"/>
      <c r="B314" s="107"/>
      <c r="C314" s="107"/>
      <c r="D314" s="107"/>
      <c r="E314" s="108"/>
      <c r="F314" s="109"/>
      <c r="G314" s="107"/>
      <c r="H314" s="109"/>
      <c r="I314" s="110"/>
      <c r="J314" s="110"/>
      <c r="K314" s="111"/>
      <c r="L314" s="112"/>
      <c r="M314" s="113"/>
      <c r="N314" s="114"/>
      <c r="O314" s="107"/>
      <c r="P314" s="107"/>
      <c r="Q314" s="115"/>
      <c r="R314" s="116"/>
      <c r="S314" s="107"/>
      <c r="T314" s="107"/>
      <c r="U314" s="107" t="str">
        <f t="shared" si="7"/>
        <v/>
      </c>
      <c r="V314" s="107"/>
      <c r="W314" s="107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R314" s="107"/>
      <c r="AS314" s="107"/>
      <c r="AT314" s="107"/>
      <c r="AU314" s="107"/>
      <c r="AV314" s="107"/>
      <c r="AW314" s="107"/>
      <c r="AX314" s="107"/>
      <c r="AY314" s="107"/>
      <c r="AZ314" s="107"/>
      <c r="BA314" s="107"/>
      <c r="BB314" s="107"/>
      <c r="BC314" s="107"/>
      <c r="BD314" s="107"/>
      <c r="BE314" s="107"/>
      <c r="BF314" s="107"/>
      <c r="BG314" s="107"/>
      <c r="BH314" s="107"/>
    </row>
    <row r="315" spans="1:60" x14ac:dyDescent="0.25">
      <c r="A315" s="96"/>
      <c r="B315" s="97"/>
      <c r="C315" s="97"/>
      <c r="D315" s="97"/>
      <c r="E315" s="98"/>
      <c r="F315" s="99"/>
      <c r="G315" s="97"/>
      <c r="H315" s="99"/>
      <c r="I315" s="99"/>
      <c r="J315" s="100"/>
      <c r="K315" s="101"/>
      <c r="L315" s="102"/>
      <c r="M315" s="103"/>
      <c r="N315" s="104"/>
      <c r="O315" s="97"/>
      <c r="P315" s="97"/>
      <c r="Q315" s="97"/>
      <c r="R315" s="105"/>
      <c r="S315" s="97"/>
      <c r="T315" s="97"/>
      <c r="U315" s="97" t="str">
        <f t="shared" si="7"/>
        <v/>
      </c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</row>
    <row r="316" spans="1:60" x14ac:dyDescent="0.25">
      <c r="A316" s="106"/>
      <c r="B316" s="107"/>
      <c r="C316" s="107"/>
      <c r="D316" s="107"/>
      <c r="E316" s="108"/>
      <c r="F316" s="109"/>
      <c r="G316" s="107"/>
      <c r="H316" s="109"/>
      <c r="I316" s="110"/>
      <c r="J316" s="110"/>
      <c r="K316" s="111"/>
      <c r="L316" s="112"/>
      <c r="M316" s="113"/>
      <c r="N316" s="114"/>
      <c r="O316" s="107"/>
      <c r="P316" s="107"/>
      <c r="Q316" s="115"/>
      <c r="R316" s="116"/>
      <c r="S316" s="107"/>
      <c r="T316" s="107"/>
      <c r="U316" s="107" t="str">
        <f t="shared" si="7"/>
        <v/>
      </c>
      <c r="V316" s="107"/>
      <c r="W316" s="107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R316" s="107"/>
      <c r="AS316" s="107"/>
      <c r="AT316" s="107"/>
      <c r="AU316" s="107"/>
      <c r="AV316" s="107"/>
      <c r="AW316" s="107"/>
      <c r="AX316" s="107"/>
      <c r="AY316" s="107"/>
      <c r="AZ316" s="107"/>
      <c r="BA316" s="107"/>
      <c r="BB316" s="107"/>
      <c r="BC316" s="107"/>
      <c r="BD316" s="107"/>
      <c r="BE316" s="107"/>
      <c r="BF316" s="107"/>
      <c r="BG316" s="107"/>
      <c r="BH316" s="107"/>
    </row>
    <row r="317" spans="1:60" x14ac:dyDescent="0.25">
      <c r="A317" s="96"/>
      <c r="B317" s="97"/>
      <c r="C317" s="97"/>
      <c r="D317" s="97"/>
      <c r="E317" s="98"/>
      <c r="F317" s="99"/>
      <c r="G317" s="97"/>
      <c r="H317" s="99"/>
      <c r="I317" s="99"/>
      <c r="J317" s="100"/>
      <c r="K317" s="101"/>
      <c r="L317" s="102"/>
      <c r="M317" s="103"/>
      <c r="N317" s="104"/>
      <c r="O317" s="97"/>
      <c r="P317" s="97"/>
      <c r="Q317" s="97"/>
      <c r="R317" s="105"/>
      <c r="S317" s="97"/>
      <c r="T317" s="97"/>
      <c r="U317" s="97" t="str">
        <f t="shared" si="7"/>
        <v/>
      </c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7"/>
      <c r="BA317" s="97"/>
      <c r="BB317" s="97"/>
      <c r="BC317" s="97"/>
      <c r="BD317" s="97"/>
      <c r="BE317" s="97"/>
      <c r="BF317" s="97"/>
      <c r="BG317" s="97"/>
      <c r="BH317" s="97"/>
    </row>
    <row r="318" spans="1:60" x14ac:dyDescent="0.25">
      <c r="A318" s="106"/>
      <c r="B318" s="107"/>
      <c r="C318" s="107"/>
      <c r="D318" s="107"/>
      <c r="E318" s="108"/>
      <c r="F318" s="109"/>
      <c r="G318" s="107"/>
      <c r="H318" s="109"/>
      <c r="I318" s="110"/>
      <c r="J318" s="110"/>
      <c r="K318" s="111"/>
      <c r="L318" s="112"/>
      <c r="M318" s="113"/>
      <c r="N318" s="114"/>
      <c r="O318" s="107"/>
      <c r="P318" s="107"/>
      <c r="Q318" s="115"/>
      <c r="R318" s="116"/>
      <c r="S318" s="107"/>
      <c r="T318" s="107"/>
      <c r="U318" s="107" t="str">
        <f t="shared" si="7"/>
        <v/>
      </c>
      <c r="V318" s="107"/>
      <c r="W318" s="107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R318" s="107"/>
      <c r="AS318" s="107"/>
      <c r="AT318" s="107"/>
      <c r="AU318" s="107"/>
      <c r="AV318" s="107"/>
      <c r="AW318" s="107"/>
      <c r="AX318" s="107"/>
      <c r="AY318" s="107"/>
      <c r="AZ318" s="107"/>
      <c r="BA318" s="107"/>
      <c r="BB318" s="107"/>
      <c r="BC318" s="107"/>
      <c r="BD318" s="107"/>
      <c r="BE318" s="107"/>
      <c r="BF318" s="107"/>
      <c r="BG318" s="107"/>
      <c r="BH318" s="107"/>
    </row>
    <row r="319" spans="1:60" x14ac:dyDescent="0.25">
      <c r="A319" s="96"/>
      <c r="B319" s="97"/>
      <c r="C319" s="97"/>
      <c r="D319" s="97"/>
      <c r="E319" s="98"/>
      <c r="F319" s="99"/>
      <c r="G319" s="97"/>
      <c r="H319" s="99"/>
      <c r="I319" s="99"/>
      <c r="J319" s="100"/>
      <c r="K319" s="101"/>
      <c r="L319" s="102"/>
      <c r="M319" s="103"/>
      <c r="N319" s="104"/>
      <c r="O319" s="97"/>
      <c r="P319" s="97"/>
      <c r="Q319" s="97"/>
      <c r="R319" s="105"/>
      <c r="S319" s="97"/>
      <c r="T319" s="97"/>
      <c r="U319" s="97" t="str">
        <f t="shared" si="7"/>
        <v/>
      </c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7"/>
      <c r="BA319" s="97"/>
      <c r="BB319" s="97"/>
      <c r="BC319" s="97"/>
      <c r="BD319" s="97"/>
      <c r="BE319" s="97"/>
      <c r="BF319" s="97"/>
      <c r="BG319" s="97"/>
      <c r="BH319" s="97"/>
    </row>
    <row r="320" spans="1:60" x14ac:dyDescent="0.25">
      <c r="A320" s="106"/>
      <c r="B320" s="107"/>
      <c r="C320" s="107"/>
      <c r="D320" s="107"/>
      <c r="E320" s="108"/>
      <c r="F320" s="109"/>
      <c r="G320" s="107"/>
      <c r="H320" s="109"/>
      <c r="I320" s="110"/>
      <c r="J320" s="110"/>
      <c r="K320" s="111"/>
      <c r="L320" s="112"/>
      <c r="M320" s="113"/>
      <c r="N320" s="114"/>
      <c r="O320" s="107"/>
      <c r="P320" s="107"/>
      <c r="Q320" s="115"/>
      <c r="R320" s="116"/>
      <c r="S320" s="107"/>
      <c r="T320" s="107"/>
      <c r="U320" s="107" t="str">
        <f t="shared" si="7"/>
        <v/>
      </c>
      <c r="V320" s="107"/>
      <c r="W320" s="107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R320" s="107"/>
      <c r="AS320" s="107"/>
      <c r="AT320" s="107"/>
      <c r="AU320" s="107"/>
      <c r="AV320" s="107"/>
      <c r="AW320" s="107"/>
      <c r="AX320" s="107"/>
      <c r="AY320" s="107"/>
      <c r="AZ320" s="107"/>
      <c r="BA320" s="107"/>
      <c r="BB320" s="107"/>
      <c r="BC320" s="107"/>
      <c r="BD320" s="107"/>
      <c r="BE320" s="107"/>
      <c r="BF320" s="107"/>
      <c r="BG320" s="107"/>
      <c r="BH320" s="107"/>
    </row>
    <row r="321" spans="1:60" x14ac:dyDescent="0.25">
      <c r="A321" s="96"/>
      <c r="B321" s="97"/>
      <c r="C321" s="97"/>
      <c r="D321" s="97"/>
      <c r="E321" s="98"/>
      <c r="F321" s="99"/>
      <c r="G321" s="97"/>
      <c r="H321" s="99"/>
      <c r="I321" s="99"/>
      <c r="J321" s="100"/>
      <c r="K321" s="101"/>
      <c r="L321" s="102"/>
      <c r="M321" s="103"/>
      <c r="N321" s="104"/>
      <c r="O321" s="97"/>
      <c r="P321" s="97"/>
      <c r="Q321" s="97"/>
      <c r="R321" s="105"/>
      <c r="S321" s="97"/>
      <c r="T321" s="97"/>
      <c r="U321" s="97" t="str">
        <f t="shared" si="7"/>
        <v/>
      </c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/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7"/>
      <c r="BA321" s="97"/>
      <c r="BB321" s="97"/>
      <c r="BC321" s="97"/>
      <c r="BD321" s="97"/>
      <c r="BE321" s="97"/>
      <c r="BF321" s="97"/>
      <c r="BG321" s="97"/>
      <c r="BH321" s="97"/>
    </row>
    <row r="322" spans="1:60" x14ac:dyDescent="0.25">
      <c r="A322" s="106"/>
      <c r="B322" s="107"/>
      <c r="C322" s="107"/>
      <c r="D322" s="107"/>
      <c r="E322" s="108"/>
      <c r="F322" s="109"/>
      <c r="G322" s="107"/>
      <c r="H322" s="109"/>
      <c r="I322" s="110"/>
      <c r="J322" s="110"/>
      <c r="K322" s="111"/>
      <c r="L322" s="112"/>
      <c r="M322" s="113"/>
      <c r="N322" s="114"/>
      <c r="O322" s="107"/>
      <c r="P322" s="107"/>
      <c r="Q322" s="115"/>
      <c r="R322" s="116"/>
      <c r="S322" s="107"/>
      <c r="T322" s="107"/>
      <c r="U322" s="107" t="str">
        <f t="shared" si="7"/>
        <v/>
      </c>
      <c r="V322" s="107"/>
      <c r="W322" s="107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R322" s="107"/>
      <c r="AS322" s="107"/>
      <c r="AT322" s="107"/>
      <c r="AU322" s="107"/>
      <c r="AV322" s="107"/>
      <c r="AW322" s="107"/>
      <c r="AX322" s="107"/>
      <c r="AY322" s="107"/>
      <c r="AZ322" s="107"/>
      <c r="BA322" s="107"/>
      <c r="BB322" s="107"/>
      <c r="BC322" s="107"/>
      <c r="BD322" s="107"/>
      <c r="BE322" s="107"/>
      <c r="BF322" s="107"/>
      <c r="BG322" s="107"/>
      <c r="BH322" s="107"/>
    </row>
    <row r="323" spans="1:60" x14ac:dyDescent="0.25">
      <c r="A323" s="96"/>
      <c r="B323" s="97"/>
      <c r="C323" s="97"/>
      <c r="D323" s="97"/>
      <c r="E323" s="98"/>
      <c r="F323" s="99"/>
      <c r="G323" s="97"/>
      <c r="H323" s="99"/>
      <c r="I323" s="99"/>
      <c r="J323" s="100"/>
      <c r="K323" s="101"/>
      <c r="L323" s="102"/>
      <c r="M323" s="103"/>
      <c r="N323" s="104"/>
      <c r="O323" s="97"/>
      <c r="P323" s="97"/>
      <c r="Q323" s="97"/>
      <c r="R323" s="105"/>
      <c r="S323" s="97"/>
      <c r="T323" s="97"/>
      <c r="U323" s="97" t="str">
        <f t="shared" ref="U323:U386" si="8">IF(B323="","",IF(I323="",0,1))</f>
        <v/>
      </c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7"/>
      <c r="BA323" s="97"/>
      <c r="BB323" s="97"/>
      <c r="BC323" s="97"/>
      <c r="BD323" s="97"/>
      <c r="BE323" s="97"/>
      <c r="BF323" s="97"/>
      <c r="BG323" s="97"/>
      <c r="BH323" s="97"/>
    </row>
    <row r="324" spans="1:60" x14ac:dyDescent="0.25">
      <c r="A324" s="106"/>
      <c r="B324" s="107"/>
      <c r="C324" s="107"/>
      <c r="D324" s="107"/>
      <c r="E324" s="108"/>
      <c r="F324" s="109"/>
      <c r="G324" s="107"/>
      <c r="H324" s="109"/>
      <c r="I324" s="110"/>
      <c r="J324" s="110"/>
      <c r="K324" s="111"/>
      <c r="L324" s="112"/>
      <c r="M324" s="113"/>
      <c r="N324" s="114"/>
      <c r="O324" s="107"/>
      <c r="P324" s="107"/>
      <c r="Q324" s="115"/>
      <c r="R324" s="116"/>
      <c r="S324" s="107"/>
      <c r="T324" s="107"/>
      <c r="U324" s="107" t="str">
        <f t="shared" si="8"/>
        <v/>
      </c>
      <c r="V324" s="107"/>
      <c r="W324" s="107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R324" s="107"/>
      <c r="AS324" s="107"/>
      <c r="AT324" s="107"/>
      <c r="AU324" s="107"/>
      <c r="AV324" s="107"/>
      <c r="AW324" s="107"/>
      <c r="AX324" s="107"/>
      <c r="AY324" s="107"/>
      <c r="AZ324" s="107"/>
      <c r="BA324" s="107"/>
      <c r="BB324" s="107"/>
      <c r="BC324" s="107"/>
      <c r="BD324" s="107"/>
      <c r="BE324" s="107"/>
      <c r="BF324" s="107"/>
      <c r="BG324" s="107"/>
      <c r="BH324" s="107"/>
    </row>
    <row r="325" spans="1:60" x14ac:dyDescent="0.25">
      <c r="A325" s="96"/>
      <c r="B325" s="97"/>
      <c r="C325" s="97"/>
      <c r="D325" s="97"/>
      <c r="E325" s="98"/>
      <c r="F325" s="99"/>
      <c r="G325" s="97"/>
      <c r="H325" s="99"/>
      <c r="I325" s="99"/>
      <c r="J325" s="100"/>
      <c r="K325" s="101"/>
      <c r="L325" s="102"/>
      <c r="M325" s="103"/>
      <c r="N325" s="104"/>
      <c r="O325" s="97"/>
      <c r="P325" s="97"/>
      <c r="Q325" s="97"/>
      <c r="R325" s="105"/>
      <c r="S325" s="97"/>
      <c r="T325" s="97"/>
      <c r="U325" s="97" t="str">
        <f t="shared" si="8"/>
        <v/>
      </c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7"/>
      <c r="BA325" s="97"/>
      <c r="BB325" s="97"/>
      <c r="BC325" s="97"/>
      <c r="BD325" s="97"/>
      <c r="BE325" s="97"/>
      <c r="BF325" s="97"/>
      <c r="BG325" s="97"/>
      <c r="BH325" s="97"/>
    </row>
    <row r="326" spans="1:60" x14ac:dyDescent="0.25">
      <c r="A326" s="106"/>
      <c r="B326" s="107"/>
      <c r="C326" s="107"/>
      <c r="D326" s="107"/>
      <c r="E326" s="108"/>
      <c r="F326" s="109"/>
      <c r="G326" s="107"/>
      <c r="H326" s="109"/>
      <c r="I326" s="110"/>
      <c r="J326" s="110"/>
      <c r="K326" s="111"/>
      <c r="L326" s="112"/>
      <c r="M326" s="113"/>
      <c r="N326" s="114"/>
      <c r="O326" s="107"/>
      <c r="P326" s="107"/>
      <c r="Q326" s="115"/>
      <c r="R326" s="116"/>
      <c r="S326" s="107"/>
      <c r="T326" s="107"/>
      <c r="U326" s="107" t="str">
        <f t="shared" si="8"/>
        <v/>
      </c>
      <c r="V326" s="107"/>
      <c r="W326" s="107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/>
      <c r="AJ326" s="107"/>
      <c r="AK326" s="107"/>
      <c r="AL326" s="107"/>
      <c r="AM326" s="107"/>
      <c r="AN326" s="107"/>
      <c r="AO326" s="107"/>
      <c r="AP326" s="107"/>
      <c r="AQ326" s="107"/>
      <c r="AR326" s="107"/>
      <c r="AS326" s="107"/>
      <c r="AT326" s="107"/>
      <c r="AU326" s="107"/>
      <c r="AV326" s="107"/>
      <c r="AW326" s="107"/>
      <c r="AX326" s="107"/>
      <c r="AY326" s="107"/>
      <c r="AZ326" s="107"/>
      <c r="BA326" s="107"/>
      <c r="BB326" s="107"/>
      <c r="BC326" s="107"/>
      <c r="BD326" s="107"/>
      <c r="BE326" s="107"/>
      <c r="BF326" s="107"/>
      <c r="BG326" s="107"/>
      <c r="BH326" s="107"/>
    </row>
    <row r="327" spans="1:60" x14ac:dyDescent="0.25">
      <c r="A327" s="96"/>
      <c r="B327" s="97"/>
      <c r="C327" s="97"/>
      <c r="D327" s="97"/>
      <c r="E327" s="98"/>
      <c r="F327" s="99"/>
      <c r="G327" s="97"/>
      <c r="H327" s="99"/>
      <c r="I327" s="99"/>
      <c r="J327" s="100"/>
      <c r="K327" s="101"/>
      <c r="L327" s="102"/>
      <c r="M327" s="103"/>
      <c r="N327" s="104"/>
      <c r="O327" s="97"/>
      <c r="P327" s="97"/>
      <c r="Q327" s="97"/>
      <c r="R327" s="105"/>
      <c r="S327" s="97"/>
      <c r="T327" s="97"/>
      <c r="U327" s="97" t="str">
        <f t="shared" si="8"/>
        <v/>
      </c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7"/>
      <c r="BA327" s="97"/>
      <c r="BB327" s="97"/>
      <c r="BC327" s="97"/>
      <c r="BD327" s="97"/>
      <c r="BE327" s="97"/>
      <c r="BF327" s="97"/>
      <c r="BG327" s="97"/>
      <c r="BH327" s="97"/>
    </row>
    <row r="328" spans="1:60" x14ac:dyDescent="0.25">
      <c r="A328" s="106"/>
      <c r="B328" s="107"/>
      <c r="C328" s="107"/>
      <c r="D328" s="107"/>
      <c r="E328" s="108"/>
      <c r="F328" s="109"/>
      <c r="G328" s="107"/>
      <c r="H328" s="109"/>
      <c r="I328" s="110"/>
      <c r="J328" s="110"/>
      <c r="K328" s="111"/>
      <c r="L328" s="112"/>
      <c r="M328" s="113"/>
      <c r="N328" s="114"/>
      <c r="O328" s="107"/>
      <c r="P328" s="107"/>
      <c r="Q328" s="115"/>
      <c r="R328" s="116"/>
      <c r="S328" s="107"/>
      <c r="T328" s="107"/>
      <c r="U328" s="107" t="str">
        <f t="shared" si="8"/>
        <v/>
      </c>
      <c r="V328" s="107"/>
      <c r="W328" s="107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R328" s="107"/>
      <c r="AS328" s="107"/>
      <c r="AT328" s="107"/>
      <c r="AU328" s="107"/>
      <c r="AV328" s="107"/>
      <c r="AW328" s="107"/>
      <c r="AX328" s="107"/>
      <c r="AY328" s="107"/>
      <c r="AZ328" s="107"/>
      <c r="BA328" s="107"/>
      <c r="BB328" s="107"/>
      <c r="BC328" s="107"/>
      <c r="BD328" s="107"/>
      <c r="BE328" s="107"/>
      <c r="BF328" s="107"/>
      <c r="BG328" s="107"/>
      <c r="BH328" s="107"/>
    </row>
    <row r="329" spans="1:60" x14ac:dyDescent="0.25">
      <c r="A329" s="96"/>
      <c r="B329" s="97"/>
      <c r="C329" s="97"/>
      <c r="D329" s="97"/>
      <c r="E329" s="98"/>
      <c r="F329" s="99"/>
      <c r="G329" s="97"/>
      <c r="H329" s="99"/>
      <c r="I329" s="99"/>
      <c r="J329" s="100"/>
      <c r="K329" s="101"/>
      <c r="L329" s="102"/>
      <c r="M329" s="103"/>
      <c r="N329" s="104"/>
      <c r="O329" s="97"/>
      <c r="P329" s="97"/>
      <c r="Q329" s="97"/>
      <c r="R329" s="105"/>
      <c r="S329" s="97"/>
      <c r="T329" s="97"/>
      <c r="U329" s="97" t="str">
        <f t="shared" si="8"/>
        <v/>
      </c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/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7"/>
      <c r="BA329" s="97"/>
      <c r="BB329" s="97"/>
      <c r="BC329" s="97"/>
      <c r="BD329" s="97"/>
      <c r="BE329" s="97"/>
      <c r="BF329" s="97"/>
      <c r="BG329" s="97"/>
      <c r="BH329" s="97"/>
    </row>
    <row r="330" spans="1:60" x14ac:dyDescent="0.25">
      <c r="A330" s="106"/>
      <c r="B330" s="107"/>
      <c r="C330" s="107"/>
      <c r="D330" s="107"/>
      <c r="E330" s="108"/>
      <c r="F330" s="109"/>
      <c r="G330" s="107"/>
      <c r="H330" s="109"/>
      <c r="I330" s="110"/>
      <c r="J330" s="110"/>
      <c r="K330" s="111"/>
      <c r="L330" s="112"/>
      <c r="M330" s="113"/>
      <c r="N330" s="114"/>
      <c r="O330" s="107"/>
      <c r="P330" s="107"/>
      <c r="Q330" s="115"/>
      <c r="R330" s="116"/>
      <c r="S330" s="107"/>
      <c r="T330" s="107"/>
      <c r="U330" s="107" t="str">
        <f t="shared" si="8"/>
        <v/>
      </c>
      <c r="V330" s="107"/>
      <c r="W330" s="107"/>
      <c r="X330" s="107"/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R330" s="107"/>
      <c r="AS330" s="107"/>
      <c r="AT330" s="107"/>
      <c r="AU330" s="107"/>
      <c r="AV330" s="107"/>
      <c r="AW330" s="107"/>
      <c r="AX330" s="107"/>
      <c r="AY330" s="107"/>
      <c r="AZ330" s="107"/>
      <c r="BA330" s="107"/>
      <c r="BB330" s="107"/>
      <c r="BC330" s="107"/>
      <c r="BD330" s="107"/>
      <c r="BE330" s="107"/>
      <c r="BF330" s="107"/>
      <c r="BG330" s="107"/>
      <c r="BH330" s="107"/>
    </row>
    <row r="331" spans="1:60" x14ac:dyDescent="0.25">
      <c r="A331" s="96"/>
      <c r="B331" s="97"/>
      <c r="C331" s="97"/>
      <c r="D331" s="97"/>
      <c r="E331" s="98"/>
      <c r="F331" s="99"/>
      <c r="G331" s="97"/>
      <c r="H331" s="99"/>
      <c r="I331" s="99"/>
      <c r="J331" s="100"/>
      <c r="K331" s="101"/>
      <c r="L331" s="102"/>
      <c r="M331" s="103"/>
      <c r="N331" s="104"/>
      <c r="O331" s="97"/>
      <c r="P331" s="97"/>
      <c r="Q331" s="97"/>
      <c r="R331" s="105"/>
      <c r="S331" s="97"/>
      <c r="T331" s="97"/>
      <c r="U331" s="97" t="str">
        <f t="shared" si="8"/>
        <v/>
      </c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7"/>
      <c r="BA331" s="97"/>
      <c r="BB331" s="97"/>
      <c r="BC331" s="97"/>
      <c r="BD331" s="97"/>
      <c r="BE331" s="97"/>
      <c r="BF331" s="97"/>
      <c r="BG331" s="97"/>
      <c r="BH331" s="97"/>
    </row>
    <row r="332" spans="1:60" x14ac:dyDescent="0.25">
      <c r="A332" s="106"/>
      <c r="B332" s="107"/>
      <c r="C332" s="107"/>
      <c r="D332" s="107"/>
      <c r="E332" s="108"/>
      <c r="F332" s="109"/>
      <c r="G332" s="107"/>
      <c r="H332" s="109"/>
      <c r="I332" s="110"/>
      <c r="J332" s="110"/>
      <c r="K332" s="111"/>
      <c r="L332" s="112"/>
      <c r="M332" s="113"/>
      <c r="N332" s="114"/>
      <c r="O332" s="107"/>
      <c r="P332" s="107"/>
      <c r="Q332" s="115"/>
      <c r="R332" s="116"/>
      <c r="S332" s="107"/>
      <c r="T332" s="107"/>
      <c r="U332" s="107" t="str">
        <f t="shared" si="8"/>
        <v/>
      </c>
      <c r="V332" s="107"/>
      <c r="W332" s="107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R332" s="107"/>
      <c r="AS332" s="107"/>
      <c r="AT332" s="107"/>
      <c r="AU332" s="107"/>
      <c r="AV332" s="107"/>
      <c r="AW332" s="107"/>
      <c r="AX332" s="107"/>
      <c r="AY332" s="107"/>
      <c r="AZ332" s="107"/>
      <c r="BA332" s="107"/>
      <c r="BB332" s="107"/>
      <c r="BC332" s="107"/>
      <c r="BD332" s="107"/>
      <c r="BE332" s="107"/>
      <c r="BF332" s="107"/>
      <c r="BG332" s="107"/>
      <c r="BH332" s="107"/>
    </row>
    <row r="333" spans="1:60" x14ac:dyDescent="0.25">
      <c r="A333" s="96"/>
      <c r="B333" s="97"/>
      <c r="C333" s="97"/>
      <c r="D333" s="97"/>
      <c r="E333" s="98"/>
      <c r="F333" s="99"/>
      <c r="G333" s="97"/>
      <c r="H333" s="99"/>
      <c r="I333" s="99"/>
      <c r="J333" s="100"/>
      <c r="K333" s="101"/>
      <c r="L333" s="102"/>
      <c r="M333" s="103"/>
      <c r="N333" s="104"/>
      <c r="O333" s="97"/>
      <c r="P333" s="97"/>
      <c r="Q333" s="97"/>
      <c r="R333" s="105"/>
      <c r="S333" s="97"/>
      <c r="T333" s="97"/>
      <c r="U333" s="97" t="str">
        <f t="shared" si="8"/>
        <v/>
      </c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7"/>
      <c r="BA333" s="97"/>
      <c r="BB333" s="97"/>
      <c r="BC333" s="97"/>
      <c r="BD333" s="97"/>
      <c r="BE333" s="97"/>
      <c r="BF333" s="97"/>
      <c r="BG333" s="97"/>
      <c r="BH333" s="97"/>
    </row>
    <row r="334" spans="1:60" x14ac:dyDescent="0.25">
      <c r="A334" s="106"/>
      <c r="B334" s="107"/>
      <c r="C334" s="107"/>
      <c r="D334" s="107"/>
      <c r="E334" s="108"/>
      <c r="F334" s="109"/>
      <c r="G334" s="107"/>
      <c r="H334" s="109"/>
      <c r="I334" s="110"/>
      <c r="J334" s="110"/>
      <c r="K334" s="111"/>
      <c r="L334" s="112"/>
      <c r="M334" s="113"/>
      <c r="N334" s="114"/>
      <c r="O334" s="107"/>
      <c r="P334" s="107"/>
      <c r="Q334" s="115"/>
      <c r="R334" s="116"/>
      <c r="S334" s="107"/>
      <c r="T334" s="107"/>
      <c r="U334" s="107" t="str">
        <f t="shared" si="8"/>
        <v/>
      </c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R334" s="107"/>
      <c r="AS334" s="107"/>
      <c r="AT334" s="107"/>
      <c r="AU334" s="107"/>
      <c r="AV334" s="107"/>
      <c r="AW334" s="107"/>
      <c r="AX334" s="107"/>
      <c r="AY334" s="107"/>
      <c r="AZ334" s="107"/>
      <c r="BA334" s="107"/>
      <c r="BB334" s="107"/>
      <c r="BC334" s="107"/>
      <c r="BD334" s="107"/>
      <c r="BE334" s="107"/>
      <c r="BF334" s="107"/>
      <c r="BG334" s="107"/>
      <c r="BH334" s="107"/>
    </row>
    <row r="335" spans="1:60" x14ac:dyDescent="0.25">
      <c r="A335" s="96"/>
      <c r="B335" s="97"/>
      <c r="C335" s="97"/>
      <c r="D335" s="97"/>
      <c r="E335" s="98"/>
      <c r="F335" s="99"/>
      <c r="G335" s="97"/>
      <c r="H335" s="99"/>
      <c r="I335" s="99"/>
      <c r="J335" s="100"/>
      <c r="K335" s="101"/>
      <c r="L335" s="102"/>
      <c r="M335" s="103"/>
      <c r="N335" s="104"/>
      <c r="O335" s="97"/>
      <c r="P335" s="97"/>
      <c r="Q335" s="97"/>
      <c r="R335" s="105"/>
      <c r="S335" s="97"/>
      <c r="T335" s="97"/>
      <c r="U335" s="97" t="str">
        <f t="shared" si="8"/>
        <v/>
      </c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/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7"/>
      <c r="BA335" s="97"/>
      <c r="BB335" s="97"/>
      <c r="BC335" s="97"/>
      <c r="BD335" s="97"/>
      <c r="BE335" s="97"/>
      <c r="BF335" s="97"/>
      <c r="BG335" s="97"/>
      <c r="BH335" s="97"/>
    </row>
    <row r="336" spans="1:60" x14ac:dyDescent="0.25">
      <c r="A336" s="106"/>
      <c r="B336" s="107"/>
      <c r="C336" s="107"/>
      <c r="D336" s="107"/>
      <c r="E336" s="108"/>
      <c r="F336" s="109"/>
      <c r="G336" s="107"/>
      <c r="H336" s="109"/>
      <c r="I336" s="110"/>
      <c r="J336" s="110"/>
      <c r="K336" s="111"/>
      <c r="L336" s="112"/>
      <c r="M336" s="113"/>
      <c r="N336" s="114"/>
      <c r="O336" s="107"/>
      <c r="P336" s="107"/>
      <c r="Q336" s="115"/>
      <c r="R336" s="116"/>
      <c r="S336" s="107"/>
      <c r="T336" s="107"/>
      <c r="U336" s="107" t="str">
        <f t="shared" si="8"/>
        <v/>
      </c>
      <c r="V336" s="107"/>
      <c r="W336" s="107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R336" s="107"/>
      <c r="AS336" s="107"/>
      <c r="AT336" s="107"/>
      <c r="AU336" s="107"/>
      <c r="AV336" s="107"/>
      <c r="AW336" s="107"/>
      <c r="AX336" s="107"/>
      <c r="AY336" s="107"/>
      <c r="AZ336" s="107"/>
      <c r="BA336" s="107"/>
      <c r="BB336" s="107"/>
      <c r="BC336" s="107"/>
      <c r="BD336" s="107"/>
      <c r="BE336" s="107"/>
      <c r="BF336" s="107"/>
      <c r="BG336" s="107"/>
      <c r="BH336" s="107"/>
    </row>
    <row r="337" spans="1:60" x14ac:dyDescent="0.25">
      <c r="A337" s="96"/>
      <c r="B337" s="97"/>
      <c r="C337" s="97"/>
      <c r="D337" s="97"/>
      <c r="E337" s="98"/>
      <c r="F337" s="99"/>
      <c r="G337" s="97"/>
      <c r="H337" s="99"/>
      <c r="I337" s="99"/>
      <c r="J337" s="100"/>
      <c r="K337" s="101"/>
      <c r="L337" s="102"/>
      <c r="M337" s="103"/>
      <c r="N337" s="104"/>
      <c r="O337" s="97"/>
      <c r="P337" s="97"/>
      <c r="Q337" s="97"/>
      <c r="R337" s="105"/>
      <c r="S337" s="97"/>
      <c r="T337" s="97"/>
      <c r="U337" s="97" t="str">
        <f t="shared" si="8"/>
        <v/>
      </c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7"/>
      <c r="BA337" s="97"/>
      <c r="BB337" s="97"/>
      <c r="BC337" s="97"/>
      <c r="BD337" s="97"/>
      <c r="BE337" s="97"/>
      <c r="BF337" s="97"/>
      <c r="BG337" s="97"/>
      <c r="BH337" s="97"/>
    </row>
    <row r="338" spans="1:60" x14ac:dyDescent="0.25">
      <c r="A338" s="106"/>
      <c r="B338" s="107"/>
      <c r="C338" s="107"/>
      <c r="D338" s="107"/>
      <c r="E338" s="108"/>
      <c r="F338" s="109"/>
      <c r="G338" s="107"/>
      <c r="H338" s="109"/>
      <c r="I338" s="110"/>
      <c r="J338" s="110"/>
      <c r="K338" s="111"/>
      <c r="L338" s="112"/>
      <c r="M338" s="113"/>
      <c r="N338" s="114"/>
      <c r="O338" s="107"/>
      <c r="P338" s="107"/>
      <c r="Q338" s="115"/>
      <c r="R338" s="116"/>
      <c r="S338" s="107"/>
      <c r="T338" s="107"/>
      <c r="U338" s="107" t="str">
        <f t="shared" si="8"/>
        <v/>
      </c>
      <c r="V338" s="107"/>
      <c r="W338" s="107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107"/>
      <c r="AI338" s="107"/>
      <c r="AJ338" s="107"/>
      <c r="AK338" s="107"/>
      <c r="AL338" s="107"/>
      <c r="AM338" s="107"/>
      <c r="AN338" s="107"/>
      <c r="AO338" s="107"/>
      <c r="AP338" s="107"/>
      <c r="AQ338" s="107"/>
      <c r="AR338" s="107"/>
      <c r="AS338" s="107"/>
      <c r="AT338" s="107"/>
      <c r="AU338" s="107"/>
      <c r="AV338" s="107"/>
      <c r="AW338" s="107"/>
      <c r="AX338" s="107"/>
      <c r="AY338" s="107"/>
      <c r="AZ338" s="107"/>
      <c r="BA338" s="107"/>
      <c r="BB338" s="107"/>
      <c r="BC338" s="107"/>
      <c r="BD338" s="107"/>
      <c r="BE338" s="107"/>
      <c r="BF338" s="107"/>
      <c r="BG338" s="107"/>
      <c r="BH338" s="107"/>
    </row>
    <row r="339" spans="1:60" x14ac:dyDescent="0.25">
      <c r="A339" s="96"/>
      <c r="B339" s="97"/>
      <c r="C339" s="97"/>
      <c r="D339" s="97"/>
      <c r="E339" s="98"/>
      <c r="F339" s="99"/>
      <c r="G339" s="97"/>
      <c r="H339" s="99"/>
      <c r="I339" s="99"/>
      <c r="J339" s="100"/>
      <c r="K339" s="101"/>
      <c r="L339" s="102"/>
      <c r="M339" s="103"/>
      <c r="N339" s="104"/>
      <c r="O339" s="97"/>
      <c r="P339" s="97"/>
      <c r="Q339" s="97"/>
      <c r="R339" s="105"/>
      <c r="S339" s="97"/>
      <c r="T339" s="97"/>
      <c r="U339" s="97" t="str">
        <f t="shared" si="8"/>
        <v/>
      </c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7"/>
      <c r="BA339" s="97"/>
      <c r="BB339" s="97"/>
      <c r="BC339" s="97"/>
      <c r="BD339" s="97"/>
      <c r="BE339" s="97"/>
      <c r="BF339" s="97"/>
      <c r="BG339" s="97"/>
      <c r="BH339" s="97"/>
    </row>
    <row r="340" spans="1:60" x14ac:dyDescent="0.25">
      <c r="A340" s="106"/>
      <c r="B340" s="107"/>
      <c r="C340" s="107"/>
      <c r="D340" s="107"/>
      <c r="E340" s="108"/>
      <c r="F340" s="109"/>
      <c r="G340" s="107"/>
      <c r="H340" s="109"/>
      <c r="I340" s="110"/>
      <c r="J340" s="110"/>
      <c r="K340" s="111"/>
      <c r="L340" s="112"/>
      <c r="M340" s="113"/>
      <c r="N340" s="114"/>
      <c r="O340" s="107"/>
      <c r="P340" s="107"/>
      <c r="Q340" s="115"/>
      <c r="R340" s="116"/>
      <c r="S340" s="107"/>
      <c r="T340" s="107"/>
      <c r="U340" s="107" t="str">
        <f t="shared" si="8"/>
        <v/>
      </c>
      <c r="V340" s="107"/>
      <c r="W340" s="107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AM340" s="107"/>
      <c r="AN340" s="107"/>
      <c r="AO340" s="107"/>
      <c r="AP340" s="107"/>
      <c r="AQ340" s="107"/>
      <c r="AR340" s="107"/>
      <c r="AS340" s="107"/>
      <c r="AT340" s="107"/>
      <c r="AU340" s="107"/>
      <c r="AV340" s="107"/>
      <c r="AW340" s="107"/>
      <c r="AX340" s="107"/>
      <c r="AY340" s="107"/>
      <c r="AZ340" s="107"/>
      <c r="BA340" s="107"/>
      <c r="BB340" s="107"/>
      <c r="BC340" s="107"/>
      <c r="BD340" s="107"/>
      <c r="BE340" s="107"/>
      <c r="BF340" s="107"/>
      <c r="BG340" s="107"/>
      <c r="BH340" s="107"/>
    </row>
    <row r="341" spans="1:60" x14ac:dyDescent="0.25">
      <c r="A341" s="96"/>
      <c r="B341" s="97"/>
      <c r="C341" s="97"/>
      <c r="D341" s="97"/>
      <c r="E341" s="98"/>
      <c r="F341" s="99"/>
      <c r="G341" s="97"/>
      <c r="H341" s="99"/>
      <c r="I341" s="99"/>
      <c r="J341" s="100"/>
      <c r="K341" s="101"/>
      <c r="L341" s="102"/>
      <c r="M341" s="103"/>
      <c r="N341" s="104"/>
      <c r="O341" s="97"/>
      <c r="P341" s="97"/>
      <c r="Q341" s="97"/>
      <c r="R341" s="105"/>
      <c r="S341" s="97"/>
      <c r="T341" s="97"/>
      <c r="U341" s="97" t="str">
        <f t="shared" si="8"/>
        <v/>
      </c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7"/>
      <c r="BA341" s="97"/>
      <c r="BB341" s="97"/>
      <c r="BC341" s="97"/>
      <c r="BD341" s="97"/>
      <c r="BE341" s="97"/>
      <c r="BF341" s="97"/>
      <c r="BG341" s="97"/>
      <c r="BH341" s="97"/>
    </row>
    <row r="342" spans="1:60" x14ac:dyDescent="0.25">
      <c r="A342" s="106"/>
      <c r="B342" s="107"/>
      <c r="C342" s="107"/>
      <c r="D342" s="107"/>
      <c r="E342" s="108"/>
      <c r="F342" s="109"/>
      <c r="G342" s="107"/>
      <c r="H342" s="109"/>
      <c r="I342" s="110"/>
      <c r="J342" s="110"/>
      <c r="K342" s="111"/>
      <c r="L342" s="112"/>
      <c r="M342" s="113"/>
      <c r="N342" s="114"/>
      <c r="O342" s="107"/>
      <c r="P342" s="107"/>
      <c r="Q342" s="115"/>
      <c r="R342" s="116"/>
      <c r="S342" s="107"/>
      <c r="T342" s="107"/>
      <c r="U342" s="107" t="str">
        <f t="shared" si="8"/>
        <v/>
      </c>
      <c r="V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107"/>
      <c r="AI342" s="107"/>
      <c r="AJ342" s="107"/>
      <c r="AK342" s="107"/>
      <c r="AL342" s="107"/>
      <c r="AM342" s="107"/>
      <c r="AN342" s="107"/>
      <c r="AO342" s="107"/>
      <c r="AP342" s="107"/>
      <c r="AQ342" s="107"/>
      <c r="AR342" s="107"/>
      <c r="AS342" s="107"/>
      <c r="AT342" s="107"/>
      <c r="AU342" s="107"/>
      <c r="AV342" s="107"/>
      <c r="AW342" s="107"/>
      <c r="AX342" s="107"/>
      <c r="AY342" s="107"/>
      <c r="AZ342" s="107"/>
      <c r="BA342" s="107"/>
      <c r="BB342" s="107"/>
      <c r="BC342" s="107"/>
      <c r="BD342" s="107"/>
      <c r="BE342" s="107"/>
      <c r="BF342" s="107"/>
      <c r="BG342" s="107"/>
      <c r="BH342" s="107"/>
    </row>
    <row r="343" spans="1:60" x14ac:dyDescent="0.25">
      <c r="A343" s="96"/>
      <c r="B343" s="97"/>
      <c r="C343" s="97"/>
      <c r="D343" s="97"/>
      <c r="E343" s="98"/>
      <c r="F343" s="99"/>
      <c r="G343" s="97"/>
      <c r="H343" s="99"/>
      <c r="I343" s="99"/>
      <c r="J343" s="100"/>
      <c r="K343" s="101"/>
      <c r="L343" s="102"/>
      <c r="M343" s="103"/>
      <c r="N343" s="104"/>
      <c r="O343" s="97"/>
      <c r="P343" s="97"/>
      <c r="Q343" s="97"/>
      <c r="R343" s="105"/>
      <c r="S343" s="97"/>
      <c r="T343" s="97"/>
      <c r="U343" s="97" t="str">
        <f t="shared" si="8"/>
        <v/>
      </c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/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7"/>
      <c r="BA343" s="97"/>
      <c r="BB343" s="97"/>
      <c r="BC343" s="97"/>
      <c r="BD343" s="97"/>
      <c r="BE343" s="97"/>
      <c r="BF343" s="97"/>
      <c r="BG343" s="97"/>
      <c r="BH343" s="97"/>
    </row>
    <row r="344" spans="1:60" x14ac:dyDescent="0.25">
      <c r="A344" s="106"/>
      <c r="B344" s="107"/>
      <c r="C344" s="107"/>
      <c r="D344" s="107"/>
      <c r="E344" s="108"/>
      <c r="F344" s="109"/>
      <c r="G344" s="107"/>
      <c r="H344" s="109"/>
      <c r="I344" s="110"/>
      <c r="J344" s="110"/>
      <c r="K344" s="111"/>
      <c r="L344" s="112"/>
      <c r="M344" s="113"/>
      <c r="N344" s="114"/>
      <c r="O344" s="107"/>
      <c r="P344" s="107"/>
      <c r="Q344" s="115"/>
      <c r="R344" s="116"/>
      <c r="S344" s="107"/>
      <c r="T344" s="107"/>
      <c r="U344" s="107" t="str">
        <f t="shared" si="8"/>
        <v/>
      </c>
      <c r="V344" s="107"/>
      <c r="W344" s="107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107"/>
      <c r="AI344" s="107"/>
      <c r="AJ344" s="107"/>
      <c r="AK344" s="107"/>
      <c r="AL344" s="107"/>
      <c r="AM344" s="107"/>
      <c r="AN344" s="107"/>
      <c r="AO344" s="107"/>
      <c r="AP344" s="107"/>
      <c r="AQ344" s="107"/>
      <c r="AR344" s="107"/>
      <c r="AS344" s="107"/>
      <c r="AT344" s="107"/>
      <c r="AU344" s="107"/>
      <c r="AV344" s="107"/>
      <c r="AW344" s="107"/>
      <c r="AX344" s="107"/>
      <c r="AY344" s="107"/>
      <c r="AZ344" s="107"/>
      <c r="BA344" s="107"/>
      <c r="BB344" s="107"/>
      <c r="BC344" s="107"/>
      <c r="BD344" s="107"/>
      <c r="BE344" s="107"/>
      <c r="BF344" s="107"/>
      <c r="BG344" s="107"/>
      <c r="BH344" s="107"/>
    </row>
    <row r="345" spans="1:60" x14ac:dyDescent="0.25">
      <c r="A345" s="96"/>
      <c r="B345" s="97"/>
      <c r="C345" s="97"/>
      <c r="D345" s="97"/>
      <c r="E345" s="98"/>
      <c r="F345" s="99"/>
      <c r="G345" s="97"/>
      <c r="H345" s="99"/>
      <c r="I345" s="99"/>
      <c r="J345" s="100"/>
      <c r="K345" s="101"/>
      <c r="L345" s="102"/>
      <c r="M345" s="103"/>
      <c r="N345" s="104"/>
      <c r="O345" s="97"/>
      <c r="P345" s="97"/>
      <c r="Q345" s="97"/>
      <c r="R345" s="105"/>
      <c r="S345" s="97"/>
      <c r="T345" s="97"/>
      <c r="U345" s="97" t="str">
        <f t="shared" si="8"/>
        <v/>
      </c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/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7"/>
      <c r="BA345" s="97"/>
      <c r="BB345" s="97"/>
      <c r="BC345" s="97"/>
      <c r="BD345" s="97"/>
      <c r="BE345" s="97"/>
      <c r="BF345" s="97"/>
      <c r="BG345" s="97"/>
      <c r="BH345" s="97"/>
    </row>
    <row r="346" spans="1:60" x14ac:dyDescent="0.25">
      <c r="A346" s="106"/>
      <c r="B346" s="107"/>
      <c r="C346" s="107"/>
      <c r="D346" s="107"/>
      <c r="E346" s="108"/>
      <c r="F346" s="109"/>
      <c r="G346" s="107"/>
      <c r="H346" s="109"/>
      <c r="I346" s="110"/>
      <c r="J346" s="110"/>
      <c r="K346" s="111"/>
      <c r="L346" s="112"/>
      <c r="M346" s="113"/>
      <c r="N346" s="114"/>
      <c r="O346" s="107"/>
      <c r="P346" s="107"/>
      <c r="Q346" s="115"/>
      <c r="R346" s="116"/>
      <c r="S346" s="107"/>
      <c r="T346" s="107"/>
      <c r="U346" s="107" t="str">
        <f t="shared" si="8"/>
        <v/>
      </c>
      <c r="V346" s="107"/>
      <c r="W346" s="107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R346" s="107"/>
      <c r="AS346" s="107"/>
      <c r="AT346" s="107"/>
      <c r="AU346" s="107"/>
      <c r="AV346" s="107"/>
      <c r="AW346" s="107"/>
      <c r="AX346" s="107"/>
      <c r="AY346" s="107"/>
      <c r="AZ346" s="107"/>
      <c r="BA346" s="107"/>
      <c r="BB346" s="107"/>
      <c r="BC346" s="107"/>
      <c r="BD346" s="107"/>
      <c r="BE346" s="107"/>
      <c r="BF346" s="107"/>
      <c r="BG346" s="107"/>
      <c r="BH346" s="107"/>
    </row>
    <row r="347" spans="1:60" x14ac:dyDescent="0.25">
      <c r="A347" s="96"/>
      <c r="B347" s="97"/>
      <c r="C347" s="97"/>
      <c r="D347" s="97"/>
      <c r="E347" s="98"/>
      <c r="F347" s="99"/>
      <c r="G347" s="97"/>
      <c r="H347" s="99"/>
      <c r="I347" s="99"/>
      <c r="J347" s="100"/>
      <c r="K347" s="101"/>
      <c r="L347" s="102"/>
      <c r="M347" s="103"/>
      <c r="N347" s="104"/>
      <c r="O347" s="97"/>
      <c r="P347" s="97"/>
      <c r="Q347" s="97"/>
      <c r="R347" s="105"/>
      <c r="S347" s="97"/>
      <c r="T347" s="97"/>
      <c r="U347" s="97" t="str">
        <f t="shared" si="8"/>
        <v/>
      </c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7"/>
      <c r="BA347" s="97"/>
      <c r="BB347" s="97"/>
      <c r="BC347" s="97"/>
      <c r="BD347" s="97"/>
      <c r="BE347" s="97"/>
      <c r="BF347" s="97"/>
      <c r="BG347" s="97"/>
      <c r="BH347" s="97"/>
    </row>
    <row r="348" spans="1:60" x14ac:dyDescent="0.25">
      <c r="A348" s="106"/>
      <c r="B348" s="107"/>
      <c r="C348" s="107"/>
      <c r="D348" s="107"/>
      <c r="E348" s="108"/>
      <c r="F348" s="109"/>
      <c r="G348" s="107"/>
      <c r="H348" s="109"/>
      <c r="I348" s="110"/>
      <c r="J348" s="110"/>
      <c r="K348" s="111"/>
      <c r="L348" s="112"/>
      <c r="M348" s="113"/>
      <c r="N348" s="114"/>
      <c r="O348" s="107"/>
      <c r="P348" s="107"/>
      <c r="Q348" s="115"/>
      <c r="R348" s="116"/>
      <c r="S348" s="107"/>
      <c r="T348" s="107"/>
      <c r="U348" s="107" t="str">
        <f t="shared" si="8"/>
        <v/>
      </c>
      <c r="V348" s="107"/>
      <c r="W348" s="107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107"/>
      <c r="AI348" s="107"/>
      <c r="AJ348" s="107"/>
      <c r="AK348" s="107"/>
      <c r="AL348" s="107"/>
      <c r="AM348" s="107"/>
      <c r="AN348" s="107"/>
      <c r="AO348" s="107"/>
      <c r="AP348" s="107"/>
      <c r="AQ348" s="107"/>
      <c r="AR348" s="107"/>
      <c r="AS348" s="107"/>
      <c r="AT348" s="107"/>
      <c r="AU348" s="107"/>
      <c r="AV348" s="107"/>
      <c r="AW348" s="107"/>
      <c r="AX348" s="107"/>
      <c r="AY348" s="107"/>
      <c r="AZ348" s="107"/>
      <c r="BA348" s="107"/>
      <c r="BB348" s="107"/>
      <c r="BC348" s="107"/>
      <c r="BD348" s="107"/>
      <c r="BE348" s="107"/>
      <c r="BF348" s="107"/>
      <c r="BG348" s="107"/>
      <c r="BH348" s="107"/>
    </row>
    <row r="349" spans="1:60" x14ac:dyDescent="0.25">
      <c r="A349" s="96"/>
      <c r="B349" s="97"/>
      <c r="C349" s="97"/>
      <c r="D349" s="97"/>
      <c r="E349" s="98"/>
      <c r="F349" s="99"/>
      <c r="G349" s="97"/>
      <c r="H349" s="99"/>
      <c r="I349" s="99"/>
      <c r="J349" s="100"/>
      <c r="K349" s="101"/>
      <c r="L349" s="102"/>
      <c r="M349" s="103"/>
      <c r="N349" s="104"/>
      <c r="O349" s="97"/>
      <c r="P349" s="97"/>
      <c r="Q349" s="97"/>
      <c r="R349" s="105"/>
      <c r="S349" s="97"/>
      <c r="T349" s="97"/>
      <c r="U349" s="97" t="str">
        <f t="shared" si="8"/>
        <v/>
      </c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7"/>
      <c r="BA349" s="97"/>
      <c r="BB349" s="97"/>
      <c r="BC349" s="97"/>
      <c r="BD349" s="97"/>
      <c r="BE349" s="97"/>
      <c r="BF349" s="97"/>
      <c r="BG349" s="97"/>
      <c r="BH349" s="97"/>
    </row>
    <row r="350" spans="1:60" x14ac:dyDescent="0.25">
      <c r="A350" s="106"/>
      <c r="B350" s="107"/>
      <c r="C350" s="107"/>
      <c r="D350" s="107"/>
      <c r="E350" s="108"/>
      <c r="F350" s="109"/>
      <c r="G350" s="107"/>
      <c r="H350" s="109"/>
      <c r="I350" s="110"/>
      <c r="J350" s="110"/>
      <c r="K350" s="111"/>
      <c r="L350" s="112"/>
      <c r="M350" s="113"/>
      <c r="N350" s="114"/>
      <c r="O350" s="107"/>
      <c r="P350" s="107"/>
      <c r="Q350" s="115"/>
      <c r="R350" s="116"/>
      <c r="S350" s="107"/>
      <c r="T350" s="107"/>
      <c r="U350" s="107" t="str">
        <f t="shared" si="8"/>
        <v/>
      </c>
      <c r="V350" s="107"/>
      <c r="W350" s="107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107"/>
      <c r="AI350" s="107"/>
      <c r="AJ350" s="107"/>
      <c r="AK350" s="107"/>
      <c r="AL350" s="107"/>
      <c r="AM350" s="107"/>
      <c r="AN350" s="107"/>
      <c r="AO350" s="107"/>
      <c r="AP350" s="107"/>
      <c r="AQ350" s="107"/>
      <c r="AR350" s="107"/>
      <c r="AS350" s="107"/>
      <c r="AT350" s="107"/>
      <c r="AU350" s="107"/>
      <c r="AV350" s="107"/>
      <c r="AW350" s="107"/>
      <c r="AX350" s="107"/>
      <c r="AY350" s="107"/>
      <c r="AZ350" s="107"/>
      <c r="BA350" s="107"/>
      <c r="BB350" s="107"/>
      <c r="BC350" s="107"/>
      <c r="BD350" s="107"/>
      <c r="BE350" s="107"/>
      <c r="BF350" s="107"/>
      <c r="BG350" s="107"/>
      <c r="BH350" s="107"/>
    </row>
    <row r="351" spans="1:60" x14ac:dyDescent="0.25">
      <c r="A351" s="96"/>
      <c r="B351" s="97"/>
      <c r="C351" s="97"/>
      <c r="D351" s="97"/>
      <c r="E351" s="98"/>
      <c r="F351" s="99"/>
      <c r="G351" s="97"/>
      <c r="H351" s="99"/>
      <c r="I351" s="99"/>
      <c r="J351" s="100"/>
      <c r="K351" s="101"/>
      <c r="L351" s="102"/>
      <c r="M351" s="103"/>
      <c r="N351" s="104"/>
      <c r="O351" s="97"/>
      <c r="P351" s="97"/>
      <c r="Q351" s="97"/>
      <c r="R351" s="105"/>
      <c r="S351" s="97"/>
      <c r="T351" s="97"/>
      <c r="U351" s="97" t="str">
        <f t="shared" si="8"/>
        <v/>
      </c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/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7"/>
      <c r="BA351" s="97"/>
      <c r="BB351" s="97"/>
      <c r="BC351" s="97"/>
      <c r="BD351" s="97"/>
      <c r="BE351" s="97"/>
      <c r="BF351" s="97"/>
      <c r="BG351" s="97"/>
      <c r="BH351" s="97"/>
    </row>
    <row r="352" spans="1:60" x14ac:dyDescent="0.25">
      <c r="A352" s="106"/>
      <c r="B352" s="107"/>
      <c r="C352" s="107"/>
      <c r="D352" s="107"/>
      <c r="E352" s="108"/>
      <c r="F352" s="109"/>
      <c r="G352" s="107"/>
      <c r="H352" s="109"/>
      <c r="I352" s="110"/>
      <c r="J352" s="110"/>
      <c r="K352" s="111"/>
      <c r="L352" s="112"/>
      <c r="M352" s="113"/>
      <c r="N352" s="114"/>
      <c r="O352" s="107"/>
      <c r="P352" s="107"/>
      <c r="Q352" s="115"/>
      <c r="R352" s="116"/>
      <c r="S352" s="107"/>
      <c r="T352" s="107"/>
      <c r="U352" s="107" t="str">
        <f t="shared" si="8"/>
        <v/>
      </c>
      <c r="V352" s="107"/>
      <c r="W352" s="107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107"/>
      <c r="AI352" s="107"/>
      <c r="AJ352" s="107"/>
      <c r="AK352" s="107"/>
      <c r="AL352" s="107"/>
      <c r="AM352" s="107"/>
      <c r="AN352" s="107"/>
      <c r="AO352" s="107"/>
      <c r="AP352" s="107"/>
      <c r="AQ352" s="107"/>
      <c r="AR352" s="107"/>
      <c r="AS352" s="107"/>
      <c r="AT352" s="107"/>
      <c r="AU352" s="107"/>
      <c r="AV352" s="107"/>
      <c r="AW352" s="107"/>
      <c r="AX352" s="107"/>
      <c r="AY352" s="107"/>
      <c r="AZ352" s="107"/>
      <c r="BA352" s="107"/>
      <c r="BB352" s="107"/>
      <c r="BC352" s="107"/>
      <c r="BD352" s="107"/>
      <c r="BE352" s="107"/>
      <c r="BF352" s="107"/>
      <c r="BG352" s="107"/>
      <c r="BH352" s="107"/>
    </row>
    <row r="353" spans="1:60" x14ac:dyDescent="0.25">
      <c r="A353" s="96"/>
      <c r="B353" s="97"/>
      <c r="C353" s="97"/>
      <c r="D353" s="97"/>
      <c r="E353" s="98"/>
      <c r="F353" s="99"/>
      <c r="G353" s="97"/>
      <c r="H353" s="99"/>
      <c r="I353" s="99"/>
      <c r="J353" s="100"/>
      <c r="K353" s="101"/>
      <c r="L353" s="102"/>
      <c r="M353" s="103"/>
      <c r="N353" s="104"/>
      <c r="O353" s="97"/>
      <c r="P353" s="97"/>
      <c r="Q353" s="97"/>
      <c r="R353" s="105"/>
      <c r="S353" s="97"/>
      <c r="T353" s="97"/>
      <c r="U353" s="97" t="str">
        <f t="shared" si="8"/>
        <v/>
      </c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7"/>
      <c r="BA353" s="97"/>
      <c r="BB353" s="97"/>
      <c r="BC353" s="97"/>
      <c r="BD353" s="97"/>
      <c r="BE353" s="97"/>
      <c r="BF353" s="97"/>
      <c r="BG353" s="97"/>
      <c r="BH353" s="97"/>
    </row>
    <row r="354" spans="1:60" x14ac:dyDescent="0.25">
      <c r="A354" s="106"/>
      <c r="B354" s="107"/>
      <c r="C354" s="107"/>
      <c r="D354" s="107"/>
      <c r="E354" s="108"/>
      <c r="F354" s="109"/>
      <c r="G354" s="107"/>
      <c r="H354" s="109"/>
      <c r="I354" s="110"/>
      <c r="J354" s="110"/>
      <c r="K354" s="111"/>
      <c r="L354" s="112"/>
      <c r="M354" s="113"/>
      <c r="N354" s="114"/>
      <c r="O354" s="107"/>
      <c r="P354" s="107"/>
      <c r="Q354" s="115"/>
      <c r="R354" s="116"/>
      <c r="S354" s="107"/>
      <c r="T354" s="107"/>
      <c r="U354" s="107" t="str">
        <f t="shared" si="8"/>
        <v/>
      </c>
      <c r="V354" s="107"/>
      <c r="W354" s="107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107"/>
      <c r="AI354" s="107"/>
      <c r="AJ354" s="107"/>
      <c r="AK354" s="107"/>
      <c r="AL354" s="107"/>
      <c r="AM354" s="107"/>
      <c r="AN354" s="107"/>
      <c r="AO354" s="107"/>
      <c r="AP354" s="107"/>
      <c r="AQ354" s="107"/>
      <c r="AR354" s="107"/>
      <c r="AS354" s="107"/>
      <c r="AT354" s="107"/>
      <c r="AU354" s="107"/>
      <c r="AV354" s="107"/>
      <c r="AW354" s="107"/>
      <c r="AX354" s="107"/>
      <c r="AY354" s="107"/>
      <c r="AZ354" s="107"/>
      <c r="BA354" s="107"/>
      <c r="BB354" s="107"/>
      <c r="BC354" s="107"/>
      <c r="BD354" s="107"/>
      <c r="BE354" s="107"/>
      <c r="BF354" s="107"/>
      <c r="BG354" s="107"/>
      <c r="BH354" s="107"/>
    </row>
    <row r="355" spans="1:60" x14ac:dyDescent="0.25">
      <c r="A355" s="96"/>
      <c r="B355" s="97"/>
      <c r="C355" s="97"/>
      <c r="D355" s="97"/>
      <c r="E355" s="98"/>
      <c r="F355" s="99"/>
      <c r="G355" s="97"/>
      <c r="H355" s="99"/>
      <c r="I355" s="99"/>
      <c r="J355" s="100"/>
      <c r="K355" s="101"/>
      <c r="L355" s="102"/>
      <c r="M355" s="103"/>
      <c r="N355" s="104"/>
      <c r="O355" s="97"/>
      <c r="P355" s="97"/>
      <c r="Q355" s="97"/>
      <c r="R355" s="105"/>
      <c r="S355" s="97"/>
      <c r="T355" s="97"/>
      <c r="U355" s="97" t="str">
        <f t="shared" si="8"/>
        <v/>
      </c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7"/>
      <c r="BA355" s="97"/>
      <c r="BB355" s="97"/>
      <c r="BC355" s="97"/>
      <c r="BD355" s="97"/>
      <c r="BE355" s="97"/>
      <c r="BF355" s="97"/>
      <c r="BG355" s="97"/>
      <c r="BH355" s="97"/>
    </row>
    <row r="356" spans="1:60" x14ac:dyDescent="0.25">
      <c r="A356" s="106"/>
      <c r="B356" s="107"/>
      <c r="C356" s="107"/>
      <c r="D356" s="107"/>
      <c r="E356" s="108"/>
      <c r="F356" s="109"/>
      <c r="G356" s="107"/>
      <c r="H356" s="109"/>
      <c r="I356" s="110"/>
      <c r="J356" s="110"/>
      <c r="K356" s="111"/>
      <c r="L356" s="112"/>
      <c r="M356" s="113"/>
      <c r="N356" s="114"/>
      <c r="O356" s="107"/>
      <c r="P356" s="107"/>
      <c r="Q356" s="115"/>
      <c r="R356" s="116"/>
      <c r="S356" s="107"/>
      <c r="T356" s="107"/>
      <c r="U356" s="107" t="str">
        <f t="shared" si="8"/>
        <v/>
      </c>
      <c r="V356" s="107"/>
      <c r="W356" s="107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107"/>
      <c r="AI356" s="107"/>
      <c r="AJ356" s="107"/>
      <c r="AK356" s="107"/>
      <c r="AL356" s="107"/>
      <c r="AM356" s="107"/>
      <c r="AN356" s="107"/>
      <c r="AO356" s="107"/>
      <c r="AP356" s="107"/>
      <c r="AQ356" s="107"/>
      <c r="AR356" s="107"/>
      <c r="AS356" s="107"/>
      <c r="AT356" s="107"/>
      <c r="AU356" s="107"/>
      <c r="AV356" s="107"/>
      <c r="AW356" s="107"/>
      <c r="AX356" s="107"/>
      <c r="AY356" s="107"/>
      <c r="AZ356" s="107"/>
      <c r="BA356" s="107"/>
      <c r="BB356" s="107"/>
      <c r="BC356" s="107"/>
      <c r="BD356" s="107"/>
      <c r="BE356" s="107"/>
      <c r="BF356" s="107"/>
      <c r="BG356" s="107"/>
      <c r="BH356" s="107"/>
    </row>
    <row r="357" spans="1:60" x14ac:dyDescent="0.25">
      <c r="A357" s="96"/>
      <c r="B357" s="97"/>
      <c r="C357" s="97"/>
      <c r="D357" s="97"/>
      <c r="E357" s="98"/>
      <c r="F357" s="99"/>
      <c r="G357" s="97"/>
      <c r="H357" s="99"/>
      <c r="I357" s="99"/>
      <c r="J357" s="100"/>
      <c r="K357" s="101"/>
      <c r="L357" s="102"/>
      <c r="M357" s="103"/>
      <c r="N357" s="104"/>
      <c r="O357" s="97"/>
      <c r="P357" s="97"/>
      <c r="Q357" s="97"/>
      <c r="R357" s="105"/>
      <c r="S357" s="97"/>
      <c r="T357" s="97"/>
      <c r="U357" s="97" t="str">
        <f t="shared" si="8"/>
        <v/>
      </c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7"/>
      <c r="BA357" s="97"/>
      <c r="BB357" s="97"/>
      <c r="BC357" s="97"/>
      <c r="BD357" s="97"/>
      <c r="BE357" s="97"/>
      <c r="BF357" s="97"/>
      <c r="BG357" s="97"/>
      <c r="BH357" s="97"/>
    </row>
    <row r="358" spans="1:60" x14ac:dyDescent="0.25">
      <c r="A358" s="106"/>
      <c r="B358" s="107"/>
      <c r="C358" s="107"/>
      <c r="D358" s="107"/>
      <c r="E358" s="108"/>
      <c r="F358" s="109"/>
      <c r="G358" s="107"/>
      <c r="H358" s="109"/>
      <c r="I358" s="110"/>
      <c r="J358" s="110"/>
      <c r="K358" s="111"/>
      <c r="L358" s="112"/>
      <c r="M358" s="113"/>
      <c r="N358" s="114"/>
      <c r="O358" s="107"/>
      <c r="P358" s="107"/>
      <c r="Q358" s="115"/>
      <c r="R358" s="116"/>
      <c r="S358" s="107"/>
      <c r="T358" s="107"/>
      <c r="U358" s="107" t="str">
        <f t="shared" si="8"/>
        <v/>
      </c>
      <c r="V358" s="107"/>
      <c r="W358" s="107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107"/>
      <c r="AI358" s="107"/>
      <c r="AJ358" s="107"/>
      <c r="AK358" s="107"/>
      <c r="AL358" s="107"/>
      <c r="AM358" s="107"/>
      <c r="AN358" s="107"/>
      <c r="AO358" s="107"/>
      <c r="AP358" s="107"/>
      <c r="AQ358" s="107"/>
      <c r="AR358" s="107"/>
      <c r="AS358" s="107"/>
      <c r="AT358" s="107"/>
      <c r="AU358" s="107"/>
      <c r="AV358" s="107"/>
      <c r="AW358" s="107"/>
      <c r="AX358" s="107"/>
      <c r="AY358" s="107"/>
      <c r="AZ358" s="107"/>
      <c r="BA358" s="107"/>
      <c r="BB358" s="107"/>
      <c r="BC358" s="107"/>
      <c r="BD358" s="107"/>
      <c r="BE358" s="107"/>
      <c r="BF358" s="107"/>
      <c r="BG358" s="107"/>
      <c r="BH358" s="107"/>
    </row>
    <row r="359" spans="1:60" x14ac:dyDescent="0.25">
      <c r="A359" s="96"/>
      <c r="B359" s="97"/>
      <c r="C359" s="97"/>
      <c r="D359" s="97"/>
      <c r="E359" s="98"/>
      <c r="F359" s="99"/>
      <c r="G359" s="97"/>
      <c r="H359" s="99"/>
      <c r="I359" s="99"/>
      <c r="J359" s="100"/>
      <c r="K359" s="101"/>
      <c r="L359" s="102"/>
      <c r="M359" s="103"/>
      <c r="N359" s="104"/>
      <c r="O359" s="97"/>
      <c r="P359" s="97"/>
      <c r="Q359" s="97"/>
      <c r="R359" s="105"/>
      <c r="S359" s="97"/>
      <c r="T359" s="97"/>
      <c r="U359" s="97" t="str">
        <f t="shared" si="8"/>
        <v/>
      </c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/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7"/>
      <c r="BA359" s="97"/>
      <c r="BB359" s="97"/>
      <c r="BC359" s="97"/>
      <c r="BD359" s="97"/>
      <c r="BE359" s="97"/>
      <c r="BF359" s="97"/>
      <c r="BG359" s="97"/>
      <c r="BH359" s="97"/>
    </row>
    <row r="360" spans="1:60" x14ac:dyDescent="0.25">
      <c r="A360" s="106"/>
      <c r="B360" s="107"/>
      <c r="C360" s="107"/>
      <c r="D360" s="107"/>
      <c r="E360" s="108"/>
      <c r="F360" s="109"/>
      <c r="G360" s="107"/>
      <c r="H360" s="109"/>
      <c r="I360" s="110"/>
      <c r="J360" s="110"/>
      <c r="K360" s="111"/>
      <c r="L360" s="112"/>
      <c r="M360" s="113"/>
      <c r="N360" s="114"/>
      <c r="O360" s="107"/>
      <c r="P360" s="107"/>
      <c r="Q360" s="115"/>
      <c r="R360" s="116"/>
      <c r="S360" s="107"/>
      <c r="T360" s="107"/>
      <c r="U360" s="107" t="str">
        <f t="shared" si="8"/>
        <v/>
      </c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AR360" s="107"/>
      <c r="AS360" s="107"/>
      <c r="AT360" s="107"/>
      <c r="AU360" s="107"/>
      <c r="AV360" s="107"/>
      <c r="AW360" s="107"/>
      <c r="AX360" s="107"/>
      <c r="AY360" s="107"/>
      <c r="AZ360" s="107"/>
      <c r="BA360" s="107"/>
      <c r="BB360" s="107"/>
      <c r="BC360" s="107"/>
      <c r="BD360" s="107"/>
      <c r="BE360" s="107"/>
      <c r="BF360" s="107"/>
      <c r="BG360" s="107"/>
      <c r="BH360" s="107"/>
    </row>
    <row r="361" spans="1:60" x14ac:dyDescent="0.25">
      <c r="A361" s="96"/>
      <c r="B361" s="97"/>
      <c r="C361" s="97"/>
      <c r="D361" s="97"/>
      <c r="E361" s="98"/>
      <c r="F361" s="99"/>
      <c r="G361" s="97"/>
      <c r="H361" s="99"/>
      <c r="I361" s="99"/>
      <c r="J361" s="100"/>
      <c r="K361" s="101"/>
      <c r="L361" s="102"/>
      <c r="M361" s="103"/>
      <c r="N361" s="104"/>
      <c r="O361" s="97"/>
      <c r="P361" s="97"/>
      <c r="Q361" s="97"/>
      <c r="R361" s="105"/>
      <c r="S361" s="97"/>
      <c r="T361" s="97"/>
      <c r="U361" s="97" t="str">
        <f t="shared" si="8"/>
        <v/>
      </c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7"/>
      <c r="BA361" s="97"/>
      <c r="BB361" s="97"/>
      <c r="BC361" s="97"/>
      <c r="BD361" s="97"/>
      <c r="BE361" s="97"/>
      <c r="BF361" s="97"/>
      <c r="BG361" s="97"/>
      <c r="BH361" s="97"/>
    </row>
    <row r="362" spans="1:60" x14ac:dyDescent="0.25">
      <c r="A362" s="106"/>
      <c r="B362" s="107"/>
      <c r="C362" s="107"/>
      <c r="D362" s="107"/>
      <c r="E362" s="108"/>
      <c r="F362" s="109"/>
      <c r="G362" s="107"/>
      <c r="H362" s="109"/>
      <c r="I362" s="110"/>
      <c r="J362" s="110"/>
      <c r="K362" s="111"/>
      <c r="L362" s="112"/>
      <c r="M362" s="113"/>
      <c r="N362" s="114"/>
      <c r="O362" s="107"/>
      <c r="P362" s="107"/>
      <c r="Q362" s="115"/>
      <c r="R362" s="116"/>
      <c r="S362" s="107"/>
      <c r="T362" s="107"/>
      <c r="U362" s="107" t="str">
        <f t="shared" si="8"/>
        <v/>
      </c>
      <c r="V362" s="107"/>
      <c r="W362" s="107"/>
      <c r="X362" s="107"/>
      <c r="Y362" s="107"/>
      <c r="Z362" s="107"/>
      <c r="AA362" s="107"/>
      <c r="AB362" s="107"/>
      <c r="AC362" s="107"/>
      <c r="AD362" s="107"/>
      <c r="AE362" s="107"/>
      <c r="AF362" s="107"/>
      <c r="AG362" s="107"/>
      <c r="AH362" s="107"/>
      <c r="AI362" s="107"/>
      <c r="AJ362" s="107"/>
      <c r="AK362" s="107"/>
      <c r="AL362" s="107"/>
      <c r="AM362" s="107"/>
      <c r="AN362" s="107"/>
      <c r="AO362" s="107"/>
      <c r="AP362" s="107"/>
      <c r="AQ362" s="107"/>
      <c r="AR362" s="107"/>
      <c r="AS362" s="107"/>
      <c r="AT362" s="107"/>
      <c r="AU362" s="107"/>
      <c r="AV362" s="107"/>
      <c r="AW362" s="107"/>
      <c r="AX362" s="107"/>
      <c r="AY362" s="107"/>
      <c r="AZ362" s="107"/>
      <c r="BA362" s="107"/>
      <c r="BB362" s="107"/>
      <c r="BC362" s="107"/>
      <c r="BD362" s="107"/>
      <c r="BE362" s="107"/>
      <c r="BF362" s="107"/>
      <c r="BG362" s="107"/>
      <c r="BH362" s="107"/>
    </row>
    <row r="363" spans="1:60" x14ac:dyDescent="0.25">
      <c r="A363" s="96"/>
      <c r="B363" s="97"/>
      <c r="C363" s="97"/>
      <c r="D363" s="97"/>
      <c r="E363" s="98"/>
      <c r="F363" s="99"/>
      <c r="G363" s="97"/>
      <c r="H363" s="99"/>
      <c r="I363" s="99"/>
      <c r="J363" s="100"/>
      <c r="K363" s="101"/>
      <c r="L363" s="102"/>
      <c r="M363" s="103"/>
      <c r="N363" s="104"/>
      <c r="O363" s="97"/>
      <c r="P363" s="97"/>
      <c r="Q363" s="97"/>
      <c r="R363" s="105"/>
      <c r="S363" s="97"/>
      <c r="T363" s="97"/>
      <c r="U363" s="97" t="str">
        <f t="shared" si="8"/>
        <v/>
      </c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7"/>
      <c r="BA363" s="97"/>
      <c r="BB363" s="97"/>
      <c r="BC363" s="97"/>
      <c r="BD363" s="97"/>
      <c r="BE363" s="97"/>
      <c r="BF363" s="97"/>
      <c r="BG363" s="97"/>
      <c r="BH363" s="97"/>
    </row>
    <row r="364" spans="1:60" x14ac:dyDescent="0.25">
      <c r="A364" s="106"/>
      <c r="B364" s="107"/>
      <c r="C364" s="107"/>
      <c r="D364" s="107"/>
      <c r="E364" s="108"/>
      <c r="F364" s="109"/>
      <c r="G364" s="107"/>
      <c r="H364" s="109"/>
      <c r="I364" s="110"/>
      <c r="J364" s="110"/>
      <c r="K364" s="111"/>
      <c r="L364" s="112"/>
      <c r="M364" s="113"/>
      <c r="N364" s="114"/>
      <c r="O364" s="107"/>
      <c r="P364" s="107"/>
      <c r="Q364" s="115"/>
      <c r="R364" s="116"/>
      <c r="S364" s="107"/>
      <c r="T364" s="107"/>
      <c r="U364" s="107" t="str">
        <f t="shared" si="8"/>
        <v/>
      </c>
      <c r="V364" s="107"/>
      <c r="W364" s="107"/>
      <c r="X364" s="107"/>
      <c r="Y364" s="107"/>
      <c r="Z364" s="107"/>
      <c r="AA364" s="107"/>
      <c r="AB364" s="107"/>
      <c r="AC364" s="107"/>
      <c r="AD364" s="107"/>
      <c r="AE364" s="107"/>
      <c r="AF364" s="107"/>
      <c r="AG364" s="107"/>
      <c r="AH364" s="107"/>
      <c r="AI364" s="107"/>
      <c r="AJ364" s="107"/>
      <c r="AK364" s="107"/>
      <c r="AL364" s="107"/>
      <c r="AM364" s="107"/>
      <c r="AN364" s="107"/>
      <c r="AO364" s="107"/>
      <c r="AP364" s="107"/>
      <c r="AQ364" s="107"/>
      <c r="AR364" s="107"/>
      <c r="AS364" s="107"/>
      <c r="AT364" s="107"/>
      <c r="AU364" s="107"/>
      <c r="AV364" s="107"/>
      <c r="AW364" s="107"/>
      <c r="AX364" s="107"/>
      <c r="AY364" s="107"/>
      <c r="AZ364" s="107"/>
      <c r="BA364" s="107"/>
      <c r="BB364" s="107"/>
      <c r="BC364" s="107"/>
      <c r="BD364" s="107"/>
      <c r="BE364" s="107"/>
      <c r="BF364" s="107"/>
      <c r="BG364" s="107"/>
      <c r="BH364" s="107"/>
    </row>
    <row r="365" spans="1:60" x14ac:dyDescent="0.25">
      <c r="A365" s="96"/>
      <c r="B365" s="97"/>
      <c r="C365" s="97"/>
      <c r="D365" s="97"/>
      <c r="E365" s="98"/>
      <c r="F365" s="99"/>
      <c r="G365" s="97"/>
      <c r="H365" s="99"/>
      <c r="I365" s="99"/>
      <c r="J365" s="100"/>
      <c r="K365" s="101"/>
      <c r="L365" s="102"/>
      <c r="M365" s="103"/>
      <c r="N365" s="104"/>
      <c r="O365" s="97"/>
      <c r="P365" s="97"/>
      <c r="Q365" s="97"/>
      <c r="R365" s="105"/>
      <c r="S365" s="97"/>
      <c r="T365" s="97"/>
      <c r="U365" s="97" t="str">
        <f t="shared" si="8"/>
        <v/>
      </c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7"/>
      <c r="BA365" s="97"/>
      <c r="BB365" s="97"/>
      <c r="BC365" s="97"/>
      <c r="BD365" s="97"/>
      <c r="BE365" s="97"/>
      <c r="BF365" s="97"/>
      <c r="BG365" s="97"/>
      <c r="BH365" s="97"/>
    </row>
    <row r="366" spans="1:60" x14ac:dyDescent="0.25">
      <c r="A366" s="106"/>
      <c r="B366" s="107"/>
      <c r="C366" s="107"/>
      <c r="D366" s="107"/>
      <c r="E366" s="108"/>
      <c r="F366" s="109"/>
      <c r="G366" s="107"/>
      <c r="H366" s="109"/>
      <c r="I366" s="110"/>
      <c r="J366" s="110"/>
      <c r="K366" s="111"/>
      <c r="L366" s="112"/>
      <c r="M366" s="113"/>
      <c r="N366" s="114"/>
      <c r="O366" s="107"/>
      <c r="P366" s="107"/>
      <c r="Q366" s="115"/>
      <c r="R366" s="116"/>
      <c r="S366" s="107"/>
      <c r="T366" s="107"/>
      <c r="U366" s="107" t="str">
        <f t="shared" si="8"/>
        <v/>
      </c>
      <c r="V366" s="107"/>
      <c r="W366" s="107"/>
      <c r="X366" s="107"/>
      <c r="Y366" s="107"/>
      <c r="Z366" s="107"/>
      <c r="AA366" s="107"/>
      <c r="AB366" s="107"/>
      <c r="AC366" s="107"/>
      <c r="AD366" s="107"/>
      <c r="AE366" s="107"/>
      <c r="AF366" s="107"/>
      <c r="AG366" s="107"/>
      <c r="AH366" s="107"/>
      <c r="AI366" s="107"/>
      <c r="AJ366" s="107"/>
      <c r="AK366" s="107"/>
      <c r="AL366" s="107"/>
      <c r="AM366" s="107"/>
      <c r="AN366" s="107"/>
      <c r="AO366" s="107"/>
      <c r="AP366" s="107"/>
      <c r="AQ366" s="107"/>
      <c r="AR366" s="107"/>
      <c r="AS366" s="107"/>
      <c r="AT366" s="107"/>
      <c r="AU366" s="107"/>
      <c r="AV366" s="107"/>
      <c r="AW366" s="107"/>
      <c r="AX366" s="107"/>
      <c r="AY366" s="107"/>
      <c r="AZ366" s="107"/>
      <c r="BA366" s="107"/>
      <c r="BB366" s="107"/>
      <c r="BC366" s="107"/>
      <c r="BD366" s="107"/>
      <c r="BE366" s="107"/>
      <c r="BF366" s="107"/>
      <c r="BG366" s="107"/>
      <c r="BH366" s="107"/>
    </row>
    <row r="367" spans="1:60" x14ac:dyDescent="0.25">
      <c r="A367" s="96"/>
      <c r="B367" s="97"/>
      <c r="C367" s="97"/>
      <c r="D367" s="97"/>
      <c r="E367" s="98"/>
      <c r="F367" s="99"/>
      <c r="G367" s="97"/>
      <c r="H367" s="99"/>
      <c r="I367" s="99"/>
      <c r="J367" s="100"/>
      <c r="K367" s="101"/>
      <c r="L367" s="102"/>
      <c r="M367" s="103"/>
      <c r="N367" s="104"/>
      <c r="O367" s="97"/>
      <c r="P367" s="97"/>
      <c r="Q367" s="97"/>
      <c r="R367" s="105"/>
      <c r="S367" s="97"/>
      <c r="T367" s="97"/>
      <c r="U367" s="97" t="str">
        <f t="shared" si="8"/>
        <v/>
      </c>
      <c r="V367" s="97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7"/>
      <c r="BA367" s="97"/>
      <c r="BB367" s="97"/>
      <c r="BC367" s="97"/>
      <c r="BD367" s="97"/>
      <c r="BE367" s="97"/>
      <c r="BF367" s="97"/>
      <c r="BG367" s="97"/>
      <c r="BH367" s="97"/>
    </row>
    <row r="368" spans="1:60" x14ac:dyDescent="0.25">
      <c r="A368" s="106"/>
      <c r="B368" s="107"/>
      <c r="C368" s="107"/>
      <c r="D368" s="107"/>
      <c r="E368" s="108"/>
      <c r="F368" s="109"/>
      <c r="G368" s="107"/>
      <c r="H368" s="109"/>
      <c r="I368" s="110"/>
      <c r="J368" s="110"/>
      <c r="K368" s="111"/>
      <c r="L368" s="112"/>
      <c r="M368" s="113"/>
      <c r="N368" s="114"/>
      <c r="O368" s="107"/>
      <c r="P368" s="107"/>
      <c r="Q368" s="115"/>
      <c r="R368" s="116"/>
      <c r="S368" s="107"/>
      <c r="T368" s="107"/>
      <c r="U368" s="107" t="str">
        <f t="shared" si="8"/>
        <v/>
      </c>
      <c r="V368" s="107"/>
      <c r="W368" s="107"/>
      <c r="X368" s="107"/>
      <c r="Y368" s="107"/>
      <c r="Z368" s="107"/>
      <c r="AA368" s="107"/>
      <c r="AB368" s="107"/>
      <c r="AC368" s="107"/>
      <c r="AD368" s="107"/>
      <c r="AE368" s="107"/>
      <c r="AF368" s="107"/>
      <c r="AG368" s="107"/>
      <c r="AH368" s="107"/>
      <c r="AI368" s="107"/>
      <c r="AJ368" s="107"/>
      <c r="AK368" s="107"/>
      <c r="AL368" s="107"/>
      <c r="AM368" s="107"/>
      <c r="AN368" s="107"/>
      <c r="AO368" s="107"/>
      <c r="AP368" s="107"/>
      <c r="AQ368" s="107"/>
      <c r="AR368" s="107"/>
      <c r="AS368" s="107"/>
      <c r="AT368" s="107"/>
      <c r="AU368" s="107"/>
      <c r="AV368" s="107"/>
      <c r="AW368" s="107"/>
      <c r="AX368" s="107"/>
      <c r="AY368" s="107"/>
      <c r="AZ368" s="107"/>
      <c r="BA368" s="107"/>
      <c r="BB368" s="107"/>
      <c r="BC368" s="107"/>
      <c r="BD368" s="107"/>
      <c r="BE368" s="107"/>
      <c r="BF368" s="107"/>
      <c r="BG368" s="107"/>
      <c r="BH368" s="107"/>
    </row>
    <row r="369" spans="1:60" x14ac:dyDescent="0.25">
      <c r="A369" s="96"/>
      <c r="B369" s="97"/>
      <c r="C369" s="97"/>
      <c r="D369" s="97"/>
      <c r="E369" s="98"/>
      <c r="F369" s="99"/>
      <c r="G369" s="97"/>
      <c r="H369" s="99"/>
      <c r="I369" s="99"/>
      <c r="J369" s="100"/>
      <c r="K369" s="101"/>
      <c r="L369" s="102"/>
      <c r="M369" s="103"/>
      <c r="N369" s="104"/>
      <c r="O369" s="97"/>
      <c r="P369" s="97"/>
      <c r="Q369" s="97"/>
      <c r="R369" s="105"/>
      <c r="S369" s="97"/>
      <c r="T369" s="97"/>
      <c r="U369" s="97" t="str">
        <f t="shared" si="8"/>
        <v/>
      </c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7"/>
      <c r="BG369" s="97"/>
      <c r="BH369" s="97"/>
    </row>
    <row r="370" spans="1:60" x14ac:dyDescent="0.25">
      <c r="A370" s="106"/>
      <c r="B370" s="107"/>
      <c r="C370" s="107"/>
      <c r="D370" s="107"/>
      <c r="E370" s="108"/>
      <c r="F370" s="109"/>
      <c r="G370" s="107"/>
      <c r="H370" s="109"/>
      <c r="I370" s="110"/>
      <c r="J370" s="110"/>
      <c r="K370" s="111"/>
      <c r="L370" s="112"/>
      <c r="M370" s="113"/>
      <c r="N370" s="114"/>
      <c r="O370" s="107"/>
      <c r="P370" s="107"/>
      <c r="Q370" s="115"/>
      <c r="R370" s="116"/>
      <c r="S370" s="107"/>
      <c r="T370" s="107"/>
      <c r="U370" s="107" t="str">
        <f t="shared" si="8"/>
        <v/>
      </c>
      <c r="V370" s="107"/>
      <c r="W370" s="107"/>
      <c r="X370" s="107"/>
      <c r="Y370" s="107"/>
      <c r="Z370" s="107"/>
      <c r="AA370" s="107"/>
      <c r="AB370" s="107"/>
      <c r="AC370" s="107"/>
      <c r="AD370" s="107"/>
      <c r="AE370" s="107"/>
      <c r="AF370" s="107"/>
      <c r="AG370" s="107"/>
      <c r="AH370" s="107"/>
      <c r="AI370" s="107"/>
      <c r="AJ370" s="107"/>
      <c r="AK370" s="107"/>
      <c r="AL370" s="107"/>
      <c r="AM370" s="107"/>
      <c r="AN370" s="107"/>
      <c r="AO370" s="107"/>
      <c r="AP370" s="107"/>
      <c r="AQ370" s="107"/>
      <c r="AR370" s="107"/>
      <c r="AS370" s="107"/>
      <c r="AT370" s="107"/>
      <c r="AU370" s="107"/>
      <c r="AV370" s="107"/>
      <c r="AW370" s="107"/>
      <c r="AX370" s="107"/>
      <c r="AY370" s="107"/>
      <c r="AZ370" s="107"/>
      <c r="BA370" s="107"/>
      <c r="BB370" s="107"/>
      <c r="BC370" s="107"/>
      <c r="BD370" s="107"/>
      <c r="BE370" s="107"/>
      <c r="BF370" s="107"/>
      <c r="BG370" s="107"/>
      <c r="BH370" s="107"/>
    </row>
    <row r="371" spans="1:60" x14ac:dyDescent="0.25">
      <c r="A371" s="96"/>
      <c r="B371" s="97"/>
      <c r="C371" s="97"/>
      <c r="D371" s="97"/>
      <c r="E371" s="98"/>
      <c r="F371" s="99"/>
      <c r="G371" s="97"/>
      <c r="H371" s="99"/>
      <c r="I371" s="99"/>
      <c r="J371" s="100"/>
      <c r="K371" s="101"/>
      <c r="L371" s="102"/>
      <c r="M371" s="103"/>
      <c r="N371" s="104"/>
      <c r="O371" s="97"/>
      <c r="P371" s="97"/>
      <c r="Q371" s="97"/>
      <c r="R371" s="105"/>
      <c r="S371" s="97"/>
      <c r="T371" s="97"/>
      <c r="U371" s="97" t="str">
        <f t="shared" si="8"/>
        <v/>
      </c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7"/>
      <c r="BA371" s="97"/>
      <c r="BB371" s="97"/>
      <c r="BC371" s="97"/>
      <c r="BD371" s="97"/>
      <c r="BE371" s="97"/>
      <c r="BF371" s="97"/>
      <c r="BG371" s="97"/>
      <c r="BH371" s="97"/>
    </row>
    <row r="372" spans="1:60" x14ac:dyDescent="0.25">
      <c r="A372" s="106"/>
      <c r="B372" s="107"/>
      <c r="C372" s="107"/>
      <c r="D372" s="107"/>
      <c r="E372" s="108"/>
      <c r="F372" s="109"/>
      <c r="G372" s="107"/>
      <c r="H372" s="109"/>
      <c r="I372" s="110"/>
      <c r="J372" s="110"/>
      <c r="K372" s="111"/>
      <c r="L372" s="112"/>
      <c r="M372" s="113"/>
      <c r="N372" s="114"/>
      <c r="O372" s="107"/>
      <c r="P372" s="107"/>
      <c r="Q372" s="115"/>
      <c r="R372" s="116"/>
      <c r="S372" s="107"/>
      <c r="T372" s="107"/>
      <c r="U372" s="107" t="str">
        <f t="shared" si="8"/>
        <v/>
      </c>
      <c r="V372" s="107"/>
      <c r="W372" s="107"/>
      <c r="X372" s="107"/>
      <c r="Y372" s="107"/>
      <c r="Z372" s="107"/>
      <c r="AA372" s="107"/>
      <c r="AB372" s="107"/>
      <c r="AC372" s="107"/>
      <c r="AD372" s="107"/>
      <c r="AE372" s="107"/>
      <c r="AF372" s="107"/>
      <c r="AG372" s="107"/>
      <c r="AH372" s="107"/>
      <c r="AI372" s="107"/>
      <c r="AJ372" s="107"/>
      <c r="AK372" s="107"/>
      <c r="AL372" s="107"/>
      <c r="AM372" s="107"/>
      <c r="AN372" s="107"/>
      <c r="AO372" s="107"/>
      <c r="AP372" s="107"/>
      <c r="AQ372" s="107"/>
      <c r="AR372" s="107"/>
      <c r="AS372" s="107"/>
      <c r="AT372" s="107"/>
      <c r="AU372" s="107"/>
      <c r="AV372" s="107"/>
      <c r="AW372" s="107"/>
      <c r="AX372" s="107"/>
      <c r="AY372" s="107"/>
      <c r="AZ372" s="107"/>
      <c r="BA372" s="107"/>
      <c r="BB372" s="107"/>
      <c r="BC372" s="107"/>
      <c r="BD372" s="107"/>
      <c r="BE372" s="107"/>
      <c r="BF372" s="107"/>
      <c r="BG372" s="107"/>
      <c r="BH372" s="107"/>
    </row>
    <row r="373" spans="1:60" x14ac:dyDescent="0.25">
      <c r="A373" s="96"/>
      <c r="B373" s="97"/>
      <c r="C373" s="97"/>
      <c r="D373" s="97"/>
      <c r="E373" s="98"/>
      <c r="F373" s="99"/>
      <c r="G373" s="97"/>
      <c r="H373" s="99"/>
      <c r="I373" s="99"/>
      <c r="J373" s="100"/>
      <c r="K373" s="101"/>
      <c r="L373" s="102"/>
      <c r="M373" s="103"/>
      <c r="N373" s="104"/>
      <c r="O373" s="97"/>
      <c r="P373" s="97"/>
      <c r="Q373" s="97"/>
      <c r="R373" s="105"/>
      <c r="S373" s="97"/>
      <c r="T373" s="97"/>
      <c r="U373" s="97" t="str">
        <f t="shared" si="8"/>
        <v/>
      </c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/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7"/>
      <c r="BA373" s="97"/>
      <c r="BB373" s="97"/>
      <c r="BC373" s="97"/>
      <c r="BD373" s="97"/>
      <c r="BE373" s="97"/>
      <c r="BF373" s="97"/>
      <c r="BG373" s="97"/>
      <c r="BH373" s="97"/>
    </row>
    <row r="374" spans="1:60" x14ac:dyDescent="0.25">
      <c r="A374" s="106"/>
      <c r="B374" s="107"/>
      <c r="C374" s="107"/>
      <c r="D374" s="107"/>
      <c r="E374" s="108"/>
      <c r="F374" s="109"/>
      <c r="G374" s="107"/>
      <c r="H374" s="109"/>
      <c r="I374" s="110"/>
      <c r="J374" s="110"/>
      <c r="K374" s="111"/>
      <c r="L374" s="112"/>
      <c r="M374" s="113"/>
      <c r="N374" s="114"/>
      <c r="O374" s="107"/>
      <c r="P374" s="107"/>
      <c r="Q374" s="115"/>
      <c r="R374" s="116"/>
      <c r="S374" s="107"/>
      <c r="T374" s="107"/>
      <c r="U374" s="107" t="str">
        <f t="shared" si="8"/>
        <v/>
      </c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107"/>
      <c r="AN374" s="107"/>
      <c r="AO374" s="107"/>
      <c r="AP374" s="107"/>
      <c r="AQ374" s="107"/>
      <c r="AR374" s="107"/>
      <c r="AS374" s="107"/>
      <c r="AT374" s="107"/>
      <c r="AU374" s="107"/>
      <c r="AV374" s="107"/>
      <c r="AW374" s="107"/>
      <c r="AX374" s="107"/>
      <c r="AY374" s="107"/>
      <c r="AZ374" s="107"/>
      <c r="BA374" s="107"/>
      <c r="BB374" s="107"/>
      <c r="BC374" s="107"/>
      <c r="BD374" s="107"/>
      <c r="BE374" s="107"/>
      <c r="BF374" s="107"/>
      <c r="BG374" s="107"/>
      <c r="BH374" s="107"/>
    </row>
    <row r="375" spans="1:60" x14ac:dyDescent="0.25">
      <c r="A375" s="96"/>
      <c r="B375" s="97"/>
      <c r="C375" s="97"/>
      <c r="D375" s="97"/>
      <c r="E375" s="98"/>
      <c r="F375" s="99"/>
      <c r="G375" s="97"/>
      <c r="H375" s="99"/>
      <c r="I375" s="99"/>
      <c r="J375" s="100"/>
      <c r="K375" s="101"/>
      <c r="L375" s="102"/>
      <c r="M375" s="103"/>
      <c r="N375" s="104"/>
      <c r="O375" s="97"/>
      <c r="P375" s="97"/>
      <c r="Q375" s="97"/>
      <c r="R375" s="105"/>
      <c r="S375" s="97"/>
      <c r="T375" s="97"/>
      <c r="U375" s="97" t="str">
        <f t="shared" si="8"/>
        <v/>
      </c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7"/>
      <c r="BA375" s="97"/>
      <c r="BB375" s="97"/>
      <c r="BC375" s="97"/>
      <c r="BD375" s="97"/>
      <c r="BE375" s="97"/>
      <c r="BF375" s="97"/>
      <c r="BG375" s="97"/>
      <c r="BH375" s="97"/>
    </row>
    <row r="376" spans="1:60" x14ac:dyDescent="0.25">
      <c r="A376" s="106"/>
      <c r="B376" s="107"/>
      <c r="C376" s="107"/>
      <c r="D376" s="107"/>
      <c r="E376" s="108"/>
      <c r="F376" s="109"/>
      <c r="G376" s="107"/>
      <c r="H376" s="109"/>
      <c r="I376" s="110"/>
      <c r="J376" s="110"/>
      <c r="K376" s="111"/>
      <c r="L376" s="112"/>
      <c r="M376" s="113"/>
      <c r="N376" s="114"/>
      <c r="O376" s="107"/>
      <c r="P376" s="107"/>
      <c r="Q376" s="115"/>
      <c r="R376" s="116"/>
      <c r="S376" s="107"/>
      <c r="T376" s="107"/>
      <c r="U376" s="107" t="str">
        <f t="shared" si="8"/>
        <v/>
      </c>
      <c r="V376" s="107"/>
      <c r="W376" s="107"/>
      <c r="X376" s="107"/>
      <c r="Y376" s="107"/>
      <c r="Z376" s="107"/>
      <c r="AA376" s="107"/>
      <c r="AB376" s="107"/>
      <c r="AC376" s="107"/>
      <c r="AD376" s="107"/>
      <c r="AE376" s="107"/>
      <c r="AF376" s="107"/>
      <c r="AG376" s="107"/>
      <c r="AH376" s="107"/>
      <c r="AI376" s="107"/>
      <c r="AJ376" s="107"/>
      <c r="AK376" s="107"/>
      <c r="AL376" s="107"/>
      <c r="AM376" s="107"/>
      <c r="AN376" s="107"/>
      <c r="AO376" s="107"/>
      <c r="AP376" s="107"/>
      <c r="AQ376" s="107"/>
      <c r="AR376" s="107"/>
      <c r="AS376" s="107"/>
      <c r="AT376" s="107"/>
      <c r="AU376" s="107"/>
      <c r="AV376" s="107"/>
      <c r="AW376" s="107"/>
      <c r="AX376" s="107"/>
      <c r="AY376" s="107"/>
      <c r="AZ376" s="107"/>
      <c r="BA376" s="107"/>
      <c r="BB376" s="107"/>
      <c r="BC376" s="107"/>
      <c r="BD376" s="107"/>
      <c r="BE376" s="107"/>
      <c r="BF376" s="107"/>
      <c r="BG376" s="107"/>
      <c r="BH376" s="107"/>
    </row>
    <row r="377" spans="1:60" x14ac:dyDescent="0.25">
      <c r="A377" s="96"/>
      <c r="B377" s="97"/>
      <c r="C377" s="97"/>
      <c r="D377" s="97"/>
      <c r="E377" s="98"/>
      <c r="F377" s="99"/>
      <c r="G377" s="97"/>
      <c r="H377" s="99"/>
      <c r="I377" s="99"/>
      <c r="J377" s="100"/>
      <c r="K377" s="101"/>
      <c r="L377" s="102"/>
      <c r="M377" s="103"/>
      <c r="N377" s="104"/>
      <c r="O377" s="97"/>
      <c r="P377" s="97"/>
      <c r="Q377" s="97"/>
      <c r="R377" s="105"/>
      <c r="S377" s="97"/>
      <c r="T377" s="97"/>
      <c r="U377" s="97" t="str">
        <f t="shared" si="8"/>
        <v/>
      </c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7"/>
      <c r="BA377" s="97"/>
      <c r="BB377" s="97"/>
      <c r="BC377" s="97"/>
      <c r="BD377" s="97"/>
      <c r="BE377" s="97"/>
      <c r="BF377" s="97"/>
      <c r="BG377" s="97"/>
      <c r="BH377" s="97"/>
    </row>
    <row r="378" spans="1:60" x14ac:dyDescent="0.25">
      <c r="A378" s="106"/>
      <c r="B378" s="107"/>
      <c r="C378" s="107"/>
      <c r="D378" s="107"/>
      <c r="E378" s="108"/>
      <c r="F378" s="109"/>
      <c r="G378" s="107"/>
      <c r="H378" s="109"/>
      <c r="I378" s="110"/>
      <c r="J378" s="110"/>
      <c r="K378" s="111"/>
      <c r="L378" s="112"/>
      <c r="M378" s="113"/>
      <c r="N378" s="114"/>
      <c r="O378" s="107"/>
      <c r="P378" s="107"/>
      <c r="Q378" s="115"/>
      <c r="R378" s="116"/>
      <c r="S378" s="107"/>
      <c r="T378" s="107"/>
      <c r="U378" s="107" t="str">
        <f t="shared" si="8"/>
        <v/>
      </c>
      <c r="V378" s="107"/>
      <c r="W378" s="107"/>
      <c r="X378" s="107"/>
      <c r="Y378" s="107"/>
      <c r="Z378" s="107"/>
      <c r="AA378" s="107"/>
      <c r="AB378" s="107"/>
      <c r="AC378" s="107"/>
      <c r="AD378" s="107"/>
      <c r="AE378" s="107"/>
      <c r="AF378" s="107"/>
      <c r="AG378" s="107"/>
      <c r="AH378" s="107"/>
      <c r="AI378" s="107"/>
      <c r="AJ378" s="107"/>
      <c r="AK378" s="107"/>
      <c r="AL378" s="107"/>
      <c r="AM378" s="107"/>
      <c r="AN378" s="107"/>
      <c r="AO378" s="107"/>
      <c r="AP378" s="107"/>
      <c r="AQ378" s="107"/>
      <c r="AR378" s="107"/>
      <c r="AS378" s="107"/>
      <c r="AT378" s="107"/>
      <c r="AU378" s="107"/>
      <c r="AV378" s="107"/>
      <c r="AW378" s="107"/>
      <c r="AX378" s="107"/>
      <c r="AY378" s="107"/>
      <c r="AZ378" s="107"/>
      <c r="BA378" s="107"/>
      <c r="BB378" s="107"/>
      <c r="BC378" s="107"/>
      <c r="BD378" s="107"/>
      <c r="BE378" s="107"/>
      <c r="BF378" s="107"/>
      <c r="BG378" s="107"/>
      <c r="BH378" s="107"/>
    </row>
    <row r="379" spans="1:60" x14ac:dyDescent="0.25">
      <c r="A379" s="96"/>
      <c r="B379" s="97"/>
      <c r="C379" s="97"/>
      <c r="D379" s="97"/>
      <c r="E379" s="98"/>
      <c r="F379" s="99"/>
      <c r="G379" s="97"/>
      <c r="H379" s="99"/>
      <c r="I379" s="99"/>
      <c r="J379" s="100"/>
      <c r="K379" s="101"/>
      <c r="L379" s="102"/>
      <c r="M379" s="103"/>
      <c r="N379" s="104"/>
      <c r="O379" s="97"/>
      <c r="P379" s="97"/>
      <c r="Q379" s="97"/>
      <c r="R379" s="105"/>
      <c r="S379" s="97"/>
      <c r="T379" s="97"/>
      <c r="U379" s="97" t="str">
        <f t="shared" si="8"/>
        <v/>
      </c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7"/>
      <c r="BA379" s="97"/>
      <c r="BB379" s="97"/>
      <c r="BC379" s="97"/>
      <c r="BD379" s="97"/>
      <c r="BE379" s="97"/>
      <c r="BF379" s="97"/>
      <c r="BG379" s="97"/>
      <c r="BH379" s="97"/>
    </row>
    <row r="380" spans="1:60" x14ac:dyDescent="0.25">
      <c r="A380" s="106"/>
      <c r="B380" s="107"/>
      <c r="C380" s="107"/>
      <c r="D380" s="107"/>
      <c r="E380" s="108"/>
      <c r="F380" s="109"/>
      <c r="G380" s="107"/>
      <c r="H380" s="109"/>
      <c r="I380" s="110"/>
      <c r="J380" s="110"/>
      <c r="K380" s="111"/>
      <c r="L380" s="112"/>
      <c r="M380" s="113"/>
      <c r="N380" s="114"/>
      <c r="O380" s="107"/>
      <c r="P380" s="107"/>
      <c r="Q380" s="115"/>
      <c r="R380" s="116"/>
      <c r="S380" s="107"/>
      <c r="T380" s="107"/>
      <c r="U380" s="107" t="str">
        <f t="shared" si="8"/>
        <v/>
      </c>
      <c r="V380" s="107"/>
      <c r="W380" s="107"/>
      <c r="X380" s="107"/>
      <c r="Y380" s="107"/>
      <c r="Z380" s="107"/>
      <c r="AA380" s="107"/>
      <c r="AB380" s="107"/>
      <c r="AC380" s="107"/>
      <c r="AD380" s="107"/>
      <c r="AE380" s="107"/>
      <c r="AF380" s="107"/>
      <c r="AG380" s="107"/>
      <c r="AH380" s="107"/>
      <c r="AI380" s="107"/>
      <c r="AJ380" s="107"/>
      <c r="AK380" s="107"/>
      <c r="AL380" s="107"/>
      <c r="AM380" s="107"/>
      <c r="AN380" s="107"/>
      <c r="AO380" s="107"/>
      <c r="AP380" s="107"/>
      <c r="AQ380" s="107"/>
      <c r="AR380" s="107"/>
      <c r="AS380" s="107"/>
      <c r="AT380" s="107"/>
      <c r="AU380" s="107"/>
      <c r="AV380" s="107"/>
      <c r="AW380" s="107"/>
      <c r="AX380" s="107"/>
      <c r="AY380" s="107"/>
      <c r="AZ380" s="107"/>
      <c r="BA380" s="107"/>
      <c r="BB380" s="107"/>
      <c r="BC380" s="107"/>
      <c r="BD380" s="107"/>
      <c r="BE380" s="107"/>
      <c r="BF380" s="107"/>
      <c r="BG380" s="107"/>
      <c r="BH380" s="107"/>
    </row>
    <row r="381" spans="1:60" x14ac:dyDescent="0.25">
      <c r="A381" s="96"/>
      <c r="B381" s="97"/>
      <c r="C381" s="97"/>
      <c r="D381" s="97"/>
      <c r="E381" s="98"/>
      <c r="F381" s="99"/>
      <c r="G381" s="97"/>
      <c r="H381" s="99"/>
      <c r="I381" s="99"/>
      <c r="J381" s="100"/>
      <c r="K381" s="101"/>
      <c r="L381" s="102"/>
      <c r="M381" s="103"/>
      <c r="N381" s="104"/>
      <c r="O381" s="97"/>
      <c r="P381" s="97"/>
      <c r="Q381" s="97"/>
      <c r="R381" s="105"/>
      <c r="S381" s="97"/>
      <c r="T381" s="97"/>
      <c r="U381" s="97" t="str">
        <f t="shared" si="8"/>
        <v/>
      </c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/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7"/>
      <c r="BA381" s="97"/>
      <c r="BB381" s="97"/>
      <c r="BC381" s="97"/>
      <c r="BD381" s="97"/>
      <c r="BE381" s="97"/>
      <c r="BF381" s="97"/>
      <c r="BG381" s="97"/>
      <c r="BH381" s="97"/>
    </row>
    <row r="382" spans="1:60" x14ac:dyDescent="0.25">
      <c r="A382" s="106"/>
      <c r="B382" s="107"/>
      <c r="C382" s="107"/>
      <c r="D382" s="107"/>
      <c r="E382" s="108"/>
      <c r="F382" s="109"/>
      <c r="G382" s="107"/>
      <c r="H382" s="109"/>
      <c r="I382" s="110"/>
      <c r="J382" s="110"/>
      <c r="K382" s="111"/>
      <c r="L382" s="112"/>
      <c r="M382" s="113"/>
      <c r="N382" s="114"/>
      <c r="O382" s="107"/>
      <c r="P382" s="107"/>
      <c r="Q382" s="115"/>
      <c r="R382" s="116"/>
      <c r="S382" s="107"/>
      <c r="T382" s="107"/>
      <c r="U382" s="107" t="str">
        <f t="shared" si="8"/>
        <v/>
      </c>
      <c r="V382" s="107"/>
      <c r="W382" s="107"/>
      <c r="X382" s="107"/>
      <c r="Y382" s="107"/>
      <c r="Z382" s="107"/>
      <c r="AA382" s="107"/>
      <c r="AB382" s="107"/>
      <c r="AC382" s="107"/>
      <c r="AD382" s="107"/>
      <c r="AE382" s="107"/>
      <c r="AF382" s="107"/>
      <c r="AG382" s="107"/>
      <c r="AH382" s="107"/>
      <c r="AI382" s="107"/>
      <c r="AJ382" s="107"/>
      <c r="AK382" s="107"/>
      <c r="AL382" s="107"/>
      <c r="AM382" s="107"/>
      <c r="AN382" s="107"/>
      <c r="AO382" s="107"/>
      <c r="AP382" s="107"/>
      <c r="AQ382" s="107"/>
      <c r="AR382" s="107"/>
      <c r="AS382" s="107"/>
      <c r="AT382" s="107"/>
      <c r="AU382" s="107"/>
      <c r="AV382" s="107"/>
      <c r="AW382" s="107"/>
      <c r="AX382" s="107"/>
      <c r="AY382" s="107"/>
      <c r="AZ382" s="107"/>
      <c r="BA382" s="107"/>
      <c r="BB382" s="107"/>
      <c r="BC382" s="107"/>
      <c r="BD382" s="107"/>
      <c r="BE382" s="107"/>
      <c r="BF382" s="107"/>
      <c r="BG382" s="107"/>
      <c r="BH382" s="107"/>
    </row>
    <row r="383" spans="1:60" x14ac:dyDescent="0.25">
      <c r="A383" s="96"/>
      <c r="B383" s="97"/>
      <c r="C383" s="97"/>
      <c r="D383" s="97"/>
      <c r="E383" s="98"/>
      <c r="F383" s="99"/>
      <c r="G383" s="97"/>
      <c r="H383" s="99"/>
      <c r="I383" s="99"/>
      <c r="J383" s="100"/>
      <c r="K383" s="101"/>
      <c r="L383" s="102"/>
      <c r="M383" s="103"/>
      <c r="N383" s="104"/>
      <c r="O383" s="97"/>
      <c r="P383" s="97"/>
      <c r="Q383" s="97"/>
      <c r="R383" s="105"/>
      <c r="S383" s="97"/>
      <c r="T383" s="97"/>
      <c r="U383" s="97" t="str">
        <f t="shared" si="8"/>
        <v/>
      </c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7"/>
      <c r="BA383" s="97"/>
      <c r="BB383" s="97"/>
      <c r="BC383" s="97"/>
      <c r="BD383" s="97"/>
      <c r="BE383" s="97"/>
      <c r="BF383" s="97"/>
      <c r="BG383" s="97"/>
      <c r="BH383" s="97"/>
    </row>
    <row r="384" spans="1:60" x14ac:dyDescent="0.25">
      <c r="A384" s="106"/>
      <c r="B384" s="107"/>
      <c r="C384" s="107"/>
      <c r="D384" s="107"/>
      <c r="E384" s="108"/>
      <c r="F384" s="109"/>
      <c r="G384" s="107"/>
      <c r="H384" s="109"/>
      <c r="I384" s="110"/>
      <c r="J384" s="110"/>
      <c r="K384" s="111"/>
      <c r="L384" s="112"/>
      <c r="M384" s="113"/>
      <c r="N384" s="114"/>
      <c r="O384" s="107"/>
      <c r="P384" s="107"/>
      <c r="Q384" s="115"/>
      <c r="R384" s="116"/>
      <c r="S384" s="107"/>
      <c r="T384" s="107"/>
      <c r="U384" s="107" t="str">
        <f t="shared" si="8"/>
        <v/>
      </c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  <c r="AF384" s="107"/>
      <c r="AG384" s="107"/>
      <c r="AH384" s="107"/>
      <c r="AI384" s="107"/>
      <c r="AJ384" s="107"/>
      <c r="AK384" s="107"/>
      <c r="AL384" s="107"/>
      <c r="AM384" s="107"/>
      <c r="AN384" s="107"/>
      <c r="AO384" s="107"/>
      <c r="AP384" s="107"/>
      <c r="AQ384" s="107"/>
      <c r="AR384" s="107"/>
      <c r="AS384" s="107"/>
      <c r="AT384" s="107"/>
      <c r="AU384" s="107"/>
      <c r="AV384" s="107"/>
      <c r="AW384" s="107"/>
      <c r="AX384" s="107"/>
      <c r="AY384" s="107"/>
      <c r="AZ384" s="107"/>
      <c r="BA384" s="107"/>
      <c r="BB384" s="107"/>
      <c r="BC384" s="107"/>
      <c r="BD384" s="107"/>
      <c r="BE384" s="107"/>
      <c r="BF384" s="107"/>
      <c r="BG384" s="107"/>
      <c r="BH384" s="107"/>
    </row>
    <row r="385" spans="1:60" x14ac:dyDescent="0.25">
      <c r="A385" s="96"/>
      <c r="B385" s="97"/>
      <c r="C385" s="97"/>
      <c r="D385" s="97"/>
      <c r="E385" s="98"/>
      <c r="F385" s="99"/>
      <c r="G385" s="97"/>
      <c r="H385" s="99"/>
      <c r="I385" s="99"/>
      <c r="J385" s="100"/>
      <c r="K385" s="101"/>
      <c r="L385" s="102"/>
      <c r="M385" s="103"/>
      <c r="N385" s="104"/>
      <c r="O385" s="97"/>
      <c r="P385" s="97"/>
      <c r="Q385" s="97"/>
      <c r="R385" s="105"/>
      <c r="S385" s="97"/>
      <c r="T385" s="97"/>
      <c r="U385" s="97" t="str">
        <f t="shared" si="8"/>
        <v/>
      </c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7"/>
      <c r="BA385" s="97"/>
      <c r="BB385" s="97"/>
      <c r="BC385" s="97"/>
      <c r="BD385" s="97"/>
      <c r="BE385" s="97"/>
      <c r="BF385" s="97"/>
      <c r="BG385" s="97"/>
      <c r="BH385" s="97"/>
    </row>
    <row r="386" spans="1:60" x14ac:dyDescent="0.25">
      <c r="A386" s="106"/>
      <c r="B386" s="107"/>
      <c r="C386" s="107"/>
      <c r="D386" s="107"/>
      <c r="E386" s="108"/>
      <c r="F386" s="109"/>
      <c r="G386" s="107"/>
      <c r="H386" s="109"/>
      <c r="I386" s="110"/>
      <c r="J386" s="110"/>
      <c r="K386" s="111"/>
      <c r="L386" s="112"/>
      <c r="M386" s="113"/>
      <c r="N386" s="114"/>
      <c r="O386" s="107"/>
      <c r="P386" s="107"/>
      <c r="Q386" s="115"/>
      <c r="R386" s="116"/>
      <c r="S386" s="107"/>
      <c r="T386" s="107"/>
      <c r="U386" s="107" t="str">
        <f t="shared" si="8"/>
        <v/>
      </c>
      <c r="V386" s="107"/>
      <c r="W386" s="107"/>
      <c r="X386" s="107"/>
      <c r="Y386" s="107"/>
      <c r="Z386" s="107"/>
      <c r="AA386" s="107"/>
      <c r="AB386" s="107"/>
      <c r="AC386" s="107"/>
      <c r="AD386" s="107"/>
      <c r="AE386" s="107"/>
      <c r="AF386" s="107"/>
      <c r="AG386" s="107"/>
      <c r="AH386" s="107"/>
      <c r="AI386" s="107"/>
      <c r="AJ386" s="107"/>
      <c r="AK386" s="107"/>
      <c r="AL386" s="107"/>
      <c r="AM386" s="107"/>
      <c r="AN386" s="107"/>
      <c r="AO386" s="107"/>
      <c r="AP386" s="107"/>
      <c r="AQ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7"/>
      <c r="BB386" s="107"/>
      <c r="BC386" s="107"/>
      <c r="BD386" s="107"/>
      <c r="BE386" s="107"/>
      <c r="BF386" s="107"/>
      <c r="BG386" s="107"/>
      <c r="BH386" s="107"/>
    </row>
    <row r="387" spans="1:60" x14ac:dyDescent="0.25">
      <c r="A387" s="96"/>
      <c r="B387" s="97"/>
      <c r="C387" s="97"/>
      <c r="D387" s="97"/>
      <c r="E387" s="98"/>
      <c r="F387" s="99"/>
      <c r="G387" s="97"/>
      <c r="H387" s="99"/>
      <c r="I387" s="99"/>
      <c r="J387" s="100"/>
      <c r="K387" s="101"/>
      <c r="L387" s="102"/>
      <c r="M387" s="103"/>
      <c r="N387" s="104"/>
      <c r="O387" s="97"/>
      <c r="P387" s="97"/>
      <c r="Q387" s="97"/>
      <c r="R387" s="105"/>
      <c r="S387" s="97"/>
      <c r="T387" s="97"/>
      <c r="U387" s="97" t="str">
        <f t="shared" ref="U387:U450" si="9">IF(B387="","",IF(I387="",0,1))</f>
        <v/>
      </c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7"/>
      <c r="BA387" s="97"/>
      <c r="BB387" s="97"/>
      <c r="BC387" s="97"/>
      <c r="BD387" s="97"/>
      <c r="BE387" s="97"/>
      <c r="BF387" s="97"/>
      <c r="BG387" s="97"/>
      <c r="BH387" s="97"/>
    </row>
    <row r="388" spans="1:60" x14ac:dyDescent="0.25">
      <c r="A388" s="106"/>
      <c r="B388" s="107"/>
      <c r="C388" s="107"/>
      <c r="D388" s="107"/>
      <c r="E388" s="108"/>
      <c r="F388" s="109"/>
      <c r="G388" s="107"/>
      <c r="H388" s="109"/>
      <c r="I388" s="110"/>
      <c r="J388" s="110"/>
      <c r="K388" s="111"/>
      <c r="L388" s="112"/>
      <c r="M388" s="113"/>
      <c r="N388" s="114"/>
      <c r="O388" s="107"/>
      <c r="P388" s="107"/>
      <c r="Q388" s="115"/>
      <c r="R388" s="116"/>
      <c r="S388" s="107"/>
      <c r="T388" s="107"/>
      <c r="U388" s="107" t="str">
        <f t="shared" si="9"/>
        <v/>
      </c>
      <c r="V388" s="107"/>
      <c r="W388" s="107"/>
      <c r="X388" s="107"/>
      <c r="Y388" s="107"/>
      <c r="Z388" s="107"/>
      <c r="AA388" s="107"/>
      <c r="AB388" s="107"/>
      <c r="AC388" s="107"/>
      <c r="AD388" s="107"/>
      <c r="AE388" s="107"/>
      <c r="AF388" s="107"/>
      <c r="AG388" s="107"/>
      <c r="AH388" s="107"/>
      <c r="AI388" s="107"/>
      <c r="AJ388" s="107"/>
      <c r="AK388" s="107"/>
      <c r="AL388" s="107"/>
      <c r="AM388" s="107"/>
      <c r="AN388" s="107"/>
      <c r="AO388" s="107"/>
      <c r="AP388" s="107"/>
      <c r="AQ388" s="107"/>
      <c r="AR388" s="107"/>
      <c r="AS388" s="107"/>
      <c r="AT388" s="107"/>
      <c r="AU388" s="107"/>
      <c r="AV388" s="107"/>
      <c r="AW388" s="107"/>
      <c r="AX388" s="107"/>
      <c r="AY388" s="107"/>
      <c r="AZ388" s="107"/>
      <c r="BA388" s="107"/>
      <c r="BB388" s="107"/>
      <c r="BC388" s="107"/>
      <c r="BD388" s="107"/>
      <c r="BE388" s="107"/>
      <c r="BF388" s="107"/>
      <c r="BG388" s="107"/>
      <c r="BH388" s="107"/>
    </row>
    <row r="389" spans="1:60" x14ac:dyDescent="0.25">
      <c r="A389" s="96"/>
      <c r="B389" s="97"/>
      <c r="C389" s="97"/>
      <c r="D389" s="97"/>
      <c r="E389" s="98"/>
      <c r="F389" s="99"/>
      <c r="G389" s="97"/>
      <c r="H389" s="99"/>
      <c r="I389" s="99"/>
      <c r="J389" s="100"/>
      <c r="K389" s="101"/>
      <c r="L389" s="102"/>
      <c r="M389" s="103"/>
      <c r="N389" s="104"/>
      <c r="O389" s="97"/>
      <c r="P389" s="97"/>
      <c r="Q389" s="97"/>
      <c r="R389" s="105"/>
      <c r="S389" s="97"/>
      <c r="T389" s="97"/>
      <c r="U389" s="97" t="str">
        <f t="shared" si="9"/>
        <v/>
      </c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/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7"/>
      <c r="BA389" s="97"/>
      <c r="BB389" s="97"/>
      <c r="BC389" s="97"/>
      <c r="BD389" s="97"/>
      <c r="BE389" s="97"/>
      <c r="BF389" s="97"/>
      <c r="BG389" s="97"/>
      <c r="BH389" s="97"/>
    </row>
    <row r="390" spans="1:60" x14ac:dyDescent="0.25">
      <c r="A390" s="106"/>
      <c r="B390" s="107"/>
      <c r="C390" s="107"/>
      <c r="D390" s="107"/>
      <c r="E390" s="108"/>
      <c r="F390" s="109"/>
      <c r="G390" s="107"/>
      <c r="H390" s="109"/>
      <c r="I390" s="110"/>
      <c r="J390" s="110"/>
      <c r="K390" s="111"/>
      <c r="L390" s="112"/>
      <c r="M390" s="113"/>
      <c r="N390" s="114"/>
      <c r="O390" s="107"/>
      <c r="P390" s="107"/>
      <c r="Q390" s="115"/>
      <c r="R390" s="116"/>
      <c r="S390" s="107"/>
      <c r="T390" s="107"/>
      <c r="U390" s="107" t="str">
        <f t="shared" si="9"/>
        <v/>
      </c>
      <c r="V390" s="107"/>
      <c r="W390" s="107"/>
      <c r="X390" s="107"/>
      <c r="Y390" s="107"/>
      <c r="Z390" s="107"/>
      <c r="AA390" s="107"/>
      <c r="AB390" s="107"/>
      <c r="AC390" s="107"/>
      <c r="AD390" s="107"/>
      <c r="AE390" s="107"/>
      <c r="AF390" s="107"/>
      <c r="AG390" s="107"/>
      <c r="AH390" s="107"/>
      <c r="AI390" s="107"/>
      <c r="AJ390" s="107"/>
      <c r="AK390" s="107"/>
      <c r="AL390" s="107"/>
      <c r="AM390" s="107"/>
      <c r="AN390" s="107"/>
      <c r="AO390" s="107"/>
      <c r="AP390" s="107"/>
      <c r="AQ390" s="107"/>
      <c r="AR390" s="107"/>
      <c r="AS390" s="107"/>
      <c r="AT390" s="107"/>
      <c r="AU390" s="107"/>
      <c r="AV390" s="107"/>
      <c r="AW390" s="107"/>
      <c r="AX390" s="107"/>
      <c r="AY390" s="107"/>
      <c r="AZ390" s="107"/>
      <c r="BA390" s="107"/>
      <c r="BB390" s="107"/>
      <c r="BC390" s="107"/>
      <c r="BD390" s="107"/>
      <c r="BE390" s="107"/>
      <c r="BF390" s="107"/>
      <c r="BG390" s="107"/>
      <c r="BH390" s="107"/>
    </row>
    <row r="391" spans="1:60" x14ac:dyDescent="0.25">
      <c r="A391" s="96"/>
      <c r="B391" s="97"/>
      <c r="C391" s="97"/>
      <c r="D391" s="97"/>
      <c r="E391" s="98"/>
      <c r="F391" s="99"/>
      <c r="G391" s="97"/>
      <c r="H391" s="99"/>
      <c r="I391" s="99"/>
      <c r="J391" s="100"/>
      <c r="K391" s="101"/>
      <c r="L391" s="102"/>
      <c r="M391" s="103"/>
      <c r="N391" s="104"/>
      <c r="O391" s="97"/>
      <c r="P391" s="97"/>
      <c r="Q391" s="97"/>
      <c r="R391" s="105"/>
      <c r="S391" s="97"/>
      <c r="T391" s="97"/>
      <c r="U391" s="97" t="str">
        <f t="shared" si="9"/>
        <v/>
      </c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7"/>
      <c r="BA391" s="97"/>
      <c r="BB391" s="97"/>
      <c r="BC391" s="97"/>
      <c r="BD391" s="97"/>
      <c r="BE391" s="97"/>
      <c r="BF391" s="97"/>
      <c r="BG391" s="97"/>
      <c r="BH391" s="97"/>
    </row>
    <row r="392" spans="1:60" x14ac:dyDescent="0.25">
      <c r="A392" s="106"/>
      <c r="B392" s="107"/>
      <c r="C392" s="107"/>
      <c r="D392" s="107"/>
      <c r="E392" s="108"/>
      <c r="F392" s="109"/>
      <c r="G392" s="107"/>
      <c r="H392" s="109"/>
      <c r="I392" s="110"/>
      <c r="J392" s="110"/>
      <c r="K392" s="111"/>
      <c r="L392" s="112"/>
      <c r="M392" s="113"/>
      <c r="N392" s="114"/>
      <c r="O392" s="107"/>
      <c r="P392" s="107"/>
      <c r="Q392" s="115"/>
      <c r="R392" s="116"/>
      <c r="S392" s="107"/>
      <c r="T392" s="107"/>
      <c r="U392" s="107" t="str">
        <f t="shared" si="9"/>
        <v/>
      </c>
      <c r="V392" s="107"/>
      <c r="W392" s="107"/>
      <c r="X392" s="107"/>
      <c r="Y392" s="107"/>
      <c r="Z392" s="107"/>
      <c r="AA392" s="107"/>
      <c r="AB392" s="107"/>
      <c r="AC392" s="107"/>
      <c r="AD392" s="107"/>
      <c r="AE392" s="107"/>
      <c r="AF392" s="107"/>
      <c r="AG392" s="107"/>
      <c r="AH392" s="107"/>
      <c r="AI392" s="107"/>
      <c r="AJ392" s="107"/>
      <c r="AK392" s="107"/>
      <c r="AL392" s="107"/>
      <c r="AM392" s="107"/>
      <c r="AN392" s="107"/>
      <c r="AO392" s="107"/>
      <c r="AP392" s="107"/>
      <c r="AQ392" s="107"/>
      <c r="AR392" s="107"/>
      <c r="AS392" s="107"/>
      <c r="AT392" s="107"/>
      <c r="AU392" s="107"/>
      <c r="AV392" s="107"/>
      <c r="AW392" s="107"/>
      <c r="AX392" s="107"/>
      <c r="AY392" s="107"/>
      <c r="AZ392" s="107"/>
      <c r="BA392" s="107"/>
      <c r="BB392" s="107"/>
      <c r="BC392" s="107"/>
      <c r="BD392" s="107"/>
      <c r="BE392" s="107"/>
      <c r="BF392" s="107"/>
      <c r="BG392" s="107"/>
      <c r="BH392" s="107"/>
    </row>
    <row r="393" spans="1:60" x14ac:dyDescent="0.25">
      <c r="A393" s="96"/>
      <c r="B393" s="97"/>
      <c r="C393" s="97"/>
      <c r="D393" s="97"/>
      <c r="E393" s="98"/>
      <c r="F393" s="99"/>
      <c r="G393" s="97"/>
      <c r="H393" s="99"/>
      <c r="I393" s="99"/>
      <c r="J393" s="100"/>
      <c r="K393" s="101"/>
      <c r="L393" s="102"/>
      <c r="M393" s="103"/>
      <c r="N393" s="104"/>
      <c r="O393" s="97"/>
      <c r="P393" s="97"/>
      <c r="Q393" s="97"/>
      <c r="R393" s="105"/>
      <c r="S393" s="97"/>
      <c r="T393" s="97"/>
      <c r="U393" s="97" t="str">
        <f t="shared" si="9"/>
        <v/>
      </c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7"/>
      <c r="BA393" s="97"/>
      <c r="BB393" s="97"/>
      <c r="BC393" s="97"/>
      <c r="BD393" s="97"/>
      <c r="BE393" s="97"/>
      <c r="BF393" s="97"/>
      <c r="BG393" s="97"/>
      <c r="BH393" s="97"/>
    </row>
    <row r="394" spans="1:60" x14ac:dyDescent="0.25">
      <c r="A394" s="106"/>
      <c r="B394" s="107"/>
      <c r="C394" s="107"/>
      <c r="D394" s="107"/>
      <c r="E394" s="108"/>
      <c r="F394" s="109"/>
      <c r="G394" s="107"/>
      <c r="H394" s="109"/>
      <c r="I394" s="110"/>
      <c r="J394" s="110"/>
      <c r="K394" s="111"/>
      <c r="L394" s="112"/>
      <c r="M394" s="113"/>
      <c r="N394" s="114"/>
      <c r="O394" s="107"/>
      <c r="P394" s="107"/>
      <c r="Q394" s="115"/>
      <c r="R394" s="116"/>
      <c r="S394" s="107"/>
      <c r="T394" s="107"/>
      <c r="U394" s="107" t="str">
        <f t="shared" si="9"/>
        <v/>
      </c>
      <c r="V394" s="107"/>
      <c r="W394" s="107"/>
      <c r="X394" s="107"/>
      <c r="Y394" s="107"/>
      <c r="Z394" s="107"/>
      <c r="AA394" s="107"/>
      <c r="AB394" s="107"/>
      <c r="AC394" s="107"/>
      <c r="AD394" s="107"/>
      <c r="AE394" s="107"/>
      <c r="AF394" s="107"/>
      <c r="AG394" s="107"/>
      <c r="AH394" s="107"/>
      <c r="AI394" s="107"/>
      <c r="AJ394" s="107"/>
      <c r="AK394" s="107"/>
      <c r="AL394" s="107"/>
      <c r="AM394" s="107"/>
      <c r="AN394" s="107"/>
      <c r="AO394" s="107"/>
      <c r="AP394" s="107"/>
      <c r="AQ394" s="107"/>
      <c r="AR394" s="107"/>
      <c r="AS394" s="107"/>
      <c r="AT394" s="107"/>
      <c r="AU394" s="107"/>
      <c r="AV394" s="107"/>
      <c r="AW394" s="107"/>
      <c r="AX394" s="107"/>
      <c r="AY394" s="107"/>
      <c r="AZ394" s="107"/>
      <c r="BA394" s="107"/>
      <c r="BB394" s="107"/>
      <c r="BC394" s="107"/>
      <c r="BD394" s="107"/>
      <c r="BE394" s="107"/>
      <c r="BF394" s="107"/>
      <c r="BG394" s="107"/>
      <c r="BH394" s="107"/>
    </row>
    <row r="395" spans="1:60" x14ac:dyDescent="0.25">
      <c r="A395" s="96"/>
      <c r="B395" s="97"/>
      <c r="C395" s="97"/>
      <c r="D395" s="97"/>
      <c r="E395" s="98"/>
      <c r="F395" s="99"/>
      <c r="G395" s="97"/>
      <c r="H395" s="99"/>
      <c r="I395" s="99"/>
      <c r="J395" s="100"/>
      <c r="K395" s="101"/>
      <c r="L395" s="102"/>
      <c r="M395" s="103"/>
      <c r="N395" s="104"/>
      <c r="O395" s="97"/>
      <c r="P395" s="97"/>
      <c r="Q395" s="97"/>
      <c r="R395" s="105"/>
      <c r="S395" s="97"/>
      <c r="T395" s="97"/>
      <c r="U395" s="97" t="str">
        <f t="shared" si="9"/>
        <v/>
      </c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/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  <c r="BF395" s="97"/>
      <c r="BG395" s="97"/>
      <c r="BH395" s="97"/>
    </row>
    <row r="396" spans="1:60" x14ac:dyDescent="0.25">
      <c r="A396" s="106"/>
      <c r="B396" s="107"/>
      <c r="C396" s="107"/>
      <c r="D396" s="107"/>
      <c r="E396" s="108"/>
      <c r="F396" s="109"/>
      <c r="G396" s="107"/>
      <c r="H396" s="109"/>
      <c r="I396" s="110"/>
      <c r="J396" s="110"/>
      <c r="K396" s="111"/>
      <c r="L396" s="112"/>
      <c r="M396" s="113"/>
      <c r="N396" s="114"/>
      <c r="O396" s="107"/>
      <c r="P396" s="107"/>
      <c r="Q396" s="115"/>
      <c r="R396" s="116"/>
      <c r="S396" s="107"/>
      <c r="T396" s="107"/>
      <c r="U396" s="107" t="str">
        <f t="shared" si="9"/>
        <v/>
      </c>
      <c r="V396" s="107"/>
      <c r="W396" s="107"/>
      <c r="X396" s="107"/>
      <c r="Y396" s="107"/>
      <c r="Z396" s="107"/>
      <c r="AA396" s="107"/>
      <c r="AB396" s="107"/>
      <c r="AC396" s="107"/>
      <c r="AD396" s="107"/>
      <c r="AE396" s="107"/>
      <c r="AF396" s="107"/>
      <c r="AG396" s="107"/>
      <c r="AH396" s="107"/>
      <c r="AI396" s="107"/>
      <c r="AJ396" s="107"/>
      <c r="AK396" s="107"/>
      <c r="AL396" s="107"/>
      <c r="AM396" s="107"/>
      <c r="AN396" s="107"/>
      <c r="AO396" s="107"/>
      <c r="AP396" s="107"/>
      <c r="AQ396" s="107"/>
      <c r="AR396" s="107"/>
      <c r="AS396" s="107"/>
      <c r="AT396" s="107"/>
      <c r="AU396" s="107"/>
      <c r="AV396" s="107"/>
      <c r="AW396" s="107"/>
      <c r="AX396" s="107"/>
      <c r="AY396" s="107"/>
      <c r="AZ396" s="107"/>
      <c r="BA396" s="107"/>
      <c r="BB396" s="107"/>
      <c r="BC396" s="107"/>
      <c r="BD396" s="107"/>
      <c r="BE396" s="107"/>
      <c r="BF396" s="107"/>
      <c r="BG396" s="107"/>
      <c r="BH396" s="107"/>
    </row>
    <row r="397" spans="1:60" x14ac:dyDescent="0.25">
      <c r="A397" s="96"/>
      <c r="B397" s="97"/>
      <c r="C397" s="97"/>
      <c r="D397" s="97"/>
      <c r="E397" s="98"/>
      <c r="F397" s="99"/>
      <c r="G397" s="97"/>
      <c r="H397" s="99"/>
      <c r="I397" s="99"/>
      <c r="J397" s="100"/>
      <c r="K397" s="101"/>
      <c r="L397" s="102"/>
      <c r="M397" s="103"/>
      <c r="N397" s="104"/>
      <c r="O397" s="97"/>
      <c r="P397" s="97"/>
      <c r="Q397" s="97"/>
      <c r="R397" s="105"/>
      <c r="S397" s="97"/>
      <c r="T397" s="97"/>
      <c r="U397" s="97" t="str">
        <f t="shared" si="9"/>
        <v/>
      </c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/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7"/>
      <c r="BA397" s="97"/>
      <c r="BB397" s="97"/>
      <c r="BC397" s="97"/>
      <c r="BD397" s="97"/>
      <c r="BE397" s="97"/>
      <c r="BF397" s="97"/>
      <c r="BG397" s="97"/>
      <c r="BH397" s="97"/>
    </row>
    <row r="398" spans="1:60" x14ac:dyDescent="0.25">
      <c r="A398" s="106"/>
      <c r="B398" s="107"/>
      <c r="C398" s="107"/>
      <c r="D398" s="107"/>
      <c r="E398" s="108"/>
      <c r="F398" s="109"/>
      <c r="G398" s="107"/>
      <c r="H398" s="109"/>
      <c r="I398" s="110"/>
      <c r="J398" s="110"/>
      <c r="K398" s="111"/>
      <c r="L398" s="112"/>
      <c r="M398" s="113"/>
      <c r="N398" s="114"/>
      <c r="O398" s="107"/>
      <c r="P398" s="107"/>
      <c r="Q398" s="115"/>
      <c r="R398" s="116"/>
      <c r="S398" s="107"/>
      <c r="T398" s="107"/>
      <c r="U398" s="107" t="str">
        <f t="shared" si="9"/>
        <v/>
      </c>
      <c r="V398" s="107"/>
      <c r="W398" s="107"/>
      <c r="X398" s="107"/>
      <c r="Y398" s="107"/>
      <c r="Z398" s="107"/>
      <c r="AA398" s="107"/>
      <c r="AB398" s="107"/>
      <c r="AC398" s="107"/>
      <c r="AD398" s="107"/>
      <c r="AE398" s="107"/>
      <c r="AF398" s="107"/>
      <c r="AG398" s="107"/>
      <c r="AH398" s="107"/>
      <c r="AI398" s="107"/>
      <c r="AJ398" s="107"/>
      <c r="AK398" s="107"/>
      <c r="AL398" s="107"/>
      <c r="AM398" s="107"/>
      <c r="AN398" s="107"/>
      <c r="AO398" s="107"/>
      <c r="AP398" s="107"/>
      <c r="AQ398" s="107"/>
      <c r="AR398" s="107"/>
      <c r="AS398" s="107"/>
      <c r="AT398" s="107"/>
      <c r="AU398" s="107"/>
      <c r="AV398" s="107"/>
      <c r="AW398" s="107"/>
      <c r="AX398" s="107"/>
      <c r="AY398" s="107"/>
      <c r="AZ398" s="107"/>
      <c r="BA398" s="107"/>
      <c r="BB398" s="107"/>
      <c r="BC398" s="107"/>
      <c r="BD398" s="107"/>
      <c r="BE398" s="107"/>
      <c r="BF398" s="107"/>
      <c r="BG398" s="107"/>
      <c r="BH398" s="107"/>
    </row>
    <row r="399" spans="1:60" x14ac:dyDescent="0.25">
      <c r="A399" s="96"/>
      <c r="B399" s="97"/>
      <c r="C399" s="97"/>
      <c r="D399" s="97"/>
      <c r="E399" s="98"/>
      <c r="F399" s="99"/>
      <c r="G399" s="97"/>
      <c r="H399" s="99"/>
      <c r="I399" s="99"/>
      <c r="J399" s="100"/>
      <c r="K399" s="101"/>
      <c r="L399" s="102"/>
      <c r="M399" s="103"/>
      <c r="N399" s="104"/>
      <c r="O399" s="97"/>
      <c r="P399" s="97"/>
      <c r="Q399" s="97"/>
      <c r="R399" s="105"/>
      <c r="S399" s="97"/>
      <c r="T399" s="97"/>
      <c r="U399" s="97" t="str">
        <f t="shared" si="9"/>
        <v/>
      </c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/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7"/>
      <c r="BA399" s="97"/>
      <c r="BB399" s="97"/>
      <c r="BC399" s="97"/>
      <c r="BD399" s="97"/>
      <c r="BE399" s="97"/>
      <c r="BF399" s="97"/>
      <c r="BG399" s="97"/>
      <c r="BH399" s="97"/>
    </row>
    <row r="400" spans="1:60" x14ac:dyDescent="0.25">
      <c r="A400" s="106"/>
      <c r="B400" s="107"/>
      <c r="C400" s="107"/>
      <c r="D400" s="107"/>
      <c r="E400" s="108"/>
      <c r="F400" s="109"/>
      <c r="G400" s="107"/>
      <c r="H400" s="109"/>
      <c r="I400" s="110"/>
      <c r="J400" s="110"/>
      <c r="K400" s="111"/>
      <c r="L400" s="112"/>
      <c r="M400" s="113"/>
      <c r="N400" s="114"/>
      <c r="O400" s="107"/>
      <c r="P400" s="107"/>
      <c r="Q400" s="115"/>
      <c r="R400" s="116"/>
      <c r="S400" s="107"/>
      <c r="T400" s="107"/>
      <c r="U400" s="107" t="str">
        <f t="shared" si="9"/>
        <v/>
      </c>
      <c r="V400" s="107"/>
      <c r="W400" s="107"/>
      <c r="X400" s="107"/>
      <c r="Y400" s="107"/>
      <c r="Z400" s="107"/>
      <c r="AA400" s="107"/>
      <c r="AB400" s="107"/>
      <c r="AC400" s="107"/>
      <c r="AD400" s="107"/>
      <c r="AE400" s="107"/>
      <c r="AF400" s="107"/>
      <c r="AG400" s="107"/>
      <c r="AH400" s="107"/>
      <c r="AI400" s="107"/>
      <c r="AJ400" s="107"/>
      <c r="AK400" s="107"/>
      <c r="AL400" s="107"/>
      <c r="AM400" s="107"/>
      <c r="AN400" s="107"/>
      <c r="AO400" s="107"/>
      <c r="AP400" s="107"/>
      <c r="AQ400" s="107"/>
      <c r="AR400" s="107"/>
      <c r="AS400" s="107"/>
      <c r="AT400" s="107"/>
      <c r="AU400" s="107"/>
      <c r="AV400" s="107"/>
      <c r="AW400" s="107"/>
      <c r="AX400" s="107"/>
      <c r="AY400" s="107"/>
      <c r="AZ400" s="107"/>
      <c r="BA400" s="107"/>
      <c r="BB400" s="107"/>
      <c r="BC400" s="107"/>
      <c r="BD400" s="107"/>
      <c r="BE400" s="107"/>
      <c r="BF400" s="107"/>
      <c r="BG400" s="107"/>
      <c r="BH400" s="107"/>
    </row>
    <row r="401" spans="1:60" x14ac:dyDescent="0.25">
      <c r="A401" s="96"/>
      <c r="B401" s="97"/>
      <c r="C401" s="97"/>
      <c r="D401" s="97"/>
      <c r="E401" s="98"/>
      <c r="F401" s="99"/>
      <c r="G401" s="97"/>
      <c r="H401" s="99"/>
      <c r="I401" s="99"/>
      <c r="J401" s="100"/>
      <c r="K401" s="101"/>
      <c r="L401" s="102"/>
      <c r="M401" s="103"/>
      <c r="N401" s="104"/>
      <c r="O401" s="97"/>
      <c r="P401" s="97"/>
      <c r="Q401" s="97"/>
      <c r="R401" s="105"/>
      <c r="S401" s="97"/>
      <c r="T401" s="97"/>
      <c r="U401" s="97" t="str">
        <f t="shared" si="9"/>
        <v/>
      </c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/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7"/>
      <c r="BA401" s="97"/>
      <c r="BB401" s="97"/>
      <c r="BC401" s="97"/>
      <c r="BD401" s="97"/>
      <c r="BE401" s="97"/>
      <c r="BF401" s="97"/>
      <c r="BG401" s="97"/>
      <c r="BH401" s="97"/>
    </row>
    <row r="402" spans="1:60" x14ac:dyDescent="0.25">
      <c r="A402" s="106"/>
      <c r="B402" s="107"/>
      <c r="C402" s="107"/>
      <c r="D402" s="107"/>
      <c r="E402" s="108"/>
      <c r="F402" s="109"/>
      <c r="G402" s="107"/>
      <c r="H402" s="109"/>
      <c r="I402" s="110"/>
      <c r="J402" s="110"/>
      <c r="K402" s="111"/>
      <c r="L402" s="112"/>
      <c r="M402" s="113"/>
      <c r="N402" s="114"/>
      <c r="O402" s="107"/>
      <c r="P402" s="107"/>
      <c r="Q402" s="115"/>
      <c r="R402" s="116"/>
      <c r="S402" s="107"/>
      <c r="T402" s="107"/>
      <c r="U402" s="107" t="str">
        <f t="shared" si="9"/>
        <v/>
      </c>
      <c r="V402" s="107"/>
      <c r="W402" s="107"/>
      <c r="X402" s="107"/>
      <c r="Y402" s="107"/>
      <c r="Z402" s="107"/>
      <c r="AA402" s="107"/>
      <c r="AB402" s="107"/>
      <c r="AC402" s="107"/>
      <c r="AD402" s="107"/>
      <c r="AE402" s="107"/>
      <c r="AF402" s="107"/>
      <c r="AG402" s="107"/>
      <c r="AH402" s="107"/>
      <c r="AI402" s="107"/>
      <c r="AJ402" s="107"/>
      <c r="AK402" s="107"/>
      <c r="AL402" s="107"/>
      <c r="AM402" s="107"/>
      <c r="AN402" s="107"/>
      <c r="AO402" s="107"/>
      <c r="AP402" s="107"/>
      <c r="AQ402" s="107"/>
      <c r="AR402" s="107"/>
      <c r="AS402" s="107"/>
      <c r="AT402" s="107"/>
      <c r="AU402" s="107"/>
      <c r="AV402" s="107"/>
      <c r="AW402" s="107"/>
      <c r="AX402" s="107"/>
      <c r="AY402" s="107"/>
      <c r="AZ402" s="107"/>
      <c r="BA402" s="107"/>
      <c r="BB402" s="107"/>
      <c r="BC402" s="107"/>
      <c r="BD402" s="107"/>
      <c r="BE402" s="107"/>
      <c r="BF402" s="107"/>
      <c r="BG402" s="107"/>
      <c r="BH402" s="107"/>
    </row>
    <row r="403" spans="1:60" x14ac:dyDescent="0.25">
      <c r="A403" s="96"/>
      <c r="B403" s="97"/>
      <c r="C403" s="97"/>
      <c r="D403" s="97"/>
      <c r="E403" s="98"/>
      <c r="F403" s="99"/>
      <c r="G403" s="97"/>
      <c r="H403" s="99"/>
      <c r="I403" s="99"/>
      <c r="J403" s="100"/>
      <c r="K403" s="101"/>
      <c r="L403" s="102"/>
      <c r="M403" s="103"/>
      <c r="N403" s="104"/>
      <c r="O403" s="97"/>
      <c r="P403" s="97"/>
      <c r="Q403" s="97"/>
      <c r="R403" s="105"/>
      <c r="S403" s="97"/>
      <c r="T403" s="97"/>
      <c r="U403" s="97" t="str">
        <f t="shared" si="9"/>
        <v/>
      </c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/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7"/>
      <c r="BA403" s="97"/>
      <c r="BB403" s="97"/>
      <c r="BC403" s="97"/>
      <c r="BD403" s="97"/>
      <c r="BE403" s="97"/>
      <c r="BF403" s="97"/>
      <c r="BG403" s="97"/>
      <c r="BH403" s="97"/>
    </row>
    <row r="404" spans="1:60" x14ac:dyDescent="0.25">
      <c r="A404" s="106"/>
      <c r="B404" s="107"/>
      <c r="C404" s="107"/>
      <c r="D404" s="107"/>
      <c r="E404" s="108"/>
      <c r="F404" s="109"/>
      <c r="G404" s="107"/>
      <c r="H404" s="109"/>
      <c r="I404" s="110"/>
      <c r="J404" s="110"/>
      <c r="K404" s="111"/>
      <c r="L404" s="112"/>
      <c r="M404" s="113"/>
      <c r="N404" s="114"/>
      <c r="O404" s="107"/>
      <c r="P404" s="107"/>
      <c r="Q404" s="115"/>
      <c r="R404" s="116"/>
      <c r="S404" s="107"/>
      <c r="T404" s="107"/>
      <c r="U404" s="107" t="str">
        <f t="shared" si="9"/>
        <v/>
      </c>
      <c r="V404" s="107"/>
      <c r="W404" s="107"/>
      <c r="X404" s="107"/>
      <c r="Y404" s="107"/>
      <c r="Z404" s="107"/>
      <c r="AA404" s="107"/>
      <c r="AB404" s="107"/>
      <c r="AC404" s="107"/>
      <c r="AD404" s="107"/>
      <c r="AE404" s="107"/>
      <c r="AF404" s="107"/>
      <c r="AG404" s="107"/>
      <c r="AH404" s="107"/>
      <c r="AI404" s="107"/>
      <c r="AJ404" s="107"/>
      <c r="AK404" s="107"/>
      <c r="AL404" s="107"/>
      <c r="AM404" s="107"/>
      <c r="AN404" s="107"/>
      <c r="AO404" s="107"/>
      <c r="AP404" s="107"/>
      <c r="AQ404" s="107"/>
      <c r="AR404" s="107"/>
      <c r="AS404" s="107"/>
      <c r="AT404" s="107"/>
      <c r="AU404" s="107"/>
      <c r="AV404" s="107"/>
      <c r="AW404" s="107"/>
      <c r="AX404" s="107"/>
      <c r="AY404" s="107"/>
      <c r="AZ404" s="107"/>
      <c r="BA404" s="107"/>
      <c r="BB404" s="107"/>
      <c r="BC404" s="107"/>
      <c r="BD404" s="107"/>
      <c r="BE404" s="107"/>
      <c r="BF404" s="107"/>
      <c r="BG404" s="107"/>
      <c r="BH404" s="107"/>
    </row>
    <row r="405" spans="1:60" x14ac:dyDescent="0.25">
      <c r="A405" s="96"/>
      <c r="B405" s="97"/>
      <c r="C405" s="97"/>
      <c r="D405" s="97"/>
      <c r="E405" s="98"/>
      <c r="F405" s="99"/>
      <c r="G405" s="97"/>
      <c r="H405" s="99"/>
      <c r="I405" s="99"/>
      <c r="J405" s="100"/>
      <c r="K405" s="101"/>
      <c r="L405" s="102"/>
      <c r="M405" s="103"/>
      <c r="N405" s="104"/>
      <c r="O405" s="97"/>
      <c r="P405" s="97"/>
      <c r="Q405" s="97"/>
      <c r="R405" s="105"/>
      <c r="S405" s="97"/>
      <c r="T405" s="97"/>
      <c r="U405" s="97" t="str">
        <f t="shared" si="9"/>
        <v/>
      </c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/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7"/>
      <c r="BA405" s="97"/>
      <c r="BB405" s="97"/>
      <c r="BC405" s="97"/>
      <c r="BD405" s="97"/>
      <c r="BE405" s="97"/>
      <c r="BF405" s="97"/>
      <c r="BG405" s="97"/>
      <c r="BH405" s="97"/>
    </row>
    <row r="406" spans="1:60" x14ac:dyDescent="0.25">
      <c r="A406" s="106"/>
      <c r="B406" s="107"/>
      <c r="C406" s="107"/>
      <c r="D406" s="107"/>
      <c r="E406" s="108"/>
      <c r="F406" s="109"/>
      <c r="G406" s="107"/>
      <c r="H406" s="109"/>
      <c r="I406" s="110"/>
      <c r="J406" s="110"/>
      <c r="K406" s="111"/>
      <c r="L406" s="112"/>
      <c r="M406" s="113"/>
      <c r="N406" s="114"/>
      <c r="O406" s="107"/>
      <c r="P406" s="107"/>
      <c r="Q406" s="115"/>
      <c r="R406" s="116"/>
      <c r="S406" s="107"/>
      <c r="T406" s="107"/>
      <c r="U406" s="107" t="str">
        <f t="shared" si="9"/>
        <v/>
      </c>
      <c r="V406" s="107"/>
      <c r="W406" s="107"/>
      <c r="X406" s="107"/>
      <c r="Y406" s="107"/>
      <c r="Z406" s="107"/>
      <c r="AA406" s="107"/>
      <c r="AB406" s="107"/>
      <c r="AC406" s="107"/>
      <c r="AD406" s="107"/>
      <c r="AE406" s="107"/>
      <c r="AF406" s="107"/>
      <c r="AG406" s="107"/>
      <c r="AH406" s="107"/>
      <c r="AI406" s="107"/>
      <c r="AJ406" s="107"/>
      <c r="AK406" s="107"/>
      <c r="AL406" s="107"/>
      <c r="AM406" s="107"/>
      <c r="AN406" s="107"/>
      <c r="AO406" s="107"/>
      <c r="AP406" s="107"/>
      <c r="AQ406" s="107"/>
      <c r="AR406" s="107"/>
      <c r="AS406" s="107"/>
      <c r="AT406" s="107"/>
      <c r="AU406" s="107"/>
      <c r="AV406" s="107"/>
      <c r="AW406" s="107"/>
      <c r="AX406" s="107"/>
      <c r="AY406" s="107"/>
      <c r="AZ406" s="107"/>
      <c r="BA406" s="107"/>
      <c r="BB406" s="107"/>
      <c r="BC406" s="107"/>
      <c r="BD406" s="107"/>
      <c r="BE406" s="107"/>
      <c r="BF406" s="107"/>
      <c r="BG406" s="107"/>
      <c r="BH406" s="107"/>
    </row>
    <row r="407" spans="1:60" x14ac:dyDescent="0.25">
      <c r="A407" s="96"/>
      <c r="B407" s="97"/>
      <c r="C407" s="97"/>
      <c r="D407" s="97"/>
      <c r="E407" s="98"/>
      <c r="F407" s="99"/>
      <c r="G407" s="97"/>
      <c r="H407" s="99"/>
      <c r="I407" s="99"/>
      <c r="J407" s="100"/>
      <c r="K407" s="101"/>
      <c r="L407" s="102"/>
      <c r="M407" s="103"/>
      <c r="N407" s="104"/>
      <c r="O407" s="97"/>
      <c r="P407" s="97"/>
      <c r="Q407" s="97"/>
      <c r="R407" s="105"/>
      <c r="S407" s="97"/>
      <c r="T407" s="97"/>
      <c r="U407" s="97" t="str">
        <f t="shared" si="9"/>
        <v/>
      </c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/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7"/>
      <c r="BA407" s="97"/>
      <c r="BB407" s="97"/>
      <c r="BC407" s="97"/>
      <c r="BD407" s="97"/>
      <c r="BE407" s="97"/>
      <c r="BF407" s="97"/>
      <c r="BG407" s="97"/>
      <c r="BH407" s="97"/>
    </row>
    <row r="408" spans="1:60" x14ac:dyDescent="0.25">
      <c r="A408" s="106"/>
      <c r="B408" s="107"/>
      <c r="C408" s="107"/>
      <c r="D408" s="107"/>
      <c r="E408" s="108"/>
      <c r="F408" s="109"/>
      <c r="G408" s="107"/>
      <c r="H408" s="109"/>
      <c r="I408" s="110"/>
      <c r="J408" s="110"/>
      <c r="K408" s="111"/>
      <c r="L408" s="112"/>
      <c r="M408" s="113"/>
      <c r="N408" s="114"/>
      <c r="O408" s="107"/>
      <c r="P408" s="107"/>
      <c r="Q408" s="115"/>
      <c r="R408" s="116"/>
      <c r="S408" s="107"/>
      <c r="T408" s="107"/>
      <c r="U408" s="107" t="str">
        <f t="shared" si="9"/>
        <v/>
      </c>
      <c r="V408" s="107"/>
      <c r="W408" s="107"/>
      <c r="X408" s="107"/>
      <c r="Y408" s="107"/>
      <c r="Z408" s="107"/>
      <c r="AA408" s="107"/>
      <c r="AB408" s="107"/>
      <c r="AC408" s="107"/>
      <c r="AD408" s="107"/>
      <c r="AE408" s="107"/>
      <c r="AF408" s="107"/>
      <c r="AG408" s="107"/>
      <c r="AH408" s="107"/>
      <c r="AI408" s="107"/>
      <c r="AJ408" s="107"/>
      <c r="AK408" s="107"/>
      <c r="AL408" s="107"/>
      <c r="AM408" s="107"/>
      <c r="AN408" s="107"/>
      <c r="AO408" s="107"/>
      <c r="AP408" s="107"/>
      <c r="AQ408" s="107"/>
      <c r="AR408" s="107"/>
      <c r="AS408" s="107"/>
      <c r="AT408" s="107"/>
      <c r="AU408" s="107"/>
      <c r="AV408" s="107"/>
      <c r="AW408" s="107"/>
      <c r="AX408" s="107"/>
      <c r="AY408" s="107"/>
      <c r="AZ408" s="107"/>
      <c r="BA408" s="107"/>
      <c r="BB408" s="107"/>
      <c r="BC408" s="107"/>
      <c r="BD408" s="107"/>
      <c r="BE408" s="107"/>
      <c r="BF408" s="107"/>
      <c r="BG408" s="107"/>
      <c r="BH408" s="107"/>
    </row>
    <row r="409" spans="1:60" x14ac:dyDescent="0.25">
      <c r="A409" s="96"/>
      <c r="B409" s="97"/>
      <c r="C409" s="97"/>
      <c r="D409" s="97"/>
      <c r="E409" s="98"/>
      <c r="F409" s="99"/>
      <c r="G409" s="97"/>
      <c r="H409" s="99"/>
      <c r="I409" s="99"/>
      <c r="J409" s="100"/>
      <c r="K409" s="101"/>
      <c r="L409" s="102"/>
      <c r="M409" s="103"/>
      <c r="N409" s="104"/>
      <c r="O409" s="97"/>
      <c r="P409" s="97"/>
      <c r="Q409" s="97"/>
      <c r="R409" s="105"/>
      <c r="S409" s="97"/>
      <c r="T409" s="97"/>
      <c r="U409" s="97" t="str">
        <f t="shared" si="9"/>
        <v/>
      </c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7"/>
      <c r="BA409" s="97"/>
      <c r="BB409" s="97"/>
      <c r="BC409" s="97"/>
      <c r="BD409" s="97"/>
      <c r="BE409" s="97"/>
      <c r="BF409" s="97"/>
      <c r="BG409" s="97"/>
      <c r="BH409" s="97"/>
    </row>
    <row r="410" spans="1:60" x14ac:dyDescent="0.25">
      <c r="A410" s="106"/>
      <c r="B410" s="107"/>
      <c r="C410" s="107"/>
      <c r="D410" s="107"/>
      <c r="E410" s="108"/>
      <c r="F410" s="109"/>
      <c r="G410" s="107"/>
      <c r="H410" s="109"/>
      <c r="I410" s="110"/>
      <c r="J410" s="110"/>
      <c r="K410" s="111"/>
      <c r="L410" s="112"/>
      <c r="M410" s="113"/>
      <c r="N410" s="114"/>
      <c r="O410" s="107"/>
      <c r="P410" s="107"/>
      <c r="Q410" s="115"/>
      <c r="R410" s="116"/>
      <c r="S410" s="107"/>
      <c r="T410" s="107"/>
      <c r="U410" s="107" t="str">
        <f t="shared" si="9"/>
        <v/>
      </c>
      <c r="V410" s="107"/>
      <c r="W410" s="107"/>
      <c r="X410" s="107"/>
      <c r="Y410" s="107"/>
      <c r="Z410" s="107"/>
      <c r="AA410" s="107"/>
      <c r="AB410" s="107"/>
      <c r="AC410" s="107"/>
      <c r="AD410" s="107"/>
      <c r="AE410" s="107"/>
      <c r="AF410" s="107"/>
      <c r="AG410" s="107"/>
      <c r="AH410" s="107"/>
      <c r="AI410" s="107"/>
      <c r="AJ410" s="107"/>
      <c r="AK410" s="107"/>
      <c r="AL410" s="107"/>
      <c r="AM410" s="107"/>
      <c r="AN410" s="107"/>
      <c r="AO410" s="107"/>
      <c r="AP410" s="107"/>
      <c r="AQ410" s="107"/>
      <c r="AR410" s="107"/>
      <c r="AS410" s="107"/>
      <c r="AT410" s="107"/>
      <c r="AU410" s="107"/>
      <c r="AV410" s="107"/>
      <c r="AW410" s="107"/>
      <c r="AX410" s="107"/>
      <c r="AY410" s="107"/>
      <c r="AZ410" s="107"/>
      <c r="BA410" s="107"/>
      <c r="BB410" s="107"/>
      <c r="BC410" s="107"/>
      <c r="BD410" s="107"/>
      <c r="BE410" s="107"/>
      <c r="BF410" s="107"/>
      <c r="BG410" s="107"/>
      <c r="BH410" s="107"/>
    </row>
    <row r="411" spans="1:60" x14ac:dyDescent="0.25">
      <c r="A411" s="96"/>
      <c r="B411" s="97"/>
      <c r="C411" s="97"/>
      <c r="D411" s="97"/>
      <c r="E411" s="98"/>
      <c r="F411" s="99"/>
      <c r="G411" s="97"/>
      <c r="H411" s="99"/>
      <c r="I411" s="99"/>
      <c r="J411" s="100"/>
      <c r="K411" s="101"/>
      <c r="L411" s="102"/>
      <c r="M411" s="103"/>
      <c r="N411" s="104"/>
      <c r="O411" s="97"/>
      <c r="P411" s="97"/>
      <c r="Q411" s="97"/>
      <c r="R411" s="105"/>
      <c r="S411" s="97"/>
      <c r="T411" s="97"/>
      <c r="U411" s="97" t="str">
        <f t="shared" si="9"/>
        <v/>
      </c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7"/>
      <c r="BA411" s="97"/>
      <c r="BB411" s="97"/>
      <c r="BC411" s="97"/>
      <c r="BD411" s="97"/>
      <c r="BE411" s="97"/>
      <c r="BF411" s="97"/>
      <c r="BG411" s="97"/>
      <c r="BH411" s="97"/>
    </row>
    <row r="412" spans="1:60" x14ac:dyDescent="0.25">
      <c r="A412" s="106"/>
      <c r="B412" s="107"/>
      <c r="C412" s="107"/>
      <c r="D412" s="107"/>
      <c r="E412" s="108"/>
      <c r="F412" s="109"/>
      <c r="G412" s="107"/>
      <c r="H412" s="109"/>
      <c r="I412" s="110"/>
      <c r="J412" s="110"/>
      <c r="K412" s="111"/>
      <c r="L412" s="112"/>
      <c r="M412" s="113"/>
      <c r="N412" s="114"/>
      <c r="O412" s="107"/>
      <c r="P412" s="107"/>
      <c r="Q412" s="115"/>
      <c r="R412" s="116"/>
      <c r="S412" s="107"/>
      <c r="T412" s="107"/>
      <c r="U412" s="107" t="str">
        <f t="shared" si="9"/>
        <v/>
      </c>
      <c r="V412" s="107"/>
      <c r="W412" s="107"/>
      <c r="X412" s="107"/>
      <c r="Y412" s="107"/>
      <c r="Z412" s="107"/>
      <c r="AA412" s="107"/>
      <c r="AB412" s="107"/>
      <c r="AC412" s="107"/>
      <c r="AD412" s="107"/>
      <c r="AE412" s="107"/>
      <c r="AF412" s="107"/>
      <c r="AG412" s="107"/>
      <c r="AH412" s="107"/>
      <c r="AI412" s="107"/>
      <c r="AJ412" s="107"/>
      <c r="AK412" s="107"/>
      <c r="AL412" s="107"/>
      <c r="AM412" s="107"/>
      <c r="AN412" s="107"/>
      <c r="AO412" s="107"/>
      <c r="AP412" s="107"/>
      <c r="AQ412" s="107"/>
      <c r="AR412" s="107"/>
      <c r="AS412" s="107"/>
      <c r="AT412" s="107"/>
      <c r="AU412" s="107"/>
      <c r="AV412" s="107"/>
      <c r="AW412" s="107"/>
      <c r="AX412" s="107"/>
      <c r="AY412" s="107"/>
      <c r="AZ412" s="107"/>
      <c r="BA412" s="107"/>
      <c r="BB412" s="107"/>
      <c r="BC412" s="107"/>
      <c r="BD412" s="107"/>
      <c r="BE412" s="107"/>
      <c r="BF412" s="107"/>
      <c r="BG412" s="107"/>
      <c r="BH412" s="107"/>
    </row>
    <row r="413" spans="1:60" x14ac:dyDescent="0.25">
      <c r="A413" s="96"/>
      <c r="B413" s="97"/>
      <c r="C413" s="97"/>
      <c r="D413" s="97"/>
      <c r="E413" s="98"/>
      <c r="F413" s="99"/>
      <c r="G413" s="97"/>
      <c r="H413" s="99"/>
      <c r="I413" s="99"/>
      <c r="J413" s="100"/>
      <c r="K413" s="101"/>
      <c r="L413" s="102"/>
      <c r="M413" s="103"/>
      <c r="N413" s="104"/>
      <c r="O413" s="97"/>
      <c r="P413" s="97"/>
      <c r="Q413" s="97"/>
      <c r="R413" s="105"/>
      <c r="S413" s="97"/>
      <c r="T413" s="97"/>
      <c r="U413" s="97" t="str">
        <f t="shared" si="9"/>
        <v/>
      </c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/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7"/>
      <c r="BA413" s="97"/>
      <c r="BB413" s="97"/>
      <c r="BC413" s="97"/>
      <c r="BD413" s="97"/>
      <c r="BE413" s="97"/>
      <c r="BF413" s="97"/>
      <c r="BG413" s="97"/>
      <c r="BH413" s="97"/>
    </row>
    <row r="414" spans="1:60" x14ac:dyDescent="0.25">
      <c r="A414" s="106"/>
      <c r="B414" s="107"/>
      <c r="C414" s="107"/>
      <c r="D414" s="107"/>
      <c r="E414" s="108"/>
      <c r="F414" s="109"/>
      <c r="G414" s="107"/>
      <c r="H414" s="109"/>
      <c r="I414" s="110"/>
      <c r="J414" s="110"/>
      <c r="K414" s="111"/>
      <c r="L414" s="112"/>
      <c r="M414" s="113"/>
      <c r="N414" s="114"/>
      <c r="O414" s="107"/>
      <c r="P414" s="107"/>
      <c r="Q414" s="115"/>
      <c r="R414" s="116"/>
      <c r="S414" s="107"/>
      <c r="T414" s="107"/>
      <c r="U414" s="107" t="str">
        <f t="shared" si="9"/>
        <v/>
      </c>
      <c r="V414" s="107"/>
      <c r="W414" s="107"/>
      <c r="X414" s="107"/>
      <c r="Y414" s="107"/>
      <c r="Z414" s="107"/>
      <c r="AA414" s="107"/>
      <c r="AB414" s="107"/>
      <c r="AC414" s="107"/>
      <c r="AD414" s="107"/>
      <c r="AE414" s="107"/>
      <c r="AF414" s="107"/>
      <c r="AG414" s="107"/>
      <c r="AH414" s="107"/>
      <c r="AI414" s="107"/>
      <c r="AJ414" s="107"/>
      <c r="AK414" s="107"/>
      <c r="AL414" s="107"/>
      <c r="AM414" s="107"/>
      <c r="AN414" s="107"/>
      <c r="AO414" s="107"/>
      <c r="AP414" s="107"/>
      <c r="AQ414" s="107"/>
      <c r="AR414" s="107"/>
      <c r="AS414" s="107"/>
      <c r="AT414" s="107"/>
      <c r="AU414" s="107"/>
      <c r="AV414" s="107"/>
      <c r="AW414" s="107"/>
      <c r="AX414" s="107"/>
      <c r="AY414" s="107"/>
      <c r="AZ414" s="107"/>
      <c r="BA414" s="107"/>
      <c r="BB414" s="107"/>
      <c r="BC414" s="107"/>
      <c r="BD414" s="107"/>
      <c r="BE414" s="107"/>
      <c r="BF414" s="107"/>
      <c r="BG414" s="107"/>
      <c r="BH414" s="107"/>
    </row>
    <row r="415" spans="1:60" x14ac:dyDescent="0.25">
      <c r="A415" s="96"/>
      <c r="B415" s="97"/>
      <c r="C415" s="97"/>
      <c r="D415" s="97"/>
      <c r="E415" s="98"/>
      <c r="F415" s="99"/>
      <c r="G415" s="97"/>
      <c r="H415" s="99"/>
      <c r="I415" s="99"/>
      <c r="J415" s="100"/>
      <c r="K415" s="101"/>
      <c r="L415" s="102"/>
      <c r="M415" s="103"/>
      <c r="N415" s="104"/>
      <c r="O415" s="97"/>
      <c r="P415" s="97"/>
      <c r="Q415" s="97"/>
      <c r="R415" s="105"/>
      <c r="S415" s="97"/>
      <c r="T415" s="97"/>
      <c r="U415" s="97" t="str">
        <f t="shared" si="9"/>
        <v/>
      </c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7"/>
      <c r="BA415" s="97"/>
      <c r="BB415" s="97"/>
      <c r="BC415" s="97"/>
      <c r="BD415" s="97"/>
      <c r="BE415" s="97"/>
      <c r="BF415" s="97"/>
      <c r="BG415" s="97"/>
      <c r="BH415" s="97"/>
    </row>
    <row r="416" spans="1:60" x14ac:dyDescent="0.25">
      <c r="A416" s="106"/>
      <c r="B416" s="107"/>
      <c r="C416" s="107"/>
      <c r="D416" s="107"/>
      <c r="E416" s="108"/>
      <c r="F416" s="109"/>
      <c r="G416" s="107"/>
      <c r="H416" s="109"/>
      <c r="I416" s="110"/>
      <c r="J416" s="110"/>
      <c r="K416" s="111"/>
      <c r="L416" s="112"/>
      <c r="M416" s="113"/>
      <c r="N416" s="114"/>
      <c r="O416" s="107"/>
      <c r="P416" s="107"/>
      <c r="Q416" s="115"/>
      <c r="R416" s="116"/>
      <c r="S416" s="107"/>
      <c r="T416" s="107"/>
      <c r="U416" s="107" t="str">
        <f t="shared" si="9"/>
        <v/>
      </c>
      <c r="V416" s="107"/>
      <c r="W416" s="107"/>
      <c r="X416" s="107"/>
      <c r="Y416" s="107"/>
      <c r="Z416" s="107"/>
      <c r="AA416" s="107"/>
      <c r="AB416" s="107"/>
      <c r="AC416" s="107"/>
      <c r="AD416" s="107"/>
      <c r="AE416" s="107"/>
      <c r="AF416" s="107"/>
      <c r="AG416" s="107"/>
      <c r="AH416" s="107"/>
      <c r="AI416" s="107"/>
      <c r="AJ416" s="107"/>
      <c r="AK416" s="107"/>
      <c r="AL416" s="107"/>
      <c r="AM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  <c r="AY416" s="107"/>
      <c r="AZ416" s="107"/>
      <c r="BA416" s="107"/>
      <c r="BB416" s="107"/>
      <c r="BC416" s="107"/>
      <c r="BD416" s="107"/>
      <c r="BE416" s="107"/>
      <c r="BF416" s="107"/>
      <c r="BG416" s="107"/>
      <c r="BH416" s="107"/>
    </row>
    <row r="417" spans="1:60" x14ac:dyDescent="0.25">
      <c r="A417" s="96"/>
      <c r="B417" s="97"/>
      <c r="C417" s="97"/>
      <c r="D417" s="97"/>
      <c r="E417" s="98"/>
      <c r="F417" s="99"/>
      <c r="G417" s="97"/>
      <c r="H417" s="99"/>
      <c r="I417" s="99"/>
      <c r="J417" s="100"/>
      <c r="K417" s="101"/>
      <c r="L417" s="102"/>
      <c r="M417" s="103"/>
      <c r="N417" s="104"/>
      <c r="O417" s="97"/>
      <c r="P417" s="97"/>
      <c r="Q417" s="97"/>
      <c r="R417" s="105"/>
      <c r="S417" s="97"/>
      <c r="T417" s="97"/>
      <c r="U417" s="97" t="str">
        <f t="shared" si="9"/>
        <v/>
      </c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7"/>
      <c r="BA417" s="97"/>
      <c r="BB417" s="97"/>
      <c r="BC417" s="97"/>
      <c r="BD417" s="97"/>
      <c r="BE417" s="97"/>
      <c r="BF417" s="97"/>
      <c r="BG417" s="97"/>
      <c r="BH417" s="97"/>
    </row>
    <row r="418" spans="1:60" x14ac:dyDescent="0.25">
      <c r="A418" s="106"/>
      <c r="B418" s="107"/>
      <c r="C418" s="107"/>
      <c r="D418" s="107"/>
      <c r="E418" s="108"/>
      <c r="F418" s="109"/>
      <c r="G418" s="107"/>
      <c r="H418" s="109"/>
      <c r="I418" s="110"/>
      <c r="J418" s="110"/>
      <c r="K418" s="111"/>
      <c r="L418" s="112"/>
      <c r="M418" s="113"/>
      <c r="N418" s="114"/>
      <c r="O418" s="107"/>
      <c r="P418" s="107"/>
      <c r="Q418" s="115"/>
      <c r="R418" s="116"/>
      <c r="S418" s="107"/>
      <c r="T418" s="107"/>
      <c r="U418" s="107" t="str">
        <f t="shared" si="9"/>
        <v/>
      </c>
      <c r="V418" s="107"/>
      <c r="W418" s="107"/>
      <c r="X418" s="107"/>
      <c r="Y418" s="107"/>
      <c r="Z418" s="107"/>
      <c r="AA418" s="107"/>
      <c r="AB418" s="107"/>
      <c r="AC418" s="107"/>
      <c r="AD418" s="107"/>
      <c r="AE418" s="107"/>
      <c r="AF418" s="107"/>
      <c r="AG418" s="107"/>
      <c r="AH418" s="107"/>
      <c r="AI418" s="107"/>
      <c r="AJ418" s="107"/>
      <c r="AK418" s="107"/>
      <c r="AL418" s="107"/>
      <c r="AM418" s="107"/>
      <c r="AN418" s="107"/>
      <c r="AO418" s="107"/>
      <c r="AP418" s="107"/>
      <c r="AQ418" s="107"/>
      <c r="AR418" s="107"/>
      <c r="AS418" s="107"/>
      <c r="AT418" s="107"/>
      <c r="AU418" s="107"/>
      <c r="AV418" s="107"/>
      <c r="AW418" s="107"/>
      <c r="AX418" s="107"/>
      <c r="AY418" s="107"/>
      <c r="AZ418" s="107"/>
      <c r="BA418" s="107"/>
      <c r="BB418" s="107"/>
      <c r="BC418" s="107"/>
      <c r="BD418" s="107"/>
      <c r="BE418" s="107"/>
      <c r="BF418" s="107"/>
      <c r="BG418" s="107"/>
      <c r="BH418" s="107"/>
    </row>
    <row r="419" spans="1:60" x14ac:dyDescent="0.25">
      <c r="A419" s="96"/>
      <c r="B419" s="97"/>
      <c r="C419" s="97"/>
      <c r="D419" s="97"/>
      <c r="E419" s="98"/>
      <c r="F419" s="99"/>
      <c r="G419" s="97"/>
      <c r="H419" s="99"/>
      <c r="I419" s="99"/>
      <c r="J419" s="100"/>
      <c r="K419" s="101"/>
      <c r="L419" s="102"/>
      <c r="M419" s="103"/>
      <c r="N419" s="104"/>
      <c r="O419" s="97"/>
      <c r="P419" s="97"/>
      <c r="Q419" s="97"/>
      <c r="R419" s="105"/>
      <c r="S419" s="97"/>
      <c r="T419" s="97"/>
      <c r="U419" s="97" t="str">
        <f t="shared" si="9"/>
        <v/>
      </c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7"/>
      <c r="BA419" s="97"/>
      <c r="BB419" s="97"/>
      <c r="BC419" s="97"/>
      <c r="BD419" s="97"/>
      <c r="BE419" s="97"/>
      <c r="BF419" s="97"/>
      <c r="BG419" s="97"/>
      <c r="BH419" s="97"/>
    </row>
    <row r="420" spans="1:60" x14ac:dyDescent="0.25">
      <c r="A420" s="106"/>
      <c r="B420" s="107"/>
      <c r="C420" s="107"/>
      <c r="D420" s="107"/>
      <c r="E420" s="108"/>
      <c r="F420" s="109"/>
      <c r="G420" s="107"/>
      <c r="H420" s="109"/>
      <c r="I420" s="110"/>
      <c r="J420" s="110"/>
      <c r="K420" s="111"/>
      <c r="L420" s="112"/>
      <c r="M420" s="113"/>
      <c r="N420" s="114"/>
      <c r="O420" s="107"/>
      <c r="P420" s="107"/>
      <c r="Q420" s="115"/>
      <c r="R420" s="116"/>
      <c r="S420" s="107"/>
      <c r="T420" s="107"/>
      <c r="U420" s="107" t="str">
        <f t="shared" si="9"/>
        <v/>
      </c>
      <c r="V420" s="107"/>
      <c r="W420" s="107"/>
      <c r="X420" s="107"/>
      <c r="Y420" s="107"/>
      <c r="Z420" s="107"/>
      <c r="AA420" s="107"/>
      <c r="AB420" s="107"/>
      <c r="AC420" s="107"/>
      <c r="AD420" s="107"/>
      <c r="AE420" s="107"/>
      <c r="AF420" s="107"/>
      <c r="AG420" s="107"/>
      <c r="AH420" s="107"/>
      <c r="AI420" s="107"/>
      <c r="AJ420" s="107"/>
      <c r="AK420" s="107"/>
      <c r="AL420" s="107"/>
      <c r="AM420" s="107"/>
      <c r="AN420" s="107"/>
      <c r="AO420" s="107"/>
      <c r="AP420" s="107"/>
      <c r="AQ420" s="107"/>
      <c r="AR420" s="107"/>
      <c r="AS420" s="107"/>
      <c r="AT420" s="107"/>
      <c r="AU420" s="107"/>
      <c r="AV420" s="107"/>
      <c r="AW420" s="107"/>
      <c r="AX420" s="107"/>
      <c r="AY420" s="107"/>
      <c r="AZ420" s="107"/>
      <c r="BA420" s="107"/>
      <c r="BB420" s="107"/>
      <c r="BC420" s="107"/>
      <c r="BD420" s="107"/>
      <c r="BE420" s="107"/>
      <c r="BF420" s="107"/>
      <c r="BG420" s="107"/>
      <c r="BH420" s="107"/>
    </row>
    <row r="421" spans="1:60" x14ac:dyDescent="0.25">
      <c r="A421" s="96"/>
      <c r="B421" s="97"/>
      <c r="C421" s="97"/>
      <c r="D421" s="97"/>
      <c r="E421" s="98"/>
      <c r="F421" s="99"/>
      <c r="G421" s="97"/>
      <c r="H421" s="99"/>
      <c r="I421" s="99"/>
      <c r="J421" s="100"/>
      <c r="K421" s="101"/>
      <c r="L421" s="102"/>
      <c r="M421" s="103"/>
      <c r="N421" s="104"/>
      <c r="O421" s="97"/>
      <c r="P421" s="97"/>
      <c r="Q421" s="97"/>
      <c r="R421" s="105"/>
      <c r="S421" s="97"/>
      <c r="T421" s="97"/>
      <c r="U421" s="97" t="str">
        <f t="shared" si="9"/>
        <v/>
      </c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/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7"/>
      <c r="BA421" s="97"/>
      <c r="BB421" s="97"/>
      <c r="BC421" s="97"/>
      <c r="BD421" s="97"/>
      <c r="BE421" s="97"/>
      <c r="BF421" s="97"/>
      <c r="BG421" s="97"/>
      <c r="BH421" s="97"/>
    </row>
    <row r="422" spans="1:60" x14ac:dyDescent="0.25">
      <c r="A422" s="106"/>
      <c r="B422" s="107"/>
      <c r="C422" s="107"/>
      <c r="D422" s="107"/>
      <c r="E422" s="108"/>
      <c r="F422" s="109"/>
      <c r="G422" s="107"/>
      <c r="H422" s="109"/>
      <c r="I422" s="110"/>
      <c r="J422" s="110"/>
      <c r="K422" s="111"/>
      <c r="L422" s="112"/>
      <c r="M422" s="113"/>
      <c r="N422" s="114"/>
      <c r="O422" s="107"/>
      <c r="P422" s="107"/>
      <c r="Q422" s="115"/>
      <c r="R422" s="116"/>
      <c r="S422" s="107"/>
      <c r="T422" s="107"/>
      <c r="U422" s="107" t="str">
        <f t="shared" si="9"/>
        <v/>
      </c>
      <c r="V422" s="107"/>
      <c r="W422" s="107"/>
      <c r="X422" s="107"/>
      <c r="Y422" s="107"/>
      <c r="Z422" s="107"/>
      <c r="AA422" s="107"/>
      <c r="AB422" s="107"/>
      <c r="AC422" s="107"/>
      <c r="AD422" s="107"/>
      <c r="AE422" s="107"/>
      <c r="AF422" s="107"/>
      <c r="AG422" s="107"/>
      <c r="AH422" s="107"/>
      <c r="AI422" s="107"/>
      <c r="AJ422" s="107"/>
      <c r="AK422" s="107"/>
      <c r="AL422" s="107"/>
      <c r="AM422" s="107"/>
      <c r="AN422" s="107"/>
      <c r="AO422" s="107"/>
      <c r="AP422" s="107"/>
      <c r="AQ422" s="107"/>
      <c r="AR422" s="107"/>
      <c r="AS422" s="107"/>
      <c r="AT422" s="107"/>
      <c r="AU422" s="107"/>
      <c r="AV422" s="107"/>
      <c r="AW422" s="107"/>
      <c r="AX422" s="107"/>
      <c r="AY422" s="107"/>
      <c r="AZ422" s="107"/>
      <c r="BA422" s="107"/>
      <c r="BB422" s="107"/>
      <c r="BC422" s="107"/>
      <c r="BD422" s="107"/>
      <c r="BE422" s="107"/>
      <c r="BF422" s="107"/>
      <c r="BG422" s="107"/>
      <c r="BH422" s="107"/>
    </row>
    <row r="423" spans="1:60" x14ac:dyDescent="0.25">
      <c r="A423" s="96"/>
      <c r="B423" s="97"/>
      <c r="C423" s="97"/>
      <c r="D423" s="97"/>
      <c r="E423" s="98"/>
      <c r="F423" s="99"/>
      <c r="G423" s="97"/>
      <c r="H423" s="99"/>
      <c r="I423" s="99"/>
      <c r="J423" s="100"/>
      <c r="K423" s="101"/>
      <c r="L423" s="102"/>
      <c r="M423" s="103"/>
      <c r="N423" s="104"/>
      <c r="O423" s="97"/>
      <c r="P423" s="97"/>
      <c r="Q423" s="97"/>
      <c r="R423" s="105"/>
      <c r="S423" s="97"/>
      <c r="T423" s="97"/>
      <c r="U423" s="97" t="str">
        <f t="shared" si="9"/>
        <v/>
      </c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7"/>
      <c r="BA423" s="97"/>
      <c r="BB423" s="97"/>
      <c r="BC423" s="97"/>
      <c r="BD423" s="97"/>
      <c r="BE423" s="97"/>
      <c r="BF423" s="97"/>
      <c r="BG423" s="97"/>
      <c r="BH423" s="97"/>
    </row>
    <row r="424" spans="1:60" x14ac:dyDescent="0.25">
      <c r="A424" s="106"/>
      <c r="B424" s="107"/>
      <c r="C424" s="107"/>
      <c r="D424" s="107"/>
      <c r="E424" s="108"/>
      <c r="F424" s="109"/>
      <c r="G424" s="107"/>
      <c r="H424" s="109"/>
      <c r="I424" s="110"/>
      <c r="J424" s="110"/>
      <c r="K424" s="111"/>
      <c r="L424" s="112"/>
      <c r="M424" s="113"/>
      <c r="N424" s="114"/>
      <c r="O424" s="107"/>
      <c r="P424" s="107"/>
      <c r="Q424" s="115"/>
      <c r="R424" s="116"/>
      <c r="S424" s="107"/>
      <c r="T424" s="107"/>
      <c r="U424" s="107" t="str">
        <f t="shared" si="9"/>
        <v/>
      </c>
      <c r="V424" s="107"/>
      <c r="W424" s="107"/>
      <c r="X424" s="107"/>
      <c r="Y424" s="107"/>
      <c r="Z424" s="107"/>
      <c r="AA424" s="107"/>
      <c r="AB424" s="107"/>
      <c r="AC424" s="107"/>
      <c r="AD424" s="107"/>
      <c r="AE424" s="107"/>
      <c r="AF424" s="107"/>
      <c r="AG424" s="107"/>
      <c r="AH424" s="107"/>
      <c r="AI424" s="107"/>
      <c r="AJ424" s="107"/>
      <c r="AK424" s="107"/>
      <c r="AL424" s="107"/>
      <c r="AM424" s="107"/>
      <c r="AN424" s="107"/>
      <c r="AO424" s="107"/>
      <c r="AP424" s="107"/>
      <c r="AQ424" s="107"/>
      <c r="AR424" s="107"/>
      <c r="AS424" s="107"/>
      <c r="AT424" s="107"/>
      <c r="AU424" s="107"/>
      <c r="AV424" s="107"/>
      <c r="AW424" s="107"/>
      <c r="AX424" s="107"/>
      <c r="AY424" s="107"/>
      <c r="AZ424" s="107"/>
      <c r="BA424" s="107"/>
      <c r="BB424" s="107"/>
      <c r="BC424" s="107"/>
      <c r="BD424" s="107"/>
      <c r="BE424" s="107"/>
      <c r="BF424" s="107"/>
      <c r="BG424" s="107"/>
      <c r="BH424" s="107"/>
    </row>
    <row r="425" spans="1:60" x14ac:dyDescent="0.25">
      <c r="A425" s="96"/>
      <c r="B425" s="97"/>
      <c r="C425" s="97"/>
      <c r="D425" s="97"/>
      <c r="E425" s="98"/>
      <c r="F425" s="99"/>
      <c r="G425" s="97"/>
      <c r="H425" s="99"/>
      <c r="I425" s="99"/>
      <c r="J425" s="100"/>
      <c r="K425" s="101"/>
      <c r="L425" s="102"/>
      <c r="M425" s="103"/>
      <c r="N425" s="104"/>
      <c r="O425" s="97"/>
      <c r="P425" s="97"/>
      <c r="Q425" s="97"/>
      <c r="R425" s="105"/>
      <c r="S425" s="97"/>
      <c r="T425" s="97"/>
      <c r="U425" s="97" t="str">
        <f t="shared" si="9"/>
        <v/>
      </c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7"/>
      <c r="BA425" s="97"/>
      <c r="BB425" s="97"/>
      <c r="BC425" s="97"/>
      <c r="BD425" s="97"/>
      <c r="BE425" s="97"/>
      <c r="BF425" s="97"/>
      <c r="BG425" s="97"/>
      <c r="BH425" s="97"/>
    </row>
    <row r="426" spans="1:60" x14ac:dyDescent="0.25">
      <c r="A426" s="106"/>
      <c r="B426" s="107"/>
      <c r="C426" s="107"/>
      <c r="D426" s="107"/>
      <c r="E426" s="108"/>
      <c r="F426" s="109"/>
      <c r="G426" s="107"/>
      <c r="H426" s="109"/>
      <c r="I426" s="110"/>
      <c r="J426" s="110"/>
      <c r="K426" s="111"/>
      <c r="L426" s="112"/>
      <c r="M426" s="113"/>
      <c r="N426" s="114"/>
      <c r="O426" s="107"/>
      <c r="P426" s="107"/>
      <c r="Q426" s="115"/>
      <c r="R426" s="116"/>
      <c r="S426" s="107"/>
      <c r="T426" s="107"/>
      <c r="U426" s="107" t="str">
        <f t="shared" si="9"/>
        <v/>
      </c>
      <c r="V426" s="107"/>
      <c r="W426" s="107"/>
      <c r="X426" s="107"/>
      <c r="Y426" s="107"/>
      <c r="Z426" s="107"/>
      <c r="AA426" s="107"/>
      <c r="AB426" s="107"/>
      <c r="AC426" s="107"/>
      <c r="AD426" s="107"/>
      <c r="AE426" s="107"/>
      <c r="AF426" s="107"/>
      <c r="AG426" s="107"/>
      <c r="AH426" s="107"/>
      <c r="AI426" s="107"/>
      <c r="AJ426" s="107"/>
      <c r="AK426" s="107"/>
      <c r="AL426" s="107"/>
      <c r="AM426" s="107"/>
      <c r="AN426" s="107"/>
      <c r="AO426" s="107"/>
      <c r="AP426" s="107"/>
      <c r="AQ426" s="107"/>
      <c r="AR426" s="107"/>
      <c r="AS426" s="107"/>
      <c r="AT426" s="107"/>
      <c r="AU426" s="107"/>
      <c r="AV426" s="107"/>
      <c r="AW426" s="107"/>
      <c r="AX426" s="107"/>
      <c r="AY426" s="107"/>
      <c r="AZ426" s="107"/>
      <c r="BA426" s="107"/>
      <c r="BB426" s="107"/>
      <c r="BC426" s="107"/>
      <c r="BD426" s="107"/>
      <c r="BE426" s="107"/>
      <c r="BF426" s="107"/>
      <c r="BG426" s="107"/>
      <c r="BH426" s="107"/>
    </row>
    <row r="427" spans="1:60" x14ac:dyDescent="0.25">
      <c r="A427" s="96"/>
      <c r="B427" s="97"/>
      <c r="C427" s="97"/>
      <c r="D427" s="97"/>
      <c r="E427" s="98"/>
      <c r="F427" s="99"/>
      <c r="G427" s="97"/>
      <c r="H427" s="99"/>
      <c r="I427" s="99"/>
      <c r="J427" s="100"/>
      <c r="K427" s="101"/>
      <c r="L427" s="102"/>
      <c r="M427" s="103"/>
      <c r="N427" s="104"/>
      <c r="O427" s="97"/>
      <c r="P427" s="97"/>
      <c r="Q427" s="97"/>
      <c r="R427" s="105"/>
      <c r="S427" s="97"/>
      <c r="T427" s="97"/>
      <c r="U427" s="97" t="str">
        <f t="shared" si="9"/>
        <v/>
      </c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/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7"/>
      <c r="BA427" s="97"/>
      <c r="BB427" s="97"/>
      <c r="BC427" s="97"/>
      <c r="BD427" s="97"/>
      <c r="BE427" s="97"/>
      <c r="BF427" s="97"/>
      <c r="BG427" s="97"/>
      <c r="BH427" s="97"/>
    </row>
    <row r="428" spans="1:60" x14ac:dyDescent="0.25">
      <c r="A428" s="106"/>
      <c r="B428" s="107"/>
      <c r="C428" s="107"/>
      <c r="D428" s="107"/>
      <c r="E428" s="108"/>
      <c r="F428" s="109"/>
      <c r="G428" s="107"/>
      <c r="H428" s="109"/>
      <c r="I428" s="110"/>
      <c r="J428" s="110"/>
      <c r="K428" s="111"/>
      <c r="L428" s="112"/>
      <c r="M428" s="113"/>
      <c r="N428" s="114"/>
      <c r="O428" s="107"/>
      <c r="P428" s="107"/>
      <c r="Q428" s="115"/>
      <c r="R428" s="116"/>
      <c r="S428" s="107"/>
      <c r="T428" s="107"/>
      <c r="U428" s="107" t="str">
        <f t="shared" si="9"/>
        <v/>
      </c>
      <c r="V428" s="107"/>
      <c r="W428" s="107"/>
      <c r="X428" s="107"/>
      <c r="Y428" s="107"/>
      <c r="Z428" s="107"/>
      <c r="AA428" s="107"/>
      <c r="AB428" s="107"/>
      <c r="AC428" s="107"/>
      <c r="AD428" s="107"/>
      <c r="AE428" s="107"/>
      <c r="AF428" s="107"/>
      <c r="AG428" s="107"/>
      <c r="AH428" s="107"/>
      <c r="AI428" s="107"/>
      <c r="AJ428" s="107"/>
      <c r="AK428" s="107"/>
      <c r="AL428" s="107"/>
      <c r="AM428" s="107"/>
      <c r="AN428" s="107"/>
      <c r="AO428" s="107"/>
      <c r="AP428" s="107"/>
      <c r="AQ428" s="107"/>
      <c r="AR428" s="107"/>
      <c r="AS428" s="107"/>
      <c r="AT428" s="107"/>
      <c r="AU428" s="107"/>
      <c r="AV428" s="107"/>
      <c r="AW428" s="107"/>
      <c r="AX428" s="107"/>
      <c r="AY428" s="107"/>
      <c r="AZ428" s="107"/>
      <c r="BA428" s="107"/>
      <c r="BB428" s="107"/>
      <c r="BC428" s="107"/>
      <c r="BD428" s="107"/>
      <c r="BE428" s="107"/>
      <c r="BF428" s="107"/>
      <c r="BG428" s="107"/>
      <c r="BH428" s="107"/>
    </row>
    <row r="429" spans="1:60" x14ac:dyDescent="0.25">
      <c r="A429" s="96"/>
      <c r="B429" s="97"/>
      <c r="C429" s="97"/>
      <c r="D429" s="97"/>
      <c r="E429" s="98"/>
      <c r="F429" s="99"/>
      <c r="G429" s="97"/>
      <c r="H429" s="99"/>
      <c r="I429" s="99"/>
      <c r="J429" s="100"/>
      <c r="K429" s="101"/>
      <c r="L429" s="102"/>
      <c r="M429" s="103"/>
      <c r="N429" s="104"/>
      <c r="O429" s="97"/>
      <c r="P429" s="97"/>
      <c r="Q429" s="97"/>
      <c r="R429" s="105"/>
      <c r="S429" s="97"/>
      <c r="T429" s="97"/>
      <c r="U429" s="97" t="str">
        <f t="shared" si="9"/>
        <v/>
      </c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7"/>
      <c r="BA429" s="97"/>
      <c r="BB429" s="97"/>
      <c r="BC429" s="97"/>
      <c r="BD429" s="97"/>
      <c r="BE429" s="97"/>
      <c r="BF429" s="97"/>
      <c r="BG429" s="97"/>
      <c r="BH429" s="97"/>
    </row>
    <row r="430" spans="1:60" x14ac:dyDescent="0.25">
      <c r="A430" s="106"/>
      <c r="B430" s="107"/>
      <c r="C430" s="107"/>
      <c r="D430" s="107"/>
      <c r="E430" s="108"/>
      <c r="F430" s="109"/>
      <c r="G430" s="107"/>
      <c r="H430" s="109"/>
      <c r="I430" s="110"/>
      <c r="J430" s="110"/>
      <c r="K430" s="111"/>
      <c r="L430" s="112"/>
      <c r="M430" s="113"/>
      <c r="N430" s="114"/>
      <c r="O430" s="107"/>
      <c r="P430" s="107"/>
      <c r="Q430" s="115"/>
      <c r="R430" s="116"/>
      <c r="S430" s="107"/>
      <c r="T430" s="107"/>
      <c r="U430" s="107" t="str">
        <f t="shared" si="9"/>
        <v/>
      </c>
      <c r="V430" s="107"/>
      <c r="W430" s="107"/>
      <c r="X430" s="107"/>
      <c r="Y430" s="107"/>
      <c r="Z430" s="107"/>
      <c r="AA430" s="107"/>
      <c r="AB430" s="107"/>
      <c r="AC430" s="107"/>
      <c r="AD430" s="107"/>
      <c r="AE430" s="107"/>
      <c r="AF430" s="107"/>
      <c r="AG430" s="107"/>
      <c r="AH430" s="107"/>
      <c r="AI430" s="107"/>
      <c r="AJ430" s="107"/>
      <c r="AK430" s="107"/>
      <c r="AL430" s="107"/>
      <c r="AM430" s="107"/>
      <c r="AN430" s="107"/>
      <c r="AO430" s="107"/>
      <c r="AP430" s="107"/>
      <c r="AQ430" s="107"/>
      <c r="AR430" s="107"/>
      <c r="AS430" s="107"/>
      <c r="AT430" s="107"/>
      <c r="AU430" s="107"/>
      <c r="AV430" s="107"/>
      <c r="AW430" s="107"/>
      <c r="AX430" s="107"/>
      <c r="AY430" s="107"/>
      <c r="AZ430" s="107"/>
      <c r="BA430" s="107"/>
      <c r="BB430" s="107"/>
      <c r="BC430" s="107"/>
      <c r="BD430" s="107"/>
      <c r="BE430" s="107"/>
      <c r="BF430" s="107"/>
      <c r="BG430" s="107"/>
      <c r="BH430" s="107"/>
    </row>
    <row r="431" spans="1:60" x14ac:dyDescent="0.25">
      <c r="A431" s="96"/>
      <c r="B431" s="97"/>
      <c r="C431" s="97"/>
      <c r="D431" s="97"/>
      <c r="E431" s="98"/>
      <c r="F431" s="99"/>
      <c r="G431" s="97"/>
      <c r="H431" s="99"/>
      <c r="I431" s="99"/>
      <c r="J431" s="100"/>
      <c r="K431" s="101"/>
      <c r="L431" s="102"/>
      <c r="M431" s="103"/>
      <c r="N431" s="104"/>
      <c r="O431" s="97"/>
      <c r="P431" s="97"/>
      <c r="Q431" s="97"/>
      <c r="R431" s="105"/>
      <c r="S431" s="97"/>
      <c r="T431" s="97"/>
      <c r="U431" s="97" t="str">
        <f t="shared" si="9"/>
        <v/>
      </c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7"/>
      <c r="BA431" s="97"/>
      <c r="BB431" s="97"/>
      <c r="BC431" s="97"/>
      <c r="BD431" s="97"/>
      <c r="BE431" s="97"/>
      <c r="BF431" s="97"/>
      <c r="BG431" s="97"/>
      <c r="BH431" s="97"/>
    </row>
    <row r="432" spans="1:60" x14ac:dyDescent="0.25">
      <c r="A432" s="106"/>
      <c r="B432" s="107"/>
      <c r="C432" s="107"/>
      <c r="D432" s="107"/>
      <c r="E432" s="108"/>
      <c r="F432" s="109"/>
      <c r="G432" s="107"/>
      <c r="H432" s="109"/>
      <c r="I432" s="110"/>
      <c r="J432" s="110"/>
      <c r="K432" s="111"/>
      <c r="L432" s="112"/>
      <c r="M432" s="113"/>
      <c r="N432" s="114"/>
      <c r="O432" s="107"/>
      <c r="P432" s="107"/>
      <c r="Q432" s="115"/>
      <c r="R432" s="116"/>
      <c r="S432" s="107"/>
      <c r="T432" s="107"/>
      <c r="U432" s="107" t="str">
        <f t="shared" si="9"/>
        <v/>
      </c>
      <c r="V432" s="107"/>
      <c r="W432" s="107"/>
      <c r="X432" s="107"/>
      <c r="Y432" s="107"/>
      <c r="Z432" s="107"/>
      <c r="AA432" s="107"/>
      <c r="AB432" s="107"/>
      <c r="AC432" s="107"/>
      <c r="AD432" s="107"/>
      <c r="AE432" s="107"/>
      <c r="AF432" s="107"/>
      <c r="AG432" s="107"/>
      <c r="AH432" s="107"/>
      <c r="AI432" s="107"/>
      <c r="AJ432" s="107"/>
      <c r="AK432" s="107"/>
      <c r="AL432" s="107"/>
      <c r="AM432" s="107"/>
      <c r="AN432" s="107"/>
      <c r="AO432" s="107"/>
      <c r="AP432" s="107"/>
      <c r="AQ432" s="107"/>
      <c r="AR432" s="107"/>
      <c r="AS432" s="107"/>
      <c r="AT432" s="107"/>
      <c r="AU432" s="107"/>
      <c r="AV432" s="107"/>
      <c r="AW432" s="107"/>
      <c r="AX432" s="107"/>
      <c r="AY432" s="107"/>
      <c r="AZ432" s="107"/>
      <c r="BA432" s="107"/>
      <c r="BB432" s="107"/>
      <c r="BC432" s="107"/>
      <c r="BD432" s="107"/>
      <c r="BE432" s="107"/>
      <c r="BF432" s="107"/>
      <c r="BG432" s="107"/>
      <c r="BH432" s="107"/>
    </row>
    <row r="433" spans="1:60" x14ac:dyDescent="0.25">
      <c r="A433" s="96"/>
      <c r="B433" s="97"/>
      <c r="C433" s="97"/>
      <c r="D433" s="97"/>
      <c r="E433" s="98"/>
      <c r="F433" s="99"/>
      <c r="G433" s="97"/>
      <c r="H433" s="99"/>
      <c r="I433" s="99"/>
      <c r="J433" s="100"/>
      <c r="K433" s="101"/>
      <c r="L433" s="102"/>
      <c r="M433" s="103"/>
      <c r="N433" s="104"/>
      <c r="O433" s="97"/>
      <c r="P433" s="97"/>
      <c r="Q433" s="97"/>
      <c r="R433" s="105"/>
      <c r="S433" s="97"/>
      <c r="T433" s="97"/>
      <c r="U433" s="97" t="str">
        <f t="shared" si="9"/>
        <v/>
      </c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7"/>
      <c r="BA433" s="97"/>
      <c r="BB433" s="97"/>
      <c r="BC433" s="97"/>
      <c r="BD433" s="97"/>
      <c r="BE433" s="97"/>
      <c r="BF433" s="97"/>
      <c r="BG433" s="97"/>
      <c r="BH433" s="97"/>
    </row>
    <row r="434" spans="1:60" x14ac:dyDescent="0.25">
      <c r="A434" s="106"/>
      <c r="B434" s="107"/>
      <c r="C434" s="107"/>
      <c r="D434" s="107"/>
      <c r="E434" s="108"/>
      <c r="F434" s="109"/>
      <c r="G434" s="107"/>
      <c r="H434" s="109"/>
      <c r="I434" s="110"/>
      <c r="J434" s="110"/>
      <c r="K434" s="111"/>
      <c r="L434" s="112"/>
      <c r="M434" s="113"/>
      <c r="N434" s="114"/>
      <c r="O434" s="107"/>
      <c r="P434" s="107"/>
      <c r="Q434" s="115"/>
      <c r="R434" s="116"/>
      <c r="S434" s="107"/>
      <c r="T434" s="107"/>
      <c r="U434" s="107" t="str">
        <f t="shared" si="9"/>
        <v/>
      </c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107"/>
      <c r="AM434" s="107"/>
      <c r="AN434" s="107"/>
      <c r="AO434" s="107"/>
      <c r="AP434" s="107"/>
      <c r="AQ434" s="107"/>
      <c r="AR434" s="107"/>
      <c r="AS434" s="107"/>
      <c r="AT434" s="107"/>
      <c r="AU434" s="107"/>
      <c r="AV434" s="107"/>
      <c r="AW434" s="107"/>
      <c r="AX434" s="107"/>
      <c r="AY434" s="107"/>
      <c r="AZ434" s="107"/>
      <c r="BA434" s="107"/>
      <c r="BB434" s="107"/>
      <c r="BC434" s="107"/>
      <c r="BD434" s="107"/>
      <c r="BE434" s="107"/>
      <c r="BF434" s="107"/>
      <c r="BG434" s="107"/>
      <c r="BH434" s="107"/>
    </row>
    <row r="435" spans="1:60" x14ac:dyDescent="0.25">
      <c r="A435" s="96"/>
      <c r="B435" s="97"/>
      <c r="C435" s="97"/>
      <c r="D435" s="97"/>
      <c r="E435" s="98"/>
      <c r="F435" s="99"/>
      <c r="G435" s="97"/>
      <c r="H435" s="99"/>
      <c r="I435" s="99"/>
      <c r="J435" s="100"/>
      <c r="K435" s="101"/>
      <c r="L435" s="102"/>
      <c r="M435" s="103"/>
      <c r="N435" s="104"/>
      <c r="O435" s="97"/>
      <c r="P435" s="97"/>
      <c r="Q435" s="97"/>
      <c r="R435" s="105"/>
      <c r="S435" s="97"/>
      <c r="T435" s="97"/>
      <c r="U435" s="97" t="str">
        <f t="shared" si="9"/>
        <v/>
      </c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7"/>
      <c r="AL435" s="97"/>
      <c r="AM435" s="97"/>
      <c r="AN435" s="97"/>
      <c r="AO435" s="97"/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7"/>
      <c r="BA435" s="97"/>
      <c r="BB435" s="97"/>
      <c r="BC435" s="97"/>
      <c r="BD435" s="97"/>
      <c r="BE435" s="97"/>
      <c r="BF435" s="97"/>
      <c r="BG435" s="97"/>
      <c r="BH435" s="97"/>
    </row>
    <row r="436" spans="1:60" x14ac:dyDescent="0.25">
      <c r="A436" s="106"/>
      <c r="B436" s="107"/>
      <c r="C436" s="107"/>
      <c r="D436" s="107"/>
      <c r="E436" s="108"/>
      <c r="F436" s="109"/>
      <c r="G436" s="107"/>
      <c r="H436" s="109"/>
      <c r="I436" s="110"/>
      <c r="J436" s="110"/>
      <c r="K436" s="111"/>
      <c r="L436" s="112"/>
      <c r="M436" s="113"/>
      <c r="N436" s="114"/>
      <c r="O436" s="107"/>
      <c r="P436" s="107"/>
      <c r="Q436" s="115"/>
      <c r="R436" s="116"/>
      <c r="S436" s="107"/>
      <c r="T436" s="107"/>
      <c r="U436" s="107" t="str">
        <f t="shared" si="9"/>
        <v/>
      </c>
      <c r="V436" s="107"/>
      <c r="W436" s="107"/>
      <c r="X436" s="107"/>
      <c r="Y436" s="107"/>
      <c r="Z436" s="107"/>
      <c r="AA436" s="107"/>
      <c r="AB436" s="107"/>
      <c r="AC436" s="107"/>
      <c r="AD436" s="107"/>
      <c r="AE436" s="107"/>
      <c r="AF436" s="107"/>
      <c r="AG436" s="107"/>
      <c r="AH436" s="107"/>
      <c r="AI436" s="107"/>
      <c r="AJ436" s="107"/>
      <c r="AK436" s="107"/>
      <c r="AL436" s="107"/>
      <c r="AM436" s="107"/>
      <c r="AN436" s="107"/>
      <c r="AO436" s="107"/>
      <c r="AP436" s="107"/>
      <c r="AQ436" s="107"/>
      <c r="AR436" s="107"/>
      <c r="AS436" s="107"/>
      <c r="AT436" s="107"/>
      <c r="AU436" s="107"/>
      <c r="AV436" s="107"/>
      <c r="AW436" s="107"/>
      <c r="AX436" s="107"/>
      <c r="AY436" s="107"/>
      <c r="AZ436" s="107"/>
      <c r="BA436" s="107"/>
      <c r="BB436" s="107"/>
      <c r="BC436" s="107"/>
      <c r="BD436" s="107"/>
      <c r="BE436" s="107"/>
      <c r="BF436" s="107"/>
      <c r="BG436" s="107"/>
      <c r="BH436" s="107"/>
    </row>
    <row r="437" spans="1:60" x14ac:dyDescent="0.25">
      <c r="A437" s="96"/>
      <c r="B437" s="97"/>
      <c r="C437" s="97"/>
      <c r="D437" s="97"/>
      <c r="E437" s="98"/>
      <c r="F437" s="99"/>
      <c r="G437" s="97"/>
      <c r="H437" s="99"/>
      <c r="I437" s="99"/>
      <c r="J437" s="100"/>
      <c r="K437" s="101"/>
      <c r="L437" s="102"/>
      <c r="M437" s="103"/>
      <c r="N437" s="104"/>
      <c r="O437" s="97"/>
      <c r="P437" s="97"/>
      <c r="Q437" s="97"/>
      <c r="R437" s="105"/>
      <c r="S437" s="97"/>
      <c r="T437" s="97"/>
      <c r="U437" s="97" t="str">
        <f t="shared" si="9"/>
        <v/>
      </c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97"/>
      <c r="AO437" s="97"/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7"/>
      <c r="BA437" s="97"/>
      <c r="BB437" s="97"/>
      <c r="BC437" s="97"/>
      <c r="BD437" s="97"/>
      <c r="BE437" s="97"/>
      <c r="BF437" s="97"/>
      <c r="BG437" s="97"/>
      <c r="BH437" s="97"/>
    </row>
    <row r="438" spans="1:60" x14ac:dyDescent="0.25">
      <c r="A438" s="106"/>
      <c r="B438" s="107"/>
      <c r="C438" s="107"/>
      <c r="D438" s="107"/>
      <c r="E438" s="108"/>
      <c r="F438" s="109"/>
      <c r="G438" s="107"/>
      <c r="H438" s="109"/>
      <c r="I438" s="110"/>
      <c r="J438" s="110"/>
      <c r="K438" s="111"/>
      <c r="L438" s="112"/>
      <c r="M438" s="113"/>
      <c r="N438" s="114"/>
      <c r="O438" s="107"/>
      <c r="P438" s="107"/>
      <c r="Q438" s="115"/>
      <c r="R438" s="116"/>
      <c r="S438" s="107"/>
      <c r="T438" s="107"/>
      <c r="U438" s="107" t="str">
        <f t="shared" si="9"/>
        <v/>
      </c>
      <c r="V438" s="107"/>
      <c r="W438" s="107"/>
      <c r="X438" s="107"/>
      <c r="Y438" s="107"/>
      <c r="Z438" s="107"/>
      <c r="AA438" s="107"/>
      <c r="AB438" s="107"/>
      <c r="AC438" s="107"/>
      <c r="AD438" s="107"/>
      <c r="AE438" s="107"/>
      <c r="AF438" s="107"/>
      <c r="AG438" s="107"/>
      <c r="AH438" s="107"/>
      <c r="AI438" s="107"/>
      <c r="AJ438" s="107"/>
      <c r="AK438" s="107"/>
      <c r="AL438" s="107"/>
      <c r="AM438" s="107"/>
      <c r="AN438" s="107"/>
      <c r="AO438" s="107"/>
      <c r="AP438" s="107"/>
      <c r="AQ438" s="107"/>
      <c r="AR438" s="107"/>
      <c r="AS438" s="107"/>
      <c r="AT438" s="107"/>
      <c r="AU438" s="107"/>
      <c r="AV438" s="107"/>
      <c r="AW438" s="107"/>
      <c r="AX438" s="107"/>
      <c r="AY438" s="107"/>
      <c r="AZ438" s="107"/>
      <c r="BA438" s="107"/>
      <c r="BB438" s="107"/>
      <c r="BC438" s="107"/>
      <c r="BD438" s="107"/>
      <c r="BE438" s="107"/>
      <c r="BF438" s="107"/>
      <c r="BG438" s="107"/>
      <c r="BH438" s="107"/>
    </row>
    <row r="439" spans="1:60" x14ac:dyDescent="0.25">
      <c r="A439" s="96"/>
      <c r="B439" s="97"/>
      <c r="C439" s="97"/>
      <c r="D439" s="97"/>
      <c r="E439" s="98"/>
      <c r="F439" s="99"/>
      <c r="G439" s="97"/>
      <c r="H439" s="99"/>
      <c r="I439" s="99"/>
      <c r="J439" s="100"/>
      <c r="K439" s="101"/>
      <c r="L439" s="102"/>
      <c r="M439" s="103"/>
      <c r="N439" s="104"/>
      <c r="O439" s="97"/>
      <c r="P439" s="97"/>
      <c r="Q439" s="97"/>
      <c r="R439" s="105"/>
      <c r="S439" s="97"/>
      <c r="T439" s="97"/>
      <c r="U439" s="97" t="str">
        <f t="shared" si="9"/>
        <v/>
      </c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7"/>
      <c r="BA439" s="97"/>
      <c r="BB439" s="97"/>
      <c r="BC439" s="97"/>
      <c r="BD439" s="97"/>
      <c r="BE439" s="97"/>
      <c r="BF439" s="97"/>
      <c r="BG439" s="97"/>
      <c r="BH439" s="97"/>
    </row>
    <row r="440" spans="1:60" x14ac:dyDescent="0.25">
      <c r="A440" s="106"/>
      <c r="B440" s="107"/>
      <c r="C440" s="107"/>
      <c r="D440" s="107"/>
      <c r="E440" s="108"/>
      <c r="F440" s="109"/>
      <c r="G440" s="107"/>
      <c r="H440" s="109"/>
      <c r="I440" s="110"/>
      <c r="J440" s="110"/>
      <c r="K440" s="111"/>
      <c r="L440" s="112"/>
      <c r="M440" s="113"/>
      <c r="N440" s="114"/>
      <c r="O440" s="107"/>
      <c r="P440" s="107"/>
      <c r="Q440" s="115"/>
      <c r="R440" s="116"/>
      <c r="S440" s="107"/>
      <c r="T440" s="107"/>
      <c r="U440" s="107" t="str">
        <f t="shared" si="9"/>
        <v/>
      </c>
      <c r="V440" s="107"/>
      <c r="W440" s="107"/>
      <c r="X440" s="107"/>
      <c r="Y440" s="107"/>
      <c r="Z440" s="107"/>
      <c r="AA440" s="107"/>
      <c r="AB440" s="107"/>
      <c r="AC440" s="107"/>
      <c r="AD440" s="107"/>
      <c r="AE440" s="107"/>
      <c r="AF440" s="107"/>
      <c r="AG440" s="107"/>
      <c r="AH440" s="107"/>
      <c r="AI440" s="107"/>
      <c r="AJ440" s="107"/>
      <c r="AK440" s="107"/>
      <c r="AL440" s="107"/>
      <c r="AM440" s="107"/>
      <c r="AN440" s="107"/>
      <c r="AO440" s="107"/>
      <c r="AP440" s="107"/>
      <c r="AQ440" s="107"/>
      <c r="AR440" s="107"/>
      <c r="AS440" s="107"/>
      <c r="AT440" s="107"/>
      <c r="AU440" s="107"/>
      <c r="AV440" s="107"/>
      <c r="AW440" s="107"/>
      <c r="AX440" s="107"/>
      <c r="AY440" s="107"/>
      <c r="AZ440" s="107"/>
      <c r="BA440" s="107"/>
      <c r="BB440" s="107"/>
      <c r="BC440" s="107"/>
      <c r="BD440" s="107"/>
      <c r="BE440" s="107"/>
      <c r="BF440" s="107"/>
      <c r="BG440" s="107"/>
      <c r="BH440" s="107"/>
    </row>
    <row r="441" spans="1:60" x14ac:dyDescent="0.25">
      <c r="A441" s="96"/>
      <c r="B441" s="97"/>
      <c r="C441" s="97"/>
      <c r="D441" s="97"/>
      <c r="E441" s="98"/>
      <c r="F441" s="99"/>
      <c r="G441" s="97"/>
      <c r="H441" s="99"/>
      <c r="I441" s="99"/>
      <c r="J441" s="100"/>
      <c r="K441" s="101"/>
      <c r="L441" s="102"/>
      <c r="M441" s="103"/>
      <c r="N441" s="104"/>
      <c r="O441" s="97"/>
      <c r="P441" s="97"/>
      <c r="Q441" s="97"/>
      <c r="R441" s="105"/>
      <c r="S441" s="97"/>
      <c r="T441" s="97"/>
      <c r="U441" s="97" t="str">
        <f t="shared" si="9"/>
        <v/>
      </c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7"/>
      <c r="BA441" s="97"/>
      <c r="BB441" s="97"/>
      <c r="BC441" s="97"/>
      <c r="BD441" s="97"/>
      <c r="BE441" s="97"/>
      <c r="BF441" s="97"/>
      <c r="BG441" s="97"/>
      <c r="BH441" s="97"/>
    </row>
    <row r="442" spans="1:60" x14ac:dyDescent="0.25">
      <c r="A442" s="106"/>
      <c r="B442" s="107"/>
      <c r="C442" s="107"/>
      <c r="D442" s="107"/>
      <c r="E442" s="108"/>
      <c r="F442" s="109"/>
      <c r="G442" s="107"/>
      <c r="H442" s="109"/>
      <c r="I442" s="110"/>
      <c r="J442" s="110"/>
      <c r="K442" s="111"/>
      <c r="L442" s="112"/>
      <c r="M442" s="113"/>
      <c r="N442" s="114"/>
      <c r="O442" s="107"/>
      <c r="P442" s="107"/>
      <c r="Q442" s="115"/>
      <c r="R442" s="116"/>
      <c r="S442" s="107"/>
      <c r="T442" s="107"/>
      <c r="U442" s="107" t="str">
        <f t="shared" si="9"/>
        <v/>
      </c>
      <c r="V442" s="107"/>
      <c r="W442" s="107"/>
      <c r="X442" s="107"/>
      <c r="Y442" s="107"/>
      <c r="Z442" s="107"/>
      <c r="AA442" s="107"/>
      <c r="AB442" s="107"/>
      <c r="AC442" s="107"/>
      <c r="AD442" s="107"/>
      <c r="AE442" s="107"/>
      <c r="AF442" s="107"/>
      <c r="AG442" s="107"/>
      <c r="AH442" s="107"/>
      <c r="AI442" s="107"/>
      <c r="AJ442" s="107"/>
      <c r="AK442" s="107"/>
      <c r="AL442" s="107"/>
      <c r="AM442" s="107"/>
      <c r="AN442" s="107"/>
      <c r="AO442" s="107"/>
      <c r="AP442" s="107"/>
      <c r="AQ442" s="107"/>
      <c r="AR442" s="107"/>
      <c r="AS442" s="107"/>
      <c r="AT442" s="107"/>
      <c r="AU442" s="107"/>
      <c r="AV442" s="107"/>
      <c r="AW442" s="107"/>
      <c r="AX442" s="107"/>
      <c r="AY442" s="107"/>
      <c r="AZ442" s="107"/>
      <c r="BA442" s="107"/>
      <c r="BB442" s="107"/>
      <c r="BC442" s="107"/>
      <c r="BD442" s="107"/>
      <c r="BE442" s="107"/>
      <c r="BF442" s="107"/>
      <c r="BG442" s="107"/>
      <c r="BH442" s="107"/>
    </row>
    <row r="443" spans="1:60" x14ac:dyDescent="0.25">
      <c r="A443" s="96"/>
      <c r="B443" s="97"/>
      <c r="C443" s="97"/>
      <c r="D443" s="97"/>
      <c r="E443" s="98"/>
      <c r="F443" s="99"/>
      <c r="G443" s="97"/>
      <c r="H443" s="99"/>
      <c r="I443" s="99"/>
      <c r="J443" s="100"/>
      <c r="K443" s="101"/>
      <c r="L443" s="102"/>
      <c r="M443" s="103"/>
      <c r="N443" s="104"/>
      <c r="O443" s="97"/>
      <c r="P443" s="97"/>
      <c r="Q443" s="97"/>
      <c r="R443" s="105"/>
      <c r="S443" s="97"/>
      <c r="T443" s="97"/>
      <c r="U443" s="97" t="str">
        <f t="shared" si="9"/>
        <v/>
      </c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97"/>
      <c r="AO443" s="97"/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7"/>
      <c r="BA443" s="97"/>
      <c r="BB443" s="97"/>
      <c r="BC443" s="97"/>
      <c r="BD443" s="97"/>
      <c r="BE443" s="97"/>
      <c r="BF443" s="97"/>
      <c r="BG443" s="97"/>
      <c r="BH443" s="97"/>
    </row>
    <row r="444" spans="1:60" x14ac:dyDescent="0.25">
      <c r="A444" s="106"/>
      <c r="B444" s="107"/>
      <c r="C444" s="107"/>
      <c r="D444" s="107"/>
      <c r="E444" s="108"/>
      <c r="F444" s="109"/>
      <c r="G444" s="107"/>
      <c r="H444" s="109"/>
      <c r="I444" s="110"/>
      <c r="J444" s="110"/>
      <c r="K444" s="111"/>
      <c r="L444" s="112"/>
      <c r="M444" s="113"/>
      <c r="N444" s="114"/>
      <c r="O444" s="107"/>
      <c r="P444" s="107"/>
      <c r="Q444" s="115"/>
      <c r="R444" s="116"/>
      <c r="S444" s="107"/>
      <c r="T444" s="107"/>
      <c r="U444" s="107" t="str">
        <f t="shared" si="9"/>
        <v/>
      </c>
      <c r="V444" s="107"/>
      <c r="W444" s="107"/>
      <c r="X444" s="107"/>
      <c r="Y444" s="107"/>
      <c r="Z444" s="107"/>
      <c r="AA444" s="107"/>
      <c r="AB444" s="107"/>
      <c r="AC444" s="107"/>
      <c r="AD444" s="107"/>
      <c r="AE444" s="107"/>
      <c r="AF444" s="107"/>
      <c r="AG444" s="107"/>
      <c r="AH444" s="107"/>
      <c r="AI444" s="107"/>
      <c r="AJ444" s="107"/>
      <c r="AK444" s="107"/>
      <c r="AL444" s="107"/>
      <c r="AM444" s="107"/>
      <c r="AN444" s="107"/>
      <c r="AO444" s="107"/>
      <c r="AP444" s="107"/>
      <c r="AQ444" s="107"/>
      <c r="AR444" s="107"/>
      <c r="AS444" s="107"/>
      <c r="AT444" s="107"/>
      <c r="AU444" s="107"/>
      <c r="AV444" s="107"/>
      <c r="AW444" s="107"/>
      <c r="AX444" s="107"/>
      <c r="AY444" s="107"/>
      <c r="AZ444" s="107"/>
      <c r="BA444" s="107"/>
      <c r="BB444" s="107"/>
      <c r="BC444" s="107"/>
      <c r="BD444" s="107"/>
      <c r="BE444" s="107"/>
      <c r="BF444" s="107"/>
      <c r="BG444" s="107"/>
      <c r="BH444" s="107"/>
    </row>
    <row r="445" spans="1:60" x14ac:dyDescent="0.25">
      <c r="A445" s="96"/>
      <c r="B445" s="97"/>
      <c r="C445" s="97"/>
      <c r="D445" s="97"/>
      <c r="E445" s="98"/>
      <c r="F445" s="99"/>
      <c r="G445" s="97"/>
      <c r="H445" s="99"/>
      <c r="I445" s="99"/>
      <c r="J445" s="100"/>
      <c r="K445" s="101"/>
      <c r="L445" s="102"/>
      <c r="M445" s="103"/>
      <c r="N445" s="104"/>
      <c r="O445" s="97"/>
      <c r="P445" s="97"/>
      <c r="Q445" s="97"/>
      <c r="R445" s="105"/>
      <c r="S445" s="97"/>
      <c r="T445" s="97"/>
      <c r="U445" s="97" t="str">
        <f t="shared" si="9"/>
        <v/>
      </c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7"/>
      <c r="BA445" s="97"/>
      <c r="BB445" s="97"/>
      <c r="BC445" s="97"/>
      <c r="BD445" s="97"/>
      <c r="BE445" s="97"/>
      <c r="BF445" s="97"/>
      <c r="BG445" s="97"/>
      <c r="BH445" s="97"/>
    </row>
    <row r="446" spans="1:60" x14ac:dyDescent="0.25">
      <c r="A446" s="106"/>
      <c r="B446" s="107"/>
      <c r="C446" s="107"/>
      <c r="D446" s="107"/>
      <c r="E446" s="108"/>
      <c r="F446" s="109"/>
      <c r="G446" s="107"/>
      <c r="H446" s="109"/>
      <c r="I446" s="110"/>
      <c r="J446" s="110"/>
      <c r="K446" s="111"/>
      <c r="L446" s="112"/>
      <c r="M446" s="113"/>
      <c r="N446" s="114"/>
      <c r="O446" s="107"/>
      <c r="P446" s="107"/>
      <c r="Q446" s="115"/>
      <c r="R446" s="116"/>
      <c r="S446" s="107"/>
      <c r="T446" s="107"/>
      <c r="U446" s="107" t="str">
        <f t="shared" si="9"/>
        <v/>
      </c>
      <c r="V446" s="107"/>
      <c r="W446" s="107"/>
      <c r="X446" s="107"/>
      <c r="Y446" s="107"/>
      <c r="Z446" s="107"/>
      <c r="AA446" s="107"/>
      <c r="AB446" s="107"/>
      <c r="AC446" s="107"/>
      <c r="AD446" s="107"/>
      <c r="AE446" s="107"/>
      <c r="AF446" s="107"/>
      <c r="AG446" s="107"/>
      <c r="AH446" s="107"/>
      <c r="AI446" s="107"/>
      <c r="AJ446" s="107"/>
      <c r="AK446" s="107"/>
      <c r="AL446" s="107"/>
      <c r="AM446" s="107"/>
      <c r="AN446" s="107"/>
      <c r="AO446" s="107"/>
      <c r="AP446" s="107"/>
      <c r="AQ446" s="107"/>
      <c r="AR446" s="107"/>
      <c r="AS446" s="107"/>
      <c r="AT446" s="107"/>
      <c r="AU446" s="107"/>
      <c r="AV446" s="107"/>
      <c r="AW446" s="107"/>
      <c r="AX446" s="107"/>
      <c r="AY446" s="107"/>
      <c r="AZ446" s="107"/>
      <c r="BA446" s="107"/>
      <c r="BB446" s="107"/>
      <c r="BC446" s="107"/>
      <c r="BD446" s="107"/>
      <c r="BE446" s="107"/>
      <c r="BF446" s="107"/>
      <c r="BG446" s="107"/>
      <c r="BH446" s="107"/>
    </row>
    <row r="447" spans="1:60" x14ac:dyDescent="0.25">
      <c r="A447" s="96"/>
      <c r="B447" s="97"/>
      <c r="C447" s="97"/>
      <c r="D447" s="97"/>
      <c r="E447" s="98"/>
      <c r="F447" s="99"/>
      <c r="G447" s="97"/>
      <c r="H447" s="99"/>
      <c r="I447" s="99"/>
      <c r="J447" s="100"/>
      <c r="K447" s="101"/>
      <c r="L447" s="102"/>
      <c r="M447" s="103"/>
      <c r="N447" s="104"/>
      <c r="O447" s="97"/>
      <c r="P447" s="97"/>
      <c r="Q447" s="97"/>
      <c r="R447" s="105"/>
      <c r="S447" s="97"/>
      <c r="T447" s="97"/>
      <c r="U447" s="97" t="str">
        <f t="shared" si="9"/>
        <v/>
      </c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7"/>
      <c r="BA447" s="97"/>
      <c r="BB447" s="97"/>
      <c r="BC447" s="97"/>
      <c r="BD447" s="97"/>
      <c r="BE447" s="97"/>
      <c r="BF447" s="97"/>
      <c r="BG447" s="97"/>
      <c r="BH447" s="97"/>
    </row>
    <row r="448" spans="1:60" x14ac:dyDescent="0.25">
      <c r="A448" s="106"/>
      <c r="B448" s="107"/>
      <c r="C448" s="107"/>
      <c r="D448" s="107"/>
      <c r="E448" s="108"/>
      <c r="F448" s="109"/>
      <c r="G448" s="107"/>
      <c r="H448" s="109"/>
      <c r="I448" s="110"/>
      <c r="J448" s="110"/>
      <c r="K448" s="111"/>
      <c r="L448" s="112"/>
      <c r="M448" s="113"/>
      <c r="N448" s="114"/>
      <c r="O448" s="107"/>
      <c r="P448" s="107"/>
      <c r="Q448" s="115"/>
      <c r="R448" s="116"/>
      <c r="S448" s="107"/>
      <c r="T448" s="107"/>
      <c r="U448" s="107" t="str">
        <f t="shared" si="9"/>
        <v/>
      </c>
      <c r="V448" s="107"/>
      <c r="W448" s="107"/>
      <c r="X448" s="107"/>
      <c r="Y448" s="107"/>
      <c r="Z448" s="107"/>
      <c r="AA448" s="107"/>
      <c r="AB448" s="107"/>
      <c r="AC448" s="107"/>
      <c r="AD448" s="107"/>
      <c r="AE448" s="107"/>
      <c r="AF448" s="107"/>
      <c r="AG448" s="107"/>
      <c r="AH448" s="107"/>
      <c r="AI448" s="107"/>
      <c r="AJ448" s="107"/>
      <c r="AK448" s="107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Y448" s="107"/>
      <c r="AZ448" s="107"/>
      <c r="BA448" s="107"/>
      <c r="BB448" s="107"/>
      <c r="BC448" s="107"/>
      <c r="BD448" s="107"/>
      <c r="BE448" s="107"/>
      <c r="BF448" s="107"/>
      <c r="BG448" s="107"/>
      <c r="BH448" s="107"/>
    </row>
    <row r="449" spans="1:60" x14ac:dyDescent="0.25">
      <c r="A449" s="96"/>
      <c r="B449" s="97"/>
      <c r="C449" s="97"/>
      <c r="D449" s="97"/>
      <c r="E449" s="98"/>
      <c r="F449" s="99"/>
      <c r="G449" s="97"/>
      <c r="H449" s="99"/>
      <c r="I449" s="99"/>
      <c r="J449" s="100"/>
      <c r="K449" s="101"/>
      <c r="L449" s="102"/>
      <c r="M449" s="103"/>
      <c r="N449" s="104"/>
      <c r="O449" s="97"/>
      <c r="P449" s="97"/>
      <c r="Q449" s="97"/>
      <c r="R449" s="105"/>
      <c r="S449" s="97"/>
      <c r="T449" s="97"/>
      <c r="U449" s="97" t="str">
        <f t="shared" si="9"/>
        <v/>
      </c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7"/>
      <c r="BA449" s="97"/>
      <c r="BB449" s="97"/>
      <c r="BC449" s="97"/>
      <c r="BD449" s="97"/>
      <c r="BE449" s="97"/>
      <c r="BF449" s="97"/>
      <c r="BG449" s="97"/>
      <c r="BH449" s="97"/>
    </row>
    <row r="450" spans="1:60" x14ac:dyDescent="0.25">
      <c r="A450" s="106"/>
      <c r="B450" s="107"/>
      <c r="C450" s="107"/>
      <c r="D450" s="107"/>
      <c r="E450" s="108"/>
      <c r="F450" s="109"/>
      <c r="G450" s="107"/>
      <c r="H450" s="109"/>
      <c r="I450" s="110"/>
      <c r="J450" s="110"/>
      <c r="K450" s="111"/>
      <c r="L450" s="112"/>
      <c r="M450" s="113"/>
      <c r="N450" s="114"/>
      <c r="O450" s="107"/>
      <c r="P450" s="107"/>
      <c r="Q450" s="115"/>
      <c r="R450" s="116"/>
      <c r="S450" s="107"/>
      <c r="T450" s="107"/>
      <c r="U450" s="107" t="str">
        <f t="shared" si="9"/>
        <v/>
      </c>
      <c r="V450" s="107"/>
      <c r="W450" s="107"/>
      <c r="X450" s="107"/>
      <c r="Y450" s="107"/>
      <c r="Z450" s="107"/>
      <c r="AA450" s="107"/>
      <c r="AB450" s="107"/>
      <c r="AC450" s="107"/>
      <c r="AD450" s="107"/>
      <c r="AE450" s="107"/>
      <c r="AF450" s="107"/>
      <c r="AG450" s="107"/>
      <c r="AH450" s="107"/>
      <c r="AI450" s="107"/>
      <c r="AJ450" s="107"/>
      <c r="AK450" s="107"/>
      <c r="AL450" s="107"/>
      <c r="AM450" s="107"/>
      <c r="AN450" s="107"/>
      <c r="AO450" s="107"/>
      <c r="AP450" s="107"/>
      <c r="AQ450" s="107"/>
      <c r="AR450" s="107"/>
      <c r="AS450" s="107"/>
      <c r="AT450" s="107"/>
      <c r="AU450" s="107"/>
      <c r="AV450" s="107"/>
      <c r="AW450" s="107"/>
      <c r="AX450" s="107"/>
      <c r="AY450" s="107"/>
      <c r="AZ450" s="107"/>
      <c r="BA450" s="107"/>
      <c r="BB450" s="107"/>
      <c r="BC450" s="107"/>
      <c r="BD450" s="107"/>
      <c r="BE450" s="107"/>
      <c r="BF450" s="107"/>
      <c r="BG450" s="107"/>
      <c r="BH450" s="107"/>
    </row>
    <row r="451" spans="1:60" x14ac:dyDescent="0.25">
      <c r="A451" s="96"/>
      <c r="B451" s="97"/>
      <c r="C451" s="97"/>
      <c r="D451" s="97"/>
      <c r="E451" s="98"/>
      <c r="F451" s="99"/>
      <c r="G451" s="97"/>
      <c r="H451" s="99"/>
      <c r="I451" s="99"/>
      <c r="J451" s="100"/>
      <c r="K451" s="101"/>
      <c r="L451" s="102"/>
      <c r="M451" s="103"/>
      <c r="N451" s="104"/>
      <c r="O451" s="97"/>
      <c r="P451" s="97"/>
      <c r="Q451" s="97"/>
      <c r="R451" s="105"/>
      <c r="S451" s="97"/>
      <c r="T451" s="97"/>
      <c r="U451" s="97" t="str">
        <f t="shared" ref="U451:U514" si="10">IF(B451="","",IF(I451="",0,1))</f>
        <v/>
      </c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M451" s="97"/>
      <c r="AN451" s="97"/>
      <c r="AO451" s="97"/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7"/>
      <c r="BA451" s="97"/>
      <c r="BB451" s="97"/>
      <c r="BC451" s="97"/>
      <c r="BD451" s="97"/>
      <c r="BE451" s="97"/>
      <c r="BF451" s="97"/>
      <c r="BG451" s="97"/>
      <c r="BH451" s="97"/>
    </row>
    <row r="452" spans="1:60" x14ac:dyDescent="0.25">
      <c r="A452" s="106"/>
      <c r="B452" s="107"/>
      <c r="C452" s="107"/>
      <c r="D452" s="107"/>
      <c r="E452" s="108"/>
      <c r="F452" s="109"/>
      <c r="G452" s="107"/>
      <c r="H452" s="109"/>
      <c r="I452" s="110"/>
      <c r="J452" s="110"/>
      <c r="K452" s="111"/>
      <c r="L452" s="112"/>
      <c r="M452" s="113"/>
      <c r="N452" s="114"/>
      <c r="O452" s="107"/>
      <c r="P452" s="107"/>
      <c r="Q452" s="115"/>
      <c r="R452" s="116"/>
      <c r="S452" s="107"/>
      <c r="T452" s="107"/>
      <c r="U452" s="107" t="str">
        <f t="shared" si="10"/>
        <v/>
      </c>
      <c r="V452" s="107"/>
      <c r="W452" s="107"/>
      <c r="X452" s="107"/>
      <c r="Y452" s="107"/>
      <c r="Z452" s="107"/>
      <c r="AA452" s="107"/>
      <c r="AB452" s="107"/>
      <c r="AC452" s="107"/>
      <c r="AD452" s="107"/>
      <c r="AE452" s="107"/>
      <c r="AF452" s="107"/>
      <c r="AG452" s="107"/>
      <c r="AH452" s="107"/>
      <c r="AI452" s="107"/>
      <c r="AJ452" s="107"/>
      <c r="AK452" s="107"/>
      <c r="AL452" s="107"/>
      <c r="AM452" s="107"/>
      <c r="AN452" s="107"/>
      <c r="AO452" s="107"/>
      <c r="AP452" s="107"/>
      <c r="AQ452" s="107"/>
      <c r="AR452" s="107"/>
      <c r="AS452" s="107"/>
      <c r="AT452" s="107"/>
      <c r="AU452" s="107"/>
      <c r="AV452" s="107"/>
      <c r="AW452" s="107"/>
      <c r="AX452" s="107"/>
      <c r="AY452" s="107"/>
      <c r="AZ452" s="107"/>
      <c r="BA452" s="107"/>
      <c r="BB452" s="107"/>
      <c r="BC452" s="107"/>
      <c r="BD452" s="107"/>
      <c r="BE452" s="107"/>
      <c r="BF452" s="107"/>
      <c r="BG452" s="107"/>
      <c r="BH452" s="107"/>
    </row>
    <row r="453" spans="1:60" x14ac:dyDescent="0.25">
      <c r="A453" s="96"/>
      <c r="B453" s="97"/>
      <c r="C453" s="97"/>
      <c r="D453" s="97"/>
      <c r="E453" s="98"/>
      <c r="F453" s="99"/>
      <c r="G453" s="97"/>
      <c r="H453" s="99"/>
      <c r="I453" s="99"/>
      <c r="J453" s="100"/>
      <c r="K453" s="101"/>
      <c r="L453" s="102"/>
      <c r="M453" s="103"/>
      <c r="N453" s="104"/>
      <c r="O453" s="97"/>
      <c r="P453" s="97"/>
      <c r="Q453" s="97"/>
      <c r="R453" s="105"/>
      <c r="S453" s="97"/>
      <c r="T453" s="97"/>
      <c r="U453" s="97" t="str">
        <f t="shared" si="10"/>
        <v/>
      </c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7"/>
      <c r="BA453" s="97"/>
      <c r="BB453" s="97"/>
      <c r="BC453" s="97"/>
      <c r="BD453" s="97"/>
      <c r="BE453" s="97"/>
      <c r="BF453" s="97"/>
      <c r="BG453" s="97"/>
      <c r="BH453" s="97"/>
    </row>
    <row r="454" spans="1:60" x14ac:dyDescent="0.25">
      <c r="A454" s="106"/>
      <c r="B454" s="107"/>
      <c r="C454" s="107"/>
      <c r="D454" s="107"/>
      <c r="E454" s="108"/>
      <c r="F454" s="109"/>
      <c r="G454" s="107"/>
      <c r="H454" s="109"/>
      <c r="I454" s="110"/>
      <c r="J454" s="110"/>
      <c r="K454" s="111"/>
      <c r="L454" s="112"/>
      <c r="M454" s="113"/>
      <c r="N454" s="114"/>
      <c r="O454" s="107"/>
      <c r="P454" s="107"/>
      <c r="Q454" s="115"/>
      <c r="R454" s="116"/>
      <c r="S454" s="107"/>
      <c r="T454" s="107"/>
      <c r="U454" s="107" t="str">
        <f t="shared" si="10"/>
        <v/>
      </c>
      <c r="V454" s="107"/>
      <c r="W454" s="107"/>
      <c r="X454" s="107"/>
      <c r="Y454" s="107"/>
      <c r="Z454" s="107"/>
      <c r="AA454" s="107"/>
      <c r="AB454" s="107"/>
      <c r="AC454" s="107"/>
      <c r="AD454" s="107"/>
      <c r="AE454" s="107"/>
      <c r="AF454" s="107"/>
      <c r="AG454" s="107"/>
      <c r="AH454" s="107"/>
      <c r="AI454" s="107"/>
      <c r="AJ454" s="107"/>
      <c r="AK454" s="107"/>
      <c r="AL454" s="107"/>
      <c r="AM454" s="107"/>
      <c r="AN454" s="107"/>
      <c r="AO454" s="107"/>
      <c r="AP454" s="107"/>
      <c r="AQ454" s="107"/>
      <c r="AR454" s="107"/>
      <c r="AS454" s="107"/>
      <c r="AT454" s="107"/>
      <c r="AU454" s="107"/>
      <c r="AV454" s="107"/>
      <c r="AW454" s="107"/>
      <c r="AX454" s="107"/>
      <c r="AY454" s="107"/>
      <c r="AZ454" s="107"/>
      <c r="BA454" s="107"/>
      <c r="BB454" s="107"/>
      <c r="BC454" s="107"/>
      <c r="BD454" s="107"/>
      <c r="BE454" s="107"/>
      <c r="BF454" s="107"/>
      <c r="BG454" s="107"/>
      <c r="BH454" s="107"/>
    </row>
    <row r="455" spans="1:60" x14ac:dyDescent="0.25">
      <c r="A455" s="96"/>
      <c r="B455" s="97"/>
      <c r="C455" s="97"/>
      <c r="D455" s="97"/>
      <c r="E455" s="98"/>
      <c r="F455" s="99"/>
      <c r="G455" s="97"/>
      <c r="H455" s="99"/>
      <c r="I455" s="99"/>
      <c r="J455" s="100"/>
      <c r="K455" s="101"/>
      <c r="L455" s="102"/>
      <c r="M455" s="103"/>
      <c r="N455" s="104"/>
      <c r="O455" s="97"/>
      <c r="P455" s="97"/>
      <c r="Q455" s="97"/>
      <c r="R455" s="105"/>
      <c r="S455" s="97"/>
      <c r="T455" s="97"/>
      <c r="U455" s="97" t="str">
        <f t="shared" si="10"/>
        <v/>
      </c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7"/>
      <c r="BA455" s="97"/>
      <c r="BB455" s="97"/>
      <c r="BC455" s="97"/>
      <c r="BD455" s="97"/>
      <c r="BE455" s="97"/>
      <c r="BF455" s="97"/>
      <c r="BG455" s="97"/>
      <c r="BH455" s="97"/>
    </row>
    <row r="456" spans="1:60" x14ac:dyDescent="0.25">
      <c r="A456" s="106"/>
      <c r="B456" s="107"/>
      <c r="C456" s="107"/>
      <c r="D456" s="107"/>
      <c r="E456" s="108"/>
      <c r="F456" s="109"/>
      <c r="G456" s="107"/>
      <c r="H456" s="109"/>
      <c r="I456" s="110"/>
      <c r="J456" s="110"/>
      <c r="K456" s="111"/>
      <c r="L456" s="112"/>
      <c r="M456" s="113"/>
      <c r="N456" s="114"/>
      <c r="O456" s="107"/>
      <c r="P456" s="107"/>
      <c r="Q456" s="115"/>
      <c r="R456" s="116"/>
      <c r="S456" s="107"/>
      <c r="T456" s="107"/>
      <c r="U456" s="107" t="str">
        <f t="shared" si="10"/>
        <v/>
      </c>
      <c r="V456" s="107"/>
      <c r="W456" s="107"/>
      <c r="X456" s="107"/>
      <c r="Y456" s="107"/>
      <c r="Z456" s="107"/>
      <c r="AA456" s="107"/>
      <c r="AB456" s="107"/>
      <c r="AC456" s="107"/>
      <c r="AD456" s="107"/>
      <c r="AE456" s="107"/>
      <c r="AF456" s="107"/>
      <c r="AG456" s="107"/>
      <c r="AH456" s="107"/>
      <c r="AI456" s="107"/>
      <c r="AJ456" s="107"/>
      <c r="AK456" s="107"/>
      <c r="AL456" s="107"/>
      <c r="AM456" s="107"/>
      <c r="AN456" s="107"/>
      <c r="AO456" s="107"/>
      <c r="AP456" s="107"/>
      <c r="AQ456" s="107"/>
      <c r="AR456" s="107"/>
      <c r="AS456" s="107"/>
      <c r="AT456" s="107"/>
      <c r="AU456" s="107"/>
      <c r="AV456" s="107"/>
      <c r="AW456" s="107"/>
      <c r="AX456" s="107"/>
      <c r="AY456" s="107"/>
      <c r="AZ456" s="107"/>
      <c r="BA456" s="107"/>
      <c r="BB456" s="107"/>
      <c r="BC456" s="107"/>
      <c r="BD456" s="107"/>
      <c r="BE456" s="107"/>
      <c r="BF456" s="107"/>
      <c r="BG456" s="107"/>
      <c r="BH456" s="107"/>
    </row>
    <row r="457" spans="1:60" x14ac:dyDescent="0.25">
      <c r="A457" s="96"/>
      <c r="B457" s="97"/>
      <c r="C457" s="97"/>
      <c r="D457" s="97"/>
      <c r="E457" s="98"/>
      <c r="F457" s="99"/>
      <c r="G457" s="97"/>
      <c r="H457" s="99"/>
      <c r="I457" s="99"/>
      <c r="J457" s="100"/>
      <c r="K457" s="101"/>
      <c r="L457" s="102"/>
      <c r="M457" s="103"/>
      <c r="N457" s="104"/>
      <c r="O457" s="97"/>
      <c r="P457" s="97"/>
      <c r="Q457" s="97"/>
      <c r="R457" s="105"/>
      <c r="S457" s="97"/>
      <c r="T457" s="97"/>
      <c r="U457" s="97" t="str">
        <f t="shared" si="10"/>
        <v/>
      </c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97"/>
      <c r="AO457" s="97"/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7"/>
      <c r="BA457" s="97"/>
      <c r="BB457" s="97"/>
      <c r="BC457" s="97"/>
      <c r="BD457" s="97"/>
      <c r="BE457" s="97"/>
      <c r="BF457" s="97"/>
      <c r="BG457" s="97"/>
      <c r="BH457" s="97"/>
    </row>
    <row r="458" spans="1:60" x14ac:dyDescent="0.25">
      <c r="A458" s="106"/>
      <c r="B458" s="107"/>
      <c r="C458" s="107"/>
      <c r="D458" s="107"/>
      <c r="E458" s="108"/>
      <c r="F458" s="109"/>
      <c r="G458" s="107"/>
      <c r="H458" s="109"/>
      <c r="I458" s="110"/>
      <c r="J458" s="110"/>
      <c r="K458" s="111"/>
      <c r="L458" s="112"/>
      <c r="M458" s="113"/>
      <c r="N458" s="114"/>
      <c r="O458" s="107"/>
      <c r="P458" s="107"/>
      <c r="Q458" s="115"/>
      <c r="R458" s="116"/>
      <c r="S458" s="107"/>
      <c r="T458" s="107"/>
      <c r="U458" s="107" t="str">
        <f t="shared" si="10"/>
        <v/>
      </c>
      <c r="V458" s="107"/>
      <c r="W458" s="107"/>
      <c r="X458" s="107"/>
      <c r="Y458" s="107"/>
      <c r="Z458" s="107"/>
      <c r="AA458" s="107"/>
      <c r="AB458" s="107"/>
      <c r="AC458" s="107"/>
      <c r="AD458" s="107"/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O458" s="107"/>
      <c r="AP458" s="107"/>
      <c r="AQ458" s="107"/>
      <c r="AR458" s="107"/>
      <c r="AS458" s="107"/>
      <c r="AT458" s="107"/>
      <c r="AU458" s="107"/>
      <c r="AV458" s="107"/>
      <c r="AW458" s="107"/>
      <c r="AX458" s="107"/>
      <c r="AY458" s="107"/>
      <c r="AZ458" s="107"/>
      <c r="BA458" s="107"/>
      <c r="BB458" s="107"/>
      <c r="BC458" s="107"/>
      <c r="BD458" s="107"/>
      <c r="BE458" s="107"/>
      <c r="BF458" s="107"/>
      <c r="BG458" s="107"/>
      <c r="BH458" s="107"/>
    </row>
    <row r="459" spans="1:60" x14ac:dyDescent="0.25">
      <c r="A459" s="96"/>
      <c r="B459" s="97"/>
      <c r="C459" s="97"/>
      <c r="D459" s="97"/>
      <c r="E459" s="98"/>
      <c r="F459" s="99"/>
      <c r="G459" s="97"/>
      <c r="H459" s="99"/>
      <c r="I459" s="99"/>
      <c r="J459" s="100"/>
      <c r="K459" s="101"/>
      <c r="L459" s="102"/>
      <c r="M459" s="103"/>
      <c r="N459" s="104"/>
      <c r="O459" s="97"/>
      <c r="P459" s="97"/>
      <c r="Q459" s="97"/>
      <c r="R459" s="105"/>
      <c r="S459" s="97"/>
      <c r="T459" s="97"/>
      <c r="U459" s="97" t="str">
        <f t="shared" si="10"/>
        <v/>
      </c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97"/>
      <c r="AO459" s="97"/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7"/>
      <c r="BA459" s="97"/>
      <c r="BB459" s="97"/>
      <c r="BC459" s="97"/>
      <c r="BD459" s="97"/>
      <c r="BE459" s="97"/>
      <c r="BF459" s="97"/>
      <c r="BG459" s="97"/>
      <c r="BH459" s="97"/>
    </row>
    <row r="460" spans="1:60" x14ac:dyDescent="0.25">
      <c r="A460" s="106"/>
      <c r="B460" s="107"/>
      <c r="C460" s="107"/>
      <c r="D460" s="107"/>
      <c r="E460" s="108"/>
      <c r="F460" s="109"/>
      <c r="G460" s="107"/>
      <c r="H460" s="109"/>
      <c r="I460" s="110"/>
      <c r="J460" s="110"/>
      <c r="K460" s="111"/>
      <c r="L460" s="112"/>
      <c r="M460" s="113"/>
      <c r="N460" s="114"/>
      <c r="O460" s="107"/>
      <c r="P460" s="107"/>
      <c r="Q460" s="115"/>
      <c r="R460" s="116"/>
      <c r="S460" s="107"/>
      <c r="T460" s="107"/>
      <c r="U460" s="107" t="str">
        <f t="shared" si="10"/>
        <v/>
      </c>
      <c r="V460" s="107"/>
      <c r="W460" s="107"/>
      <c r="X460" s="107"/>
      <c r="Y460" s="107"/>
      <c r="Z460" s="107"/>
      <c r="AA460" s="107"/>
      <c r="AB460" s="107"/>
      <c r="AC460" s="107"/>
      <c r="AD460" s="107"/>
      <c r="AE460" s="107"/>
      <c r="AF460" s="107"/>
      <c r="AG460" s="107"/>
      <c r="AH460" s="107"/>
      <c r="AI460" s="107"/>
      <c r="AJ460" s="107"/>
      <c r="AK460" s="107"/>
      <c r="AL460" s="107"/>
      <c r="AM460" s="107"/>
      <c r="AN460" s="107"/>
      <c r="AO460" s="107"/>
      <c r="AP460" s="107"/>
      <c r="AQ460" s="107"/>
      <c r="AR460" s="107"/>
      <c r="AS460" s="107"/>
      <c r="AT460" s="107"/>
      <c r="AU460" s="107"/>
      <c r="AV460" s="107"/>
      <c r="AW460" s="107"/>
      <c r="AX460" s="107"/>
      <c r="AY460" s="107"/>
      <c r="AZ460" s="107"/>
      <c r="BA460" s="107"/>
      <c r="BB460" s="107"/>
      <c r="BC460" s="107"/>
      <c r="BD460" s="107"/>
      <c r="BE460" s="107"/>
      <c r="BF460" s="107"/>
      <c r="BG460" s="107"/>
      <c r="BH460" s="107"/>
    </row>
    <row r="461" spans="1:60" x14ac:dyDescent="0.25">
      <c r="A461" s="96"/>
      <c r="B461" s="97"/>
      <c r="C461" s="97"/>
      <c r="D461" s="97"/>
      <c r="E461" s="98"/>
      <c r="F461" s="99"/>
      <c r="G461" s="97"/>
      <c r="H461" s="99"/>
      <c r="I461" s="99"/>
      <c r="J461" s="100"/>
      <c r="K461" s="101"/>
      <c r="L461" s="102"/>
      <c r="M461" s="103"/>
      <c r="N461" s="104"/>
      <c r="O461" s="97"/>
      <c r="P461" s="97"/>
      <c r="Q461" s="97"/>
      <c r="R461" s="105"/>
      <c r="S461" s="97"/>
      <c r="T461" s="97"/>
      <c r="U461" s="97" t="str">
        <f t="shared" si="10"/>
        <v/>
      </c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97"/>
      <c r="AO461" s="97"/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7"/>
      <c r="BA461" s="97"/>
      <c r="BB461" s="97"/>
      <c r="BC461" s="97"/>
      <c r="BD461" s="97"/>
      <c r="BE461" s="97"/>
      <c r="BF461" s="97"/>
      <c r="BG461" s="97"/>
      <c r="BH461" s="97"/>
    </row>
    <row r="462" spans="1:60" x14ac:dyDescent="0.25">
      <c r="A462" s="106"/>
      <c r="B462" s="107"/>
      <c r="C462" s="107"/>
      <c r="D462" s="107"/>
      <c r="E462" s="108"/>
      <c r="F462" s="109" t="str">
        <f>IF(H462&lt;&gt;"",H462-Accueil!N$6+1/60/24,"")</f>
        <v/>
      </c>
      <c r="G462" s="107"/>
      <c r="H462" s="109"/>
      <c r="I462" s="110"/>
      <c r="J462" s="110"/>
      <c r="K462" s="111"/>
      <c r="L462" s="112"/>
      <c r="M462" s="113"/>
      <c r="N462" s="114"/>
      <c r="O462" s="107"/>
      <c r="P462" s="107"/>
      <c r="Q462" s="115"/>
      <c r="R462" s="116"/>
      <c r="S462" s="107"/>
      <c r="T462" s="107"/>
      <c r="U462" s="107" t="str">
        <f t="shared" si="10"/>
        <v/>
      </c>
      <c r="V462" s="107"/>
      <c r="W462" s="107"/>
      <c r="X462" s="107"/>
      <c r="Y462" s="107"/>
      <c r="Z462" s="107"/>
      <c r="AA462" s="107"/>
      <c r="AB462" s="107"/>
      <c r="AC462" s="107"/>
      <c r="AD462" s="107"/>
      <c r="AE462" s="107"/>
      <c r="AF462" s="107"/>
      <c r="AG462" s="107"/>
      <c r="AH462" s="107"/>
      <c r="AI462" s="107"/>
      <c r="AJ462" s="107"/>
      <c r="AK462" s="107"/>
      <c r="AL462" s="107"/>
      <c r="AM462" s="107"/>
      <c r="AN462" s="107"/>
      <c r="AO462" s="107"/>
      <c r="AP462" s="107"/>
      <c r="AQ462" s="107"/>
      <c r="AR462" s="107"/>
      <c r="AS462" s="107"/>
      <c r="AT462" s="107"/>
      <c r="AU462" s="107"/>
      <c r="AV462" s="107"/>
      <c r="AW462" s="107"/>
      <c r="AX462" s="107"/>
      <c r="AY462" s="107"/>
      <c r="AZ462" s="107"/>
      <c r="BA462" s="107"/>
      <c r="BB462" s="107"/>
      <c r="BC462" s="107"/>
      <c r="BD462" s="107"/>
      <c r="BE462" s="107"/>
      <c r="BF462" s="107"/>
      <c r="BG462" s="107"/>
      <c r="BH462" s="107"/>
    </row>
    <row r="463" spans="1:60" x14ac:dyDescent="0.25">
      <c r="A463" s="96"/>
      <c r="B463" s="97"/>
      <c r="C463" s="97"/>
      <c r="D463" s="97"/>
      <c r="E463" s="98"/>
      <c r="F463" s="99" t="str">
        <f>IF(H463&lt;&gt;"",H463-Accueil!N$6+1/60/24,"")</f>
        <v/>
      </c>
      <c r="G463" s="97"/>
      <c r="H463" s="99"/>
      <c r="I463" s="99"/>
      <c r="J463" s="100"/>
      <c r="K463" s="101"/>
      <c r="L463" s="102"/>
      <c r="M463" s="103"/>
      <c r="N463" s="104"/>
      <c r="O463" s="97"/>
      <c r="P463" s="97"/>
      <c r="Q463" s="97"/>
      <c r="R463" s="105"/>
      <c r="S463" s="97"/>
      <c r="T463" s="97"/>
      <c r="U463" s="97" t="str">
        <f t="shared" si="10"/>
        <v/>
      </c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97"/>
      <c r="AO463" s="97"/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7"/>
      <c r="BA463" s="97"/>
      <c r="BB463" s="97"/>
      <c r="BC463" s="97"/>
      <c r="BD463" s="97"/>
      <c r="BE463" s="97"/>
      <c r="BF463" s="97"/>
      <c r="BG463" s="97"/>
      <c r="BH463" s="97"/>
    </row>
    <row r="464" spans="1:60" x14ac:dyDescent="0.25">
      <c r="A464" s="106"/>
      <c r="B464" s="107"/>
      <c r="C464" s="107"/>
      <c r="D464" s="107"/>
      <c r="E464" s="108"/>
      <c r="F464" s="109" t="str">
        <f>IF(H464&lt;&gt;"",H464-Accueil!N$6+1/60/24,"")</f>
        <v/>
      </c>
      <c r="G464" s="107"/>
      <c r="H464" s="109"/>
      <c r="I464" s="110"/>
      <c r="J464" s="110"/>
      <c r="K464" s="111"/>
      <c r="L464" s="112"/>
      <c r="M464" s="113"/>
      <c r="N464" s="114"/>
      <c r="O464" s="107"/>
      <c r="P464" s="107"/>
      <c r="Q464" s="115"/>
      <c r="R464" s="116"/>
      <c r="S464" s="107"/>
      <c r="T464" s="107"/>
      <c r="U464" s="107" t="str">
        <f t="shared" si="10"/>
        <v/>
      </c>
      <c r="V464" s="107"/>
      <c r="W464" s="107"/>
      <c r="X464" s="107"/>
      <c r="Y464" s="107"/>
      <c r="Z464" s="107"/>
      <c r="AA464" s="107"/>
      <c r="AB464" s="107"/>
      <c r="AC464" s="107"/>
      <c r="AD464" s="107"/>
      <c r="AE464" s="107"/>
      <c r="AF464" s="107"/>
      <c r="AG464" s="107"/>
      <c r="AH464" s="107"/>
      <c r="AI464" s="107"/>
      <c r="AJ464" s="107"/>
      <c r="AK464" s="107"/>
      <c r="AL464" s="107"/>
      <c r="AM464" s="107"/>
      <c r="AN464" s="107"/>
      <c r="AO464" s="107"/>
      <c r="AP464" s="107"/>
      <c r="AQ464" s="107"/>
      <c r="AR464" s="107"/>
      <c r="AS464" s="107"/>
      <c r="AT464" s="107"/>
      <c r="AU464" s="107"/>
      <c r="AV464" s="107"/>
      <c r="AW464" s="107"/>
      <c r="AX464" s="107"/>
      <c r="AY464" s="107"/>
      <c r="AZ464" s="107"/>
      <c r="BA464" s="107"/>
      <c r="BB464" s="107"/>
      <c r="BC464" s="107"/>
      <c r="BD464" s="107"/>
      <c r="BE464" s="107"/>
      <c r="BF464" s="107"/>
      <c r="BG464" s="107"/>
      <c r="BH464" s="107"/>
    </row>
    <row r="465" spans="1:60" x14ac:dyDescent="0.25">
      <c r="A465" s="96"/>
      <c r="B465" s="97"/>
      <c r="C465" s="97"/>
      <c r="D465" s="97"/>
      <c r="E465" s="98"/>
      <c r="F465" s="99" t="str">
        <f>IF(H465&lt;&gt;"",H465-Accueil!N$6+1/60/24,"")</f>
        <v/>
      </c>
      <c r="G465" s="97"/>
      <c r="H465" s="99"/>
      <c r="I465" s="99"/>
      <c r="J465" s="100"/>
      <c r="K465" s="101"/>
      <c r="L465" s="102"/>
      <c r="M465" s="103"/>
      <c r="N465" s="104"/>
      <c r="O465" s="97"/>
      <c r="P465" s="97"/>
      <c r="Q465" s="97"/>
      <c r="R465" s="105"/>
      <c r="S465" s="97"/>
      <c r="T465" s="97"/>
      <c r="U465" s="97" t="str">
        <f t="shared" si="10"/>
        <v/>
      </c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97"/>
      <c r="AO465" s="97"/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7"/>
      <c r="BA465" s="97"/>
      <c r="BB465" s="97"/>
      <c r="BC465" s="97"/>
      <c r="BD465" s="97"/>
      <c r="BE465" s="97"/>
      <c r="BF465" s="97"/>
      <c r="BG465" s="97"/>
      <c r="BH465" s="97"/>
    </row>
    <row r="466" spans="1:60" x14ac:dyDescent="0.25">
      <c r="A466" s="106"/>
      <c r="B466" s="107"/>
      <c r="C466" s="107"/>
      <c r="D466" s="107"/>
      <c r="E466" s="108"/>
      <c r="F466" s="109" t="str">
        <f>IF(H466&lt;&gt;"",H466-Accueil!N$6+1/60/24,"")</f>
        <v/>
      </c>
      <c r="G466" s="107"/>
      <c r="H466" s="109"/>
      <c r="I466" s="110"/>
      <c r="J466" s="110"/>
      <c r="K466" s="111"/>
      <c r="L466" s="112"/>
      <c r="M466" s="113"/>
      <c r="N466" s="114"/>
      <c r="O466" s="107"/>
      <c r="P466" s="107"/>
      <c r="Q466" s="115"/>
      <c r="R466" s="116"/>
      <c r="S466" s="107"/>
      <c r="T466" s="107"/>
      <c r="U466" s="107" t="str">
        <f t="shared" si="10"/>
        <v/>
      </c>
      <c r="V466" s="107"/>
      <c r="W466" s="107"/>
      <c r="X466" s="107"/>
      <c r="Y466" s="107"/>
      <c r="Z466" s="107"/>
      <c r="AA466" s="107"/>
      <c r="AB466" s="107"/>
      <c r="AC466" s="107"/>
      <c r="AD466" s="107"/>
      <c r="AE466" s="107"/>
      <c r="AF466" s="107"/>
      <c r="AG466" s="107"/>
      <c r="AH466" s="107"/>
      <c r="AI466" s="107"/>
      <c r="AJ466" s="107"/>
      <c r="AK466" s="107"/>
      <c r="AL466" s="107"/>
      <c r="AM466" s="107"/>
      <c r="AN466" s="107"/>
      <c r="AO466" s="107"/>
      <c r="AP466" s="107"/>
      <c r="AQ466" s="107"/>
      <c r="AR466" s="107"/>
      <c r="AS466" s="107"/>
      <c r="AT466" s="107"/>
      <c r="AU466" s="107"/>
      <c r="AV466" s="107"/>
      <c r="AW466" s="107"/>
      <c r="AX466" s="107"/>
      <c r="AY466" s="107"/>
      <c r="AZ466" s="107"/>
      <c r="BA466" s="107"/>
      <c r="BB466" s="107"/>
      <c r="BC466" s="107"/>
      <c r="BD466" s="107"/>
      <c r="BE466" s="107"/>
      <c r="BF466" s="107"/>
      <c r="BG466" s="107"/>
      <c r="BH466" s="107"/>
    </row>
    <row r="467" spans="1:60" x14ac:dyDescent="0.25">
      <c r="A467" s="96"/>
      <c r="B467" s="97"/>
      <c r="C467" s="97"/>
      <c r="D467" s="97"/>
      <c r="E467" s="98"/>
      <c r="F467" s="99" t="str">
        <f>IF(H467&lt;&gt;"",H467-Accueil!N$6+1/60/24,"")</f>
        <v/>
      </c>
      <c r="G467" s="97"/>
      <c r="H467" s="99"/>
      <c r="I467" s="99"/>
      <c r="J467" s="100"/>
      <c r="K467" s="101"/>
      <c r="L467" s="102"/>
      <c r="M467" s="103"/>
      <c r="N467" s="104"/>
      <c r="O467" s="97"/>
      <c r="P467" s="97"/>
      <c r="Q467" s="97"/>
      <c r="R467" s="105"/>
      <c r="S467" s="97"/>
      <c r="T467" s="97"/>
      <c r="U467" s="97" t="str">
        <f t="shared" si="10"/>
        <v/>
      </c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7"/>
      <c r="AL467" s="97"/>
      <c r="AM467" s="97"/>
      <c r="AN467" s="97"/>
      <c r="AO467" s="97"/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7"/>
      <c r="BA467" s="97"/>
      <c r="BB467" s="97"/>
      <c r="BC467" s="97"/>
      <c r="BD467" s="97"/>
      <c r="BE467" s="97"/>
      <c r="BF467" s="97"/>
      <c r="BG467" s="97"/>
      <c r="BH467" s="97"/>
    </row>
    <row r="468" spans="1:60" x14ac:dyDescent="0.25">
      <c r="A468" s="106"/>
      <c r="B468" s="107"/>
      <c r="C468" s="107"/>
      <c r="D468" s="107"/>
      <c r="E468" s="108"/>
      <c r="F468" s="109" t="str">
        <f>IF(H468&lt;&gt;"",H468-Accueil!N$6+1/60/24,"")</f>
        <v/>
      </c>
      <c r="G468" s="107"/>
      <c r="H468" s="109"/>
      <c r="I468" s="110"/>
      <c r="J468" s="110"/>
      <c r="K468" s="111"/>
      <c r="L468" s="112"/>
      <c r="M468" s="113"/>
      <c r="N468" s="114"/>
      <c r="O468" s="107"/>
      <c r="P468" s="107"/>
      <c r="Q468" s="115"/>
      <c r="R468" s="116"/>
      <c r="S468" s="107"/>
      <c r="T468" s="107"/>
      <c r="U468" s="107" t="str">
        <f t="shared" si="10"/>
        <v/>
      </c>
      <c r="V468" s="107"/>
      <c r="W468" s="107"/>
      <c r="X468" s="107"/>
      <c r="Y468" s="107"/>
      <c r="Z468" s="107"/>
      <c r="AA468" s="107"/>
      <c r="AB468" s="107"/>
      <c r="AC468" s="107"/>
      <c r="AD468" s="107"/>
      <c r="AE468" s="107"/>
      <c r="AF468" s="107"/>
      <c r="AG468" s="107"/>
      <c r="AH468" s="107"/>
      <c r="AI468" s="107"/>
      <c r="AJ468" s="107"/>
      <c r="AK468" s="107"/>
      <c r="AL468" s="107"/>
      <c r="AM468" s="107"/>
      <c r="AN468" s="107"/>
      <c r="AO468" s="107"/>
      <c r="AP468" s="107"/>
      <c r="AQ468" s="107"/>
      <c r="AR468" s="107"/>
      <c r="AS468" s="107"/>
      <c r="AT468" s="107"/>
      <c r="AU468" s="107"/>
      <c r="AV468" s="107"/>
      <c r="AW468" s="107"/>
      <c r="AX468" s="107"/>
      <c r="AY468" s="107"/>
      <c r="AZ468" s="107"/>
      <c r="BA468" s="107"/>
      <c r="BB468" s="107"/>
      <c r="BC468" s="107"/>
      <c r="BD468" s="107"/>
      <c r="BE468" s="107"/>
      <c r="BF468" s="107"/>
      <c r="BG468" s="107"/>
      <c r="BH468" s="107"/>
    </row>
    <row r="469" spans="1:60" x14ac:dyDescent="0.25">
      <c r="A469" s="96"/>
      <c r="B469" s="97"/>
      <c r="C469" s="97"/>
      <c r="D469" s="97"/>
      <c r="E469" s="98"/>
      <c r="F469" s="99" t="str">
        <f>IF(H469&lt;&gt;"",H469-Accueil!N$6+1/60/24,"")</f>
        <v/>
      </c>
      <c r="G469" s="97"/>
      <c r="H469" s="99"/>
      <c r="I469" s="99"/>
      <c r="J469" s="100"/>
      <c r="K469" s="101"/>
      <c r="L469" s="102"/>
      <c r="M469" s="103"/>
      <c r="N469" s="104"/>
      <c r="O469" s="97"/>
      <c r="P469" s="97"/>
      <c r="Q469" s="97"/>
      <c r="R469" s="105"/>
      <c r="S469" s="97"/>
      <c r="T469" s="97"/>
      <c r="U469" s="97" t="str">
        <f t="shared" si="10"/>
        <v/>
      </c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97"/>
      <c r="AO469" s="97"/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7"/>
      <c r="BA469" s="97"/>
      <c r="BB469" s="97"/>
      <c r="BC469" s="97"/>
      <c r="BD469" s="97"/>
      <c r="BE469" s="97"/>
      <c r="BF469" s="97"/>
      <c r="BG469" s="97"/>
      <c r="BH469" s="97"/>
    </row>
    <row r="470" spans="1:60" x14ac:dyDescent="0.25">
      <c r="A470" s="106"/>
      <c r="B470" s="107"/>
      <c r="C470" s="107"/>
      <c r="D470" s="107"/>
      <c r="E470" s="108"/>
      <c r="F470" s="109" t="str">
        <f>IF(H470&lt;&gt;"",H470-Accueil!N$6+1/60/24,"")</f>
        <v/>
      </c>
      <c r="G470" s="107"/>
      <c r="H470" s="109"/>
      <c r="I470" s="110"/>
      <c r="J470" s="110"/>
      <c r="K470" s="111"/>
      <c r="L470" s="112"/>
      <c r="M470" s="113"/>
      <c r="N470" s="114"/>
      <c r="O470" s="107"/>
      <c r="P470" s="107"/>
      <c r="Q470" s="115"/>
      <c r="R470" s="116"/>
      <c r="S470" s="107"/>
      <c r="T470" s="107"/>
      <c r="U470" s="107" t="str">
        <f t="shared" si="10"/>
        <v/>
      </c>
      <c r="V470" s="107"/>
      <c r="W470" s="107"/>
      <c r="X470" s="107"/>
      <c r="Y470" s="107"/>
      <c r="Z470" s="107"/>
      <c r="AA470" s="107"/>
      <c r="AB470" s="107"/>
      <c r="AC470" s="107"/>
      <c r="AD470" s="107"/>
      <c r="AE470" s="107"/>
      <c r="AF470" s="107"/>
      <c r="AG470" s="107"/>
      <c r="AH470" s="107"/>
      <c r="AI470" s="107"/>
      <c r="AJ470" s="107"/>
      <c r="AK470" s="107"/>
      <c r="AL470" s="107"/>
      <c r="AM470" s="107"/>
      <c r="AN470" s="107"/>
      <c r="AO470" s="107"/>
      <c r="AP470" s="107"/>
      <c r="AQ470" s="107"/>
      <c r="AR470" s="107"/>
      <c r="AS470" s="107"/>
      <c r="AT470" s="107"/>
      <c r="AU470" s="107"/>
      <c r="AV470" s="107"/>
      <c r="AW470" s="107"/>
      <c r="AX470" s="107"/>
      <c r="AY470" s="107"/>
      <c r="AZ470" s="107"/>
      <c r="BA470" s="107"/>
      <c r="BB470" s="107"/>
      <c r="BC470" s="107"/>
      <c r="BD470" s="107"/>
      <c r="BE470" s="107"/>
      <c r="BF470" s="107"/>
      <c r="BG470" s="107"/>
      <c r="BH470" s="107"/>
    </row>
    <row r="471" spans="1:60" x14ac:dyDescent="0.25">
      <c r="A471" s="96"/>
      <c r="B471" s="97"/>
      <c r="C471" s="97"/>
      <c r="D471" s="97"/>
      <c r="E471" s="98"/>
      <c r="F471" s="99" t="str">
        <f>IF(H471&lt;&gt;"",H471-Accueil!N$6+1/60/24,"")</f>
        <v/>
      </c>
      <c r="G471" s="97"/>
      <c r="H471" s="99"/>
      <c r="I471" s="99"/>
      <c r="J471" s="100"/>
      <c r="K471" s="101"/>
      <c r="L471" s="102"/>
      <c r="M471" s="103"/>
      <c r="N471" s="104"/>
      <c r="O471" s="97"/>
      <c r="P471" s="97"/>
      <c r="Q471" s="97"/>
      <c r="R471" s="105"/>
      <c r="S471" s="97"/>
      <c r="T471" s="97"/>
      <c r="U471" s="97" t="str">
        <f t="shared" si="10"/>
        <v/>
      </c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7"/>
      <c r="BA471" s="97"/>
      <c r="BB471" s="97"/>
      <c r="BC471" s="97"/>
      <c r="BD471" s="97"/>
      <c r="BE471" s="97"/>
      <c r="BF471" s="97"/>
      <c r="BG471" s="97"/>
      <c r="BH471" s="97"/>
    </row>
    <row r="472" spans="1:60" x14ac:dyDescent="0.25">
      <c r="A472" s="106"/>
      <c r="B472" s="107"/>
      <c r="C472" s="107"/>
      <c r="D472" s="107"/>
      <c r="E472" s="108"/>
      <c r="F472" s="109" t="str">
        <f>IF(H472&lt;&gt;"",H472-Accueil!N$6+1/60/24,"")</f>
        <v/>
      </c>
      <c r="G472" s="107"/>
      <c r="H472" s="109"/>
      <c r="I472" s="110"/>
      <c r="J472" s="110"/>
      <c r="K472" s="111"/>
      <c r="L472" s="112"/>
      <c r="M472" s="113"/>
      <c r="N472" s="114"/>
      <c r="O472" s="107"/>
      <c r="P472" s="107"/>
      <c r="Q472" s="115"/>
      <c r="R472" s="116"/>
      <c r="S472" s="107"/>
      <c r="T472" s="107"/>
      <c r="U472" s="107" t="str">
        <f t="shared" si="10"/>
        <v/>
      </c>
      <c r="V472" s="107"/>
      <c r="W472" s="107"/>
      <c r="X472" s="107"/>
      <c r="Y472" s="107"/>
      <c r="Z472" s="107"/>
      <c r="AA472" s="107"/>
      <c r="AB472" s="107"/>
      <c r="AC472" s="107"/>
      <c r="AD472" s="107"/>
      <c r="AE472" s="107"/>
      <c r="AF472" s="107"/>
      <c r="AG472" s="107"/>
      <c r="AH472" s="107"/>
      <c r="AI472" s="107"/>
      <c r="AJ472" s="107"/>
      <c r="AK472" s="107"/>
      <c r="AL472" s="107"/>
      <c r="AM472" s="107"/>
      <c r="AN472" s="107"/>
      <c r="AO472" s="107"/>
      <c r="AP472" s="107"/>
      <c r="AQ472" s="107"/>
      <c r="AR472" s="107"/>
      <c r="AS472" s="107"/>
      <c r="AT472" s="107"/>
      <c r="AU472" s="107"/>
      <c r="AV472" s="107"/>
      <c r="AW472" s="107"/>
      <c r="AX472" s="107"/>
      <c r="AY472" s="107"/>
      <c r="AZ472" s="107"/>
      <c r="BA472" s="107"/>
      <c r="BB472" s="107"/>
      <c r="BC472" s="107"/>
      <c r="BD472" s="107"/>
      <c r="BE472" s="107"/>
      <c r="BF472" s="107"/>
      <c r="BG472" s="107"/>
      <c r="BH472" s="107"/>
    </row>
    <row r="473" spans="1:60" x14ac:dyDescent="0.25">
      <c r="A473" s="96"/>
      <c r="B473" s="97"/>
      <c r="C473" s="97"/>
      <c r="D473" s="97"/>
      <c r="E473" s="98"/>
      <c r="F473" s="99" t="str">
        <f>IF(H473&lt;&gt;"",H473-Accueil!N$6+1/60/24,"")</f>
        <v/>
      </c>
      <c r="G473" s="97"/>
      <c r="H473" s="99"/>
      <c r="I473" s="99"/>
      <c r="J473" s="100"/>
      <c r="K473" s="101"/>
      <c r="L473" s="102"/>
      <c r="M473" s="103"/>
      <c r="N473" s="104"/>
      <c r="O473" s="97"/>
      <c r="P473" s="97"/>
      <c r="Q473" s="97"/>
      <c r="R473" s="105"/>
      <c r="S473" s="97"/>
      <c r="T473" s="97"/>
      <c r="U473" s="97" t="str">
        <f t="shared" si="10"/>
        <v/>
      </c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97"/>
      <c r="AO473" s="97"/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7"/>
      <c r="BA473" s="97"/>
      <c r="BB473" s="97"/>
      <c r="BC473" s="97"/>
      <c r="BD473" s="97"/>
      <c r="BE473" s="97"/>
      <c r="BF473" s="97"/>
      <c r="BG473" s="97"/>
      <c r="BH473" s="97"/>
    </row>
    <row r="474" spans="1:60" x14ac:dyDescent="0.25">
      <c r="A474" s="106"/>
      <c r="B474" s="107"/>
      <c r="C474" s="107"/>
      <c r="D474" s="107"/>
      <c r="E474" s="108"/>
      <c r="F474" s="109" t="str">
        <f>IF(H474&lt;&gt;"",H474-Accueil!N$6+1/60/24,"")</f>
        <v/>
      </c>
      <c r="G474" s="107"/>
      <c r="H474" s="109"/>
      <c r="I474" s="110"/>
      <c r="J474" s="110"/>
      <c r="K474" s="111"/>
      <c r="L474" s="112"/>
      <c r="M474" s="113"/>
      <c r="N474" s="114"/>
      <c r="O474" s="107"/>
      <c r="P474" s="107"/>
      <c r="Q474" s="115"/>
      <c r="R474" s="116"/>
      <c r="S474" s="107"/>
      <c r="T474" s="107"/>
      <c r="U474" s="107" t="str">
        <f t="shared" si="10"/>
        <v/>
      </c>
      <c r="V474" s="107"/>
      <c r="W474" s="107"/>
      <c r="X474" s="107"/>
      <c r="Y474" s="107"/>
      <c r="Z474" s="107"/>
      <c r="AA474" s="107"/>
      <c r="AB474" s="107"/>
      <c r="AC474" s="107"/>
      <c r="AD474" s="107"/>
      <c r="AE474" s="107"/>
      <c r="AF474" s="107"/>
      <c r="AG474" s="107"/>
      <c r="AH474" s="107"/>
      <c r="AI474" s="107"/>
      <c r="AJ474" s="107"/>
      <c r="AK474" s="107"/>
      <c r="AL474" s="107"/>
      <c r="AM474" s="107"/>
      <c r="AN474" s="107"/>
      <c r="AO474" s="107"/>
      <c r="AP474" s="107"/>
      <c r="AQ474" s="107"/>
      <c r="AR474" s="107"/>
      <c r="AS474" s="107"/>
      <c r="AT474" s="107"/>
      <c r="AU474" s="107"/>
      <c r="AV474" s="107"/>
      <c r="AW474" s="107"/>
      <c r="AX474" s="107"/>
      <c r="AY474" s="107"/>
      <c r="AZ474" s="107"/>
      <c r="BA474" s="107"/>
      <c r="BB474" s="107"/>
      <c r="BC474" s="107"/>
      <c r="BD474" s="107"/>
      <c r="BE474" s="107"/>
      <c r="BF474" s="107"/>
      <c r="BG474" s="107"/>
      <c r="BH474" s="107"/>
    </row>
    <row r="475" spans="1:60" x14ac:dyDescent="0.25">
      <c r="A475" s="96"/>
      <c r="B475" s="97"/>
      <c r="C475" s="97"/>
      <c r="D475" s="97"/>
      <c r="E475" s="98"/>
      <c r="F475" s="99" t="str">
        <f>IF(H475&lt;&gt;"",H475-Accueil!N$6+1/60/24,"")</f>
        <v/>
      </c>
      <c r="G475" s="97"/>
      <c r="H475" s="99"/>
      <c r="I475" s="99"/>
      <c r="J475" s="100"/>
      <c r="K475" s="101"/>
      <c r="L475" s="102"/>
      <c r="M475" s="103"/>
      <c r="N475" s="104"/>
      <c r="O475" s="97"/>
      <c r="P475" s="97"/>
      <c r="Q475" s="97"/>
      <c r="R475" s="105"/>
      <c r="S475" s="97"/>
      <c r="T475" s="97"/>
      <c r="U475" s="97" t="str">
        <f t="shared" si="10"/>
        <v/>
      </c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97"/>
      <c r="AO475" s="97"/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7"/>
      <c r="BA475" s="97"/>
      <c r="BB475" s="97"/>
      <c r="BC475" s="97"/>
      <c r="BD475" s="97"/>
      <c r="BE475" s="97"/>
      <c r="BF475" s="97"/>
      <c r="BG475" s="97"/>
      <c r="BH475" s="97"/>
    </row>
    <row r="476" spans="1:60" x14ac:dyDescent="0.25">
      <c r="A476" s="106"/>
      <c r="B476" s="107"/>
      <c r="C476" s="107"/>
      <c r="D476" s="107"/>
      <c r="E476" s="108"/>
      <c r="F476" s="109" t="str">
        <f>IF(H476&lt;&gt;"",H476-Accueil!N$6+1/60/24,"")</f>
        <v/>
      </c>
      <c r="G476" s="107"/>
      <c r="H476" s="109"/>
      <c r="I476" s="110"/>
      <c r="J476" s="110"/>
      <c r="K476" s="111"/>
      <c r="L476" s="112"/>
      <c r="M476" s="113"/>
      <c r="N476" s="114"/>
      <c r="O476" s="107"/>
      <c r="P476" s="107"/>
      <c r="Q476" s="115"/>
      <c r="R476" s="116"/>
      <c r="S476" s="107"/>
      <c r="T476" s="107"/>
      <c r="U476" s="107" t="str">
        <f t="shared" si="10"/>
        <v/>
      </c>
      <c r="V476" s="107"/>
      <c r="W476" s="107"/>
      <c r="X476" s="107"/>
      <c r="Y476" s="107"/>
      <c r="Z476" s="107"/>
      <c r="AA476" s="107"/>
      <c r="AB476" s="107"/>
      <c r="AC476" s="107"/>
      <c r="AD476" s="107"/>
      <c r="AE476" s="107"/>
      <c r="AF476" s="107"/>
      <c r="AG476" s="107"/>
      <c r="AH476" s="107"/>
      <c r="AI476" s="107"/>
      <c r="AJ476" s="107"/>
      <c r="AK476" s="107"/>
      <c r="AL476" s="107"/>
      <c r="AM476" s="107"/>
      <c r="AN476" s="107"/>
      <c r="AO476" s="107"/>
      <c r="AP476" s="107"/>
      <c r="AQ476" s="107"/>
      <c r="AR476" s="107"/>
      <c r="AS476" s="107"/>
      <c r="AT476" s="107"/>
      <c r="AU476" s="107"/>
      <c r="AV476" s="107"/>
      <c r="AW476" s="107"/>
      <c r="AX476" s="107"/>
      <c r="AY476" s="107"/>
      <c r="AZ476" s="107"/>
      <c r="BA476" s="107"/>
      <c r="BB476" s="107"/>
      <c r="BC476" s="107"/>
      <c r="BD476" s="107"/>
      <c r="BE476" s="107"/>
      <c r="BF476" s="107"/>
      <c r="BG476" s="107"/>
      <c r="BH476" s="107"/>
    </row>
    <row r="477" spans="1:60" x14ac:dyDescent="0.25">
      <c r="A477" s="96"/>
      <c r="B477" s="97"/>
      <c r="C477" s="97"/>
      <c r="D477" s="97"/>
      <c r="E477" s="98"/>
      <c r="F477" s="99" t="str">
        <f>IF(H477&lt;&gt;"",H477-Accueil!N$6+1/60/24,"")</f>
        <v/>
      </c>
      <c r="G477" s="97"/>
      <c r="H477" s="99"/>
      <c r="I477" s="99"/>
      <c r="J477" s="100"/>
      <c r="K477" s="101"/>
      <c r="L477" s="102"/>
      <c r="M477" s="103"/>
      <c r="N477" s="104"/>
      <c r="O477" s="97"/>
      <c r="P477" s="97"/>
      <c r="Q477" s="97"/>
      <c r="R477" s="105"/>
      <c r="S477" s="97"/>
      <c r="T477" s="97"/>
      <c r="U477" s="97" t="str">
        <f t="shared" si="10"/>
        <v/>
      </c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97"/>
      <c r="AO477" s="97"/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7"/>
      <c r="BA477" s="97"/>
      <c r="BB477" s="97"/>
      <c r="BC477" s="97"/>
      <c r="BD477" s="97"/>
      <c r="BE477" s="97"/>
      <c r="BF477" s="97"/>
      <c r="BG477" s="97"/>
      <c r="BH477" s="97"/>
    </row>
    <row r="478" spans="1:60" x14ac:dyDescent="0.25">
      <c r="A478" s="106"/>
      <c r="B478" s="107"/>
      <c r="C478" s="107"/>
      <c r="D478" s="107"/>
      <c r="E478" s="108"/>
      <c r="F478" s="109" t="str">
        <f>IF(H478&lt;&gt;"",H478-Accueil!N$6+1/60/24,"")</f>
        <v/>
      </c>
      <c r="G478" s="107"/>
      <c r="H478" s="109"/>
      <c r="I478" s="110"/>
      <c r="J478" s="110"/>
      <c r="K478" s="111"/>
      <c r="L478" s="112"/>
      <c r="M478" s="113"/>
      <c r="N478" s="114"/>
      <c r="O478" s="107"/>
      <c r="P478" s="107"/>
      <c r="Q478" s="115"/>
      <c r="R478" s="116"/>
      <c r="S478" s="107"/>
      <c r="T478" s="107"/>
      <c r="U478" s="107" t="str">
        <f t="shared" si="10"/>
        <v/>
      </c>
      <c r="V478" s="107"/>
      <c r="W478" s="107"/>
      <c r="X478" s="107"/>
      <c r="Y478" s="107"/>
      <c r="Z478" s="107"/>
      <c r="AA478" s="107"/>
      <c r="AB478" s="107"/>
      <c r="AC478" s="107"/>
      <c r="AD478" s="107"/>
      <c r="AE478" s="107"/>
      <c r="AF478" s="107"/>
      <c r="AG478" s="107"/>
      <c r="AH478" s="107"/>
      <c r="AI478" s="107"/>
      <c r="AJ478" s="107"/>
      <c r="AK478" s="107"/>
      <c r="AL478" s="107"/>
      <c r="AM478" s="107"/>
      <c r="AN478" s="107"/>
      <c r="AO478" s="107"/>
      <c r="AP478" s="107"/>
      <c r="AQ478" s="107"/>
      <c r="AR478" s="107"/>
      <c r="AS478" s="107"/>
      <c r="AT478" s="107"/>
      <c r="AU478" s="107"/>
      <c r="AV478" s="107"/>
      <c r="AW478" s="107"/>
      <c r="AX478" s="107"/>
      <c r="AY478" s="107"/>
      <c r="AZ478" s="107"/>
      <c r="BA478" s="107"/>
      <c r="BB478" s="107"/>
      <c r="BC478" s="107"/>
      <c r="BD478" s="107"/>
      <c r="BE478" s="107"/>
      <c r="BF478" s="107"/>
      <c r="BG478" s="107"/>
      <c r="BH478" s="107"/>
    </row>
    <row r="479" spans="1:60" x14ac:dyDescent="0.25">
      <c r="A479" s="96"/>
      <c r="B479" s="97"/>
      <c r="C479" s="97"/>
      <c r="D479" s="97"/>
      <c r="E479" s="98"/>
      <c r="F479" s="99" t="str">
        <f>IF(H479&lt;&gt;"",H479-Accueil!N$6+1/60/24,"")</f>
        <v/>
      </c>
      <c r="G479" s="97"/>
      <c r="H479" s="99"/>
      <c r="I479" s="99"/>
      <c r="J479" s="100"/>
      <c r="K479" s="101"/>
      <c r="L479" s="102"/>
      <c r="M479" s="103"/>
      <c r="N479" s="104"/>
      <c r="O479" s="97"/>
      <c r="P479" s="97"/>
      <c r="Q479" s="97"/>
      <c r="R479" s="105"/>
      <c r="S479" s="97"/>
      <c r="T479" s="97"/>
      <c r="U479" s="97" t="str">
        <f t="shared" si="10"/>
        <v/>
      </c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7"/>
      <c r="BA479" s="97"/>
      <c r="BB479" s="97"/>
      <c r="BC479" s="97"/>
      <c r="BD479" s="97"/>
      <c r="BE479" s="97"/>
      <c r="BF479" s="97"/>
      <c r="BG479" s="97"/>
      <c r="BH479" s="97"/>
    </row>
    <row r="480" spans="1:60" x14ac:dyDescent="0.25">
      <c r="A480" s="106"/>
      <c r="B480" s="107"/>
      <c r="C480" s="107"/>
      <c r="D480" s="107"/>
      <c r="E480" s="108"/>
      <c r="F480" s="109" t="str">
        <f>IF(H480&lt;&gt;"",H480-Accueil!N$6+1/60/24,"")</f>
        <v/>
      </c>
      <c r="G480" s="107"/>
      <c r="H480" s="109"/>
      <c r="I480" s="110"/>
      <c r="J480" s="110"/>
      <c r="K480" s="111"/>
      <c r="L480" s="112"/>
      <c r="M480" s="113"/>
      <c r="N480" s="114"/>
      <c r="O480" s="107"/>
      <c r="P480" s="107"/>
      <c r="Q480" s="115"/>
      <c r="R480" s="116"/>
      <c r="S480" s="107"/>
      <c r="T480" s="107"/>
      <c r="U480" s="107" t="str">
        <f t="shared" si="10"/>
        <v/>
      </c>
      <c r="V480" s="107"/>
      <c r="W480" s="107"/>
      <c r="X480" s="107"/>
      <c r="Y480" s="107"/>
      <c r="Z480" s="107"/>
      <c r="AA480" s="107"/>
      <c r="AB480" s="107"/>
      <c r="AC480" s="107"/>
      <c r="AD480" s="107"/>
      <c r="AE480" s="107"/>
      <c r="AF480" s="107"/>
      <c r="AG480" s="107"/>
      <c r="AH480" s="107"/>
      <c r="AI480" s="107"/>
      <c r="AJ480" s="107"/>
      <c r="AK480" s="107"/>
      <c r="AL480" s="107"/>
      <c r="AM480" s="107"/>
      <c r="AN480" s="107"/>
      <c r="AO480" s="107"/>
      <c r="AP480" s="107"/>
      <c r="AQ480" s="107"/>
      <c r="AR480" s="107"/>
      <c r="AS480" s="107"/>
      <c r="AT480" s="107"/>
      <c r="AU480" s="107"/>
      <c r="AV480" s="107"/>
      <c r="AW480" s="107"/>
      <c r="AX480" s="107"/>
      <c r="AY480" s="107"/>
      <c r="AZ480" s="107"/>
      <c r="BA480" s="107"/>
      <c r="BB480" s="107"/>
      <c r="BC480" s="107"/>
      <c r="BD480" s="107"/>
      <c r="BE480" s="107"/>
      <c r="BF480" s="107"/>
      <c r="BG480" s="107"/>
      <c r="BH480" s="107"/>
    </row>
    <row r="481" spans="1:60" x14ac:dyDescent="0.25">
      <c r="A481" s="96"/>
      <c r="B481" s="97"/>
      <c r="C481" s="97"/>
      <c r="D481" s="97"/>
      <c r="E481" s="98"/>
      <c r="F481" s="99" t="str">
        <f>IF(H481&lt;&gt;"",H481-Accueil!N$6+1/60/24,"")</f>
        <v/>
      </c>
      <c r="G481" s="97"/>
      <c r="H481" s="99"/>
      <c r="I481" s="99"/>
      <c r="J481" s="100"/>
      <c r="K481" s="101"/>
      <c r="L481" s="102"/>
      <c r="M481" s="103"/>
      <c r="N481" s="104"/>
      <c r="O481" s="97"/>
      <c r="P481" s="97"/>
      <c r="Q481" s="97"/>
      <c r="R481" s="105"/>
      <c r="S481" s="97"/>
      <c r="T481" s="97"/>
      <c r="U481" s="97" t="str">
        <f t="shared" si="10"/>
        <v/>
      </c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7"/>
      <c r="BA481" s="97"/>
      <c r="BB481" s="97"/>
      <c r="BC481" s="97"/>
      <c r="BD481" s="97"/>
      <c r="BE481" s="97"/>
      <c r="BF481" s="97"/>
      <c r="BG481" s="97"/>
      <c r="BH481" s="97"/>
    </row>
    <row r="482" spans="1:60" x14ac:dyDescent="0.25">
      <c r="A482" s="106"/>
      <c r="B482" s="107"/>
      <c r="C482" s="107"/>
      <c r="D482" s="107"/>
      <c r="E482" s="108"/>
      <c r="F482" s="109" t="str">
        <f>IF(H482&lt;&gt;"",H482-Accueil!N$6+1/60/24,"")</f>
        <v/>
      </c>
      <c r="G482" s="107"/>
      <c r="H482" s="109"/>
      <c r="I482" s="110"/>
      <c r="J482" s="110"/>
      <c r="K482" s="111"/>
      <c r="L482" s="112"/>
      <c r="M482" s="113"/>
      <c r="N482" s="114"/>
      <c r="O482" s="107"/>
      <c r="P482" s="107"/>
      <c r="Q482" s="115"/>
      <c r="R482" s="116"/>
      <c r="S482" s="107"/>
      <c r="T482" s="107"/>
      <c r="U482" s="107" t="str">
        <f t="shared" si="10"/>
        <v/>
      </c>
      <c r="V482" s="107"/>
      <c r="W482" s="107"/>
      <c r="X482" s="107"/>
      <c r="Y482" s="107"/>
      <c r="Z482" s="107"/>
      <c r="AA482" s="107"/>
      <c r="AB482" s="107"/>
      <c r="AC482" s="107"/>
      <c r="AD482" s="107"/>
      <c r="AE482" s="107"/>
      <c r="AF482" s="107"/>
      <c r="AG482" s="107"/>
      <c r="AH482" s="107"/>
      <c r="AI482" s="107"/>
      <c r="AJ482" s="107"/>
      <c r="AK482" s="107"/>
      <c r="AL482" s="107"/>
      <c r="AM482" s="107"/>
      <c r="AN482" s="107"/>
      <c r="AO482" s="107"/>
      <c r="AP482" s="107"/>
      <c r="AQ482" s="107"/>
      <c r="AR482" s="107"/>
      <c r="AS482" s="107"/>
      <c r="AT482" s="107"/>
      <c r="AU482" s="107"/>
      <c r="AV482" s="107"/>
      <c r="AW482" s="107"/>
      <c r="AX482" s="107"/>
      <c r="AY482" s="107"/>
      <c r="AZ482" s="107"/>
      <c r="BA482" s="107"/>
      <c r="BB482" s="107"/>
      <c r="BC482" s="107"/>
      <c r="BD482" s="107"/>
      <c r="BE482" s="107"/>
      <c r="BF482" s="107"/>
      <c r="BG482" s="107"/>
      <c r="BH482" s="107"/>
    </row>
    <row r="483" spans="1:60" x14ac:dyDescent="0.25">
      <c r="A483" s="96"/>
      <c r="B483" s="97"/>
      <c r="C483" s="97"/>
      <c r="D483" s="97"/>
      <c r="E483" s="98"/>
      <c r="F483" s="99" t="str">
        <f>IF(H483&lt;&gt;"",H483-Accueil!N$6+1/60/24,"")</f>
        <v/>
      </c>
      <c r="G483" s="97"/>
      <c r="H483" s="99"/>
      <c r="I483" s="99"/>
      <c r="J483" s="100"/>
      <c r="K483" s="101"/>
      <c r="L483" s="102"/>
      <c r="M483" s="103"/>
      <c r="N483" s="104"/>
      <c r="O483" s="97"/>
      <c r="P483" s="97"/>
      <c r="Q483" s="97"/>
      <c r="R483" s="105"/>
      <c r="S483" s="97"/>
      <c r="T483" s="97"/>
      <c r="U483" s="97" t="str">
        <f t="shared" si="10"/>
        <v/>
      </c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7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7"/>
      <c r="BA483" s="97"/>
      <c r="BB483" s="97"/>
      <c r="BC483" s="97"/>
      <c r="BD483" s="97"/>
      <c r="BE483" s="97"/>
      <c r="BF483" s="97"/>
      <c r="BG483" s="97"/>
      <c r="BH483" s="97"/>
    </row>
    <row r="484" spans="1:60" x14ac:dyDescent="0.25">
      <c r="A484" s="106"/>
      <c r="B484" s="107"/>
      <c r="C484" s="107"/>
      <c r="D484" s="107"/>
      <c r="E484" s="108"/>
      <c r="F484" s="109" t="str">
        <f>IF(H484&lt;&gt;"",H484-Accueil!N$6+1/60/24,"")</f>
        <v/>
      </c>
      <c r="G484" s="107"/>
      <c r="H484" s="109"/>
      <c r="I484" s="110"/>
      <c r="J484" s="110"/>
      <c r="K484" s="111"/>
      <c r="L484" s="112"/>
      <c r="M484" s="113"/>
      <c r="N484" s="114"/>
      <c r="O484" s="107"/>
      <c r="P484" s="107"/>
      <c r="Q484" s="115"/>
      <c r="R484" s="116"/>
      <c r="S484" s="107"/>
      <c r="T484" s="107"/>
      <c r="U484" s="107" t="str">
        <f t="shared" si="10"/>
        <v/>
      </c>
      <c r="V484" s="107"/>
      <c r="W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J484" s="107"/>
      <c r="AK484" s="107"/>
      <c r="AL484" s="107"/>
      <c r="AM484" s="107"/>
      <c r="AN484" s="107"/>
      <c r="AO484" s="107"/>
      <c r="AP484" s="107"/>
      <c r="AQ484" s="107"/>
      <c r="AR484" s="107"/>
      <c r="AS484" s="107"/>
      <c r="AT484" s="107"/>
      <c r="AU484" s="107"/>
      <c r="AV484" s="107"/>
      <c r="AW484" s="107"/>
      <c r="AX484" s="107"/>
      <c r="AY484" s="107"/>
      <c r="AZ484" s="107"/>
      <c r="BA484" s="107"/>
      <c r="BB484" s="107"/>
      <c r="BC484" s="107"/>
      <c r="BD484" s="107"/>
      <c r="BE484" s="107"/>
      <c r="BF484" s="107"/>
      <c r="BG484" s="107"/>
      <c r="BH484" s="107"/>
    </row>
    <row r="485" spans="1:60" x14ac:dyDescent="0.25">
      <c r="A485" s="96"/>
      <c r="B485" s="97"/>
      <c r="C485" s="97"/>
      <c r="D485" s="97"/>
      <c r="E485" s="98"/>
      <c r="F485" s="99" t="str">
        <f>IF(H485&lt;&gt;"",H485-Accueil!N$6+1/60/24,"")</f>
        <v/>
      </c>
      <c r="G485" s="97"/>
      <c r="H485" s="99"/>
      <c r="I485" s="99"/>
      <c r="J485" s="100"/>
      <c r="K485" s="101"/>
      <c r="L485" s="102"/>
      <c r="M485" s="103"/>
      <c r="N485" s="104"/>
      <c r="O485" s="97"/>
      <c r="P485" s="97"/>
      <c r="Q485" s="97"/>
      <c r="R485" s="105"/>
      <c r="S485" s="97"/>
      <c r="T485" s="97"/>
      <c r="U485" s="97" t="str">
        <f t="shared" si="10"/>
        <v/>
      </c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97"/>
      <c r="AO485" s="97"/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7"/>
      <c r="BA485" s="97"/>
      <c r="BB485" s="97"/>
      <c r="BC485" s="97"/>
      <c r="BD485" s="97"/>
      <c r="BE485" s="97"/>
      <c r="BF485" s="97"/>
      <c r="BG485" s="97"/>
      <c r="BH485" s="97"/>
    </row>
    <row r="486" spans="1:60" x14ac:dyDescent="0.25">
      <c r="A486" s="106"/>
      <c r="B486" s="107"/>
      <c r="C486" s="107"/>
      <c r="D486" s="107"/>
      <c r="E486" s="108"/>
      <c r="F486" s="109" t="str">
        <f>IF(H486&lt;&gt;"",H486-Accueil!N$6+1/60/24,"")</f>
        <v/>
      </c>
      <c r="G486" s="107"/>
      <c r="H486" s="109"/>
      <c r="I486" s="110"/>
      <c r="J486" s="110"/>
      <c r="K486" s="111"/>
      <c r="L486" s="112"/>
      <c r="M486" s="113"/>
      <c r="N486" s="114"/>
      <c r="O486" s="107"/>
      <c r="P486" s="107"/>
      <c r="Q486" s="115"/>
      <c r="R486" s="116"/>
      <c r="S486" s="107"/>
      <c r="T486" s="107"/>
      <c r="U486" s="107" t="str">
        <f t="shared" si="10"/>
        <v/>
      </c>
      <c r="V486" s="107"/>
      <c r="W486" s="107"/>
      <c r="X486" s="107"/>
      <c r="Y486" s="107"/>
      <c r="Z486" s="107"/>
      <c r="AA486" s="107"/>
      <c r="AB486" s="107"/>
      <c r="AC486" s="107"/>
      <c r="AD486" s="107"/>
      <c r="AE486" s="107"/>
      <c r="AF486" s="107"/>
      <c r="AG486" s="107"/>
      <c r="AH486" s="107"/>
      <c r="AI486" s="107"/>
      <c r="AJ486" s="107"/>
      <c r="AK486" s="107"/>
      <c r="AL486" s="107"/>
      <c r="AM486" s="107"/>
      <c r="AN486" s="107"/>
      <c r="AO486" s="107"/>
      <c r="AP486" s="107"/>
      <c r="AQ486" s="107"/>
      <c r="AR486" s="107"/>
      <c r="AS486" s="107"/>
      <c r="AT486" s="107"/>
      <c r="AU486" s="107"/>
      <c r="AV486" s="107"/>
      <c r="AW486" s="107"/>
      <c r="AX486" s="107"/>
      <c r="AY486" s="107"/>
      <c r="AZ486" s="107"/>
      <c r="BA486" s="107"/>
      <c r="BB486" s="107"/>
      <c r="BC486" s="107"/>
      <c r="BD486" s="107"/>
      <c r="BE486" s="107"/>
      <c r="BF486" s="107"/>
      <c r="BG486" s="107"/>
      <c r="BH486" s="107"/>
    </row>
    <row r="487" spans="1:60" x14ac:dyDescent="0.25">
      <c r="A487" s="96"/>
      <c r="B487" s="97"/>
      <c r="C487" s="97"/>
      <c r="D487" s="97"/>
      <c r="E487" s="98"/>
      <c r="F487" s="99" t="str">
        <f>IF(H487&lt;&gt;"",H487-Accueil!N$6+1/60/24,"")</f>
        <v/>
      </c>
      <c r="G487" s="97"/>
      <c r="H487" s="99"/>
      <c r="I487" s="99"/>
      <c r="J487" s="100"/>
      <c r="K487" s="101"/>
      <c r="L487" s="102"/>
      <c r="M487" s="103"/>
      <c r="N487" s="104"/>
      <c r="O487" s="97"/>
      <c r="P487" s="97"/>
      <c r="Q487" s="97"/>
      <c r="R487" s="105"/>
      <c r="S487" s="97"/>
      <c r="T487" s="97"/>
      <c r="U487" s="97" t="str">
        <f t="shared" si="10"/>
        <v/>
      </c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7"/>
      <c r="BA487" s="97"/>
      <c r="BB487" s="97"/>
      <c r="BC487" s="97"/>
      <c r="BD487" s="97"/>
      <c r="BE487" s="97"/>
      <c r="BF487" s="97"/>
      <c r="BG487" s="97"/>
      <c r="BH487" s="97"/>
    </row>
    <row r="488" spans="1:60" x14ac:dyDescent="0.25">
      <c r="A488" s="106"/>
      <c r="B488" s="107"/>
      <c r="C488" s="107"/>
      <c r="D488" s="107"/>
      <c r="E488" s="108"/>
      <c r="F488" s="109" t="str">
        <f>IF(H488&lt;&gt;"",H488-Accueil!N$6+1/60/24,"")</f>
        <v/>
      </c>
      <c r="G488" s="107"/>
      <c r="H488" s="109"/>
      <c r="I488" s="110"/>
      <c r="J488" s="110"/>
      <c r="K488" s="111"/>
      <c r="L488" s="112"/>
      <c r="M488" s="113"/>
      <c r="N488" s="114"/>
      <c r="O488" s="107"/>
      <c r="P488" s="107"/>
      <c r="Q488" s="115"/>
      <c r="R488" s="116"/>
      <c r="S488" s="107"/>
      <c r="T488" s="107"/>
      <c r="U488" s="107" t="str">
        <f t="shared" si="10"/>
        <v/>
      </c>
      <c r="V488" s="107"/>
      <c r="W488" s="107"/>
      <c r="X488" s="107"/>
      <c r="Y488" s="107"/>
      <c r="Z488" s="107"/>
      <c r="AA488" s="107"/>
      <c r="AB488" s="107"/>
      <c r="AC488" s="107"/>
      <c r="AD488" s="107"/>
      <c r="AE488" s="107"/>
      <c r="AF488" s="107"/>
      <c r="AG488" s="107"/>
      <c r="AH488" s="107"/>
      <c r="AI488" s="107"/>
      <c r="AJ488" s="107"/>
      <c r="AK488" s="107"/>
      <c r="AL488" s="107"/>
      <c r="AM488" s="107"/>
      <c r="AN488" s="107"/>
      <c r="AO488" s="107"/>
      <c r="AP488" s="107"/>
      <c r="AQ488" s="107"/>
      <c r="AR488" s="107"/>
      <c r="AS488" s="107"/>
      <c r="AT488" s="107"/>
      <c r="AU488" s="107"/>
      <c r="AV488" s="107"/>
      <c r="AW488" s="107"/>
      <c r="AX488" s="107"/>
      <c r="AY488" s="107"/>
      <c r="AZ488" s="107"/>
      <c r="BA488" s="107"/>
      <c r="BB488" s="107"/>
      <c r="BC488" s="107"/>
      <c r="BD488" s="107"/>
      <c r="BE488" s="107"/>
      <c r="BF488" s="107"/>
      <c r="BG488" s="107"/>
      <c r="BH488" s="107"/>
    </row>
    <row r="489" spans="1:60" x14ac:dyDescent="0.25">
      <c r="A489" s="96"/>
      <c r="B489" s="97"/>
      <c r="C489" s="97"/>
      <c r="D489" s="97"/>
      <c r="E489" s="98"/>
      <c r="F489" s="99" t="str">
        <f>IF(H489&lt;&gt;"",H489-Accueil!N$6+1/60/24,"")</f>
        <v/>
      </c>
      <c r="G489" s="97"/>
      <c r="H489" s="99"/>
      <c r="I489" s="99"/>
      <c r="J489" s="100"/>
      <c r="K489" s="101"/>
      <c r="L489" s="102"/>
      <c r="M489" s="103"/>
      <c r="N489" s="104"/>
      <c r="O489" s="97"/>
      <c r="P489" s="97"/>
      <c r="Q489" s="97"/>
      <c r="R489" s="105"/>
      <c r="S489" s="97"/>
      <c r="T489" s="97"/>
      <c r="U489" s="97" t="str">
        <f t="shared" si="10"/>
        <v/>
      </c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7"/>
      <c r="BA489" s="97"/>
      <c r="BB489" s="97"/>
      <c r="BC489" s="97"/>
      <c r="BD489" s="97"/>
      <c r="BE489" s="97"/>
      <c r="BF489" s="97"/>
      <c r="BG489" s="97"/>
      <c r="BH489" s="97"/>
    </row>
    <row r="490" spans="1:60" x14ac:dyDescent="0.25">
      <c r="A490" s="106"/>
      <c r="B490" s="107"/>
      <c r="C490" s="107"/>
      <c r="D490" s="107"/>
      <c r="E490" s="108"/>
      <c r="F490" s="109" t="str">
        <f>IF(H490&lt;&gt;"",H490-Accueil!N$6+1/60/24,"")</f>
        <v/>
      </c>
      <c r="G490" s="107"/>
      <c r="H490" s="109"/>
      <c r="I490" s="110"/>
      <c r="J490" s="110"/>
      <c r="K490" s="111"/>
      <c r="L490" s="112"/>
      <c r="M490" s="113"/>
      <c r="N490" s="114"/>
      <c r="O490" s="107"/>
      <c r="P490" s="107"/>
      <c r="Q490" s="115"/>
      <c r="R490" s="116"/>
      <c r="S490" s="107"/>
      <c r="T490" s="107"/>
      <c r="U490" s="107" t="str">
        <f t="shared" si="10"/>
        <v/>
      </c>
      <c r="V490" s="107"/>
      <c r="W490" s="107"/>
      <c r="X490" s="107"/>
      <c r="Y490" s="107"/>
      <c r="Z490" s="107"/>
      <c r="AA490" s="107"/>
      <c r="AB490" s="107"/>
      <c r="AC490" s="107"/>
      <c r="AD490" s="107"/>
      <c r="AE490" s="107"/>
      <c r="AF490" s="107"/>
      <c r="AG490" s="107"/>
      <c r="AH490" s="107"/>
      <c r="AI490" s="107"/>
      <c r="AJ490" s="107"/>
      <c r="AK490" s="107"/>
      <c r="AL490" s="107"/>
      <c r="AM490" s="107"/>
      <c r="AN490" s="107"/>
      <c r="AO490" s="107"/>
      <c r="AP490" s="107"/>
      <c r="AQ490" s="107"/>
      <c r="AR490" s="107"/>
      <c r="AS490" s="107"/>
      <c r="AT490" s="107"/>
      <c r="AU490" s="107"/>
      <c r="AV490" s="107"/>
      <c r="AW490" s="107"/>
      <c r="AX490" s="107"/>
      <c r="AY490" s="107"/>
      <c r="AZ490" s="107"/>
      <c r="BA490" s="107"/>
      <c r="BB490" s="107"/>
      <c r="BC490" s="107"/>
      <c r="BD490" s="107"/>
      <c r="BE490" s="107"/>
      <c r="BF490" s="107"/>
      <c r="BG490" s="107"/>
      <c r="BH490" s="107"/>
    </row>
    <row r="491" spans="1:60" x14ac:dyDescent="0.25">
      <c r="A491" s="96"/>
      <c r="B491" s="97"/>
      <c r="C491" s="97"/>
      <c r="D491" s="97"/>
      <c r="E491" s="98"/>
      <c r="F491" s="99" t="str">
        <f>IF(H491&lt;&gt;"",H491-Accueil!N$6+1/60/24,"")</f>
        <v/>
      </c>
      <c r="G491" s="97"/>
      <c r="H491" s="99"/>
      <c r="I491" s="99"/>
      <c r="J491" s="100"/>
      <c r="K491" s="101"/>
      <c r="L491" s="102"/>
      <c r="M491" s="103"/>
      <c r="N491" s="104"/>
      <c r="O491" s="97"/>
      <c r="P491" s="97"/>
      <c r="Q491" s="97"/>
      <c r="R491" s="105"/>
      <c r="S491" s="97"/>
      <c r="T491" s="97"/>
      <c r="U491" s="97" t="str">
        <f t="shared" si="10"/>
        <v/>
      </c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97"/>
      <c r="AO491" s="97"/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7"/>
      <c r="BA491" s="97"/>
      <c r="BB491" s="97"/>
      <c r="BC491" s="97"/>
      <c r="BD491" s="97"/>
      <c r="BE491" s="97"/>
      <c r="BF491" s="97"/>
      <c r="BG491" s="97"/>
      <c r="BH491" s="97"/>
    </row>
    <row r="492" spans="1:60" x14ac:dyDescent="0.25">
      <c r="A492" s="106"/>
      <c r="B492" s="107"/>
      <c r="C492" s="107"/>
      <c r="D492" s="107"/>
      <c r="E492" s="108"/>
      <c r="F492" s="109" t="str">
        <f>IF(H492&lt;&gt;"",H492-Accueil!N$6+1/60/24,"")</f>
        <v/>
      </c>
      <c r="G492" s="107"/>
      <c r="H492" s="109"/>
      <c r="I492" s="110"/>
      <c r="J492" s="110"/>
      <c r="K492" s="111"/>
      <c r="L492" s="112"/>
      <c r="M492" s="113"/>
      <c r="N492" s="114"/>
      <c r="O492" s="107"/>
      <c r="P492" s="107"/>
      <c r="Q492" s="115"/>
      <c r="R492" s="116"/>
      <c r="S492" s="107"/>
      <c r="T492" s="107"/>
      <c r="U492" s="107" t="str">
        <f t="shared" si="10"/>
        <v/>
      </c>
      <c r="V492" s="107"/>
      <c r="W492" s="107"/>
      <c r="X492" s="107"/>
      <c r="Y492" s="107"/>
      <c r="Z492" s="107"/>
      <c r="AA492" s="107"/>
      <c r="AB492" s="107"/>
      <c r="AC492" s="107"/>
      <c r="AD492" s="107"/>
      <c r="AE492" s="107"/>
      <c r="AF492" s="107"/>
      <c r="AG492" s="107"/>
      <c r="AH492" s="107"/>
      <c r="AI492" s="107"/>
      <c r="AJ492" s="107"/>
      <c r="AK492" s="107"/>
      <c r="AL492" s="107"/>
      <c r="AM492" s="107"/>
      <c r="AN492" s="107"/>
      <c r="AO492" s="107"/>
      <c r="AP492" s="107"/>
      <c r="AQ492" s="107"/>
      <c r="AR492" s="107"/>
      <c r="AS492" s="107"/>
      <c r="AT492" s="107"/>
      <c r="AU492" s="107"/>
      <c r="AV492" s="107"/>
      <c r="AW492" s="107"/>
      <c r="AX492" s="107"/>
      <c r="AY492" s="107"/>
      <c r="AZ492" s="107"/>
      <c r="BA492" s="107"/>
      <c r="BB492" s="107"/>
      <c r="BC492" s="107"/>
      <c r="BD492" s="107"/>
      <c r="BE492" s="107"/>
      <c r="BF492" s="107"/>
      <c r="BG492" s="107"/>
      <c r="BH492" s="107"/>
    </row>
    <row r="493" spans="1:60" x14ac:dyDescent="0.25">
      <c r="A493" s="96"/>
      <c r="B493" s="97"/>
      <c r="C493" s="97"/>
      <c r="D493" s="97"/>
      <c r="E493" s="98"/>
      <c r="F493" s="99" t="str">
        <f>IF(H493&lt;&gt;"",H493-Accueil!N$6+1/60/24,"")</f>
        <v/>
      </c>
      <c r="G493" s="97"/>
      <c r="H493" s="99"/>
      <c r="I493" s="99"/>
      <c r="J493" s="100"/>
      <c r="K493" s="101"/>
      <c r="L493" s="102"/>
      <c r="M493" s="103"/>
      <c r="N493" s="104"/>
      <c r="O493" s="97"/>
      <c r="P493" s="97"/>
      <c r="Q493" s="97"/>
      <c r="R493" s="105"/>
      <c r="S493" s="97"/>
      <c r="T493" s="97"/>
      <c r="U493" s="97" t="str">
        <f t="shared" si="10"/>
        <v/>
      </c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  <c r="BF493" s="97"/>
      <c r="BG493" s="97"/>
      <c r="BH493" s="97"/>
    </row>
    <row r="494" spans="1:60" x14ac:dyDescent="0.25">
      <c r="A494" s="106"/>
      <c r="B494" s="107"/>
      <c r="C494" s="107"/>
      <c r="D494" s="107"/>
      <c r="E494" s="108"/>
      <c r="F494" s="109" t="str">
        <f>IF(H494&lt;&gt;"",H494-Accueil!N$6+1/60/24,"")</f>
        <v/>
      </c>
      <c r="G494" s="107"/>
      <c r="H494" s="109"/>
      <c r="I494" s="110"/>
      <c r="J494" s="110"/>
      <c r="K494" s="111"/>
      <c r="L494" s="112"/>
      <c r="M494" s="113"/>
      <c r="N494" s="114"/>
      <c r="O494" s="107"/>
      <c r="P494" s="107"/>
      <c r="Q494" s="115"/>
      <c r="R494" s="116"/>
      <c r="S494" s="107"/>
      <c r="T494" s="107"/>
      <c r="U494" s="107" t="str">
        <f t="shared" si="10"/>
        <v/>
      </c>
      <c r="V494" s="107"/>
      <c r="W494" s="107"/>
      <c r="X494" s="107"/>
      <c r="Y494" s="107"/>
      <c r="Z494" s="107"/>
      <c r="AA494" s="107"/>
      <c r="AB494" s="107"/>
      <c r="AC494" s="107"/>
      <c r="AD494" s="107"/>
      <c r="AE494" s="107"/>
      <c r="AF494" s="107"/>
      <c r="AG494" s="107"/>
      <c r="AH494" s="107"/>
      <c r="AI494" s="107"/>
      <c r="AJ494" s="107"/>
      <c r="AK494" s="107"/>
      <c r="AL494" s="107"/>
      <c r="AM494" s="107"/>
      <c r="AN494" s="107"/>
      <c r="AO494" s="107"/>
      <c r="AP494" s="107"/>
      <c r="AQ494" s="107"/>
      <c r="AR494" s="107"/>
      <c r="AS494" s="107"/>
      <c r="AT494" s="107"/>
      <c r="AU494" s="107"/>
      <c r="AV494" s="107"/>
      <c r="AW494" s="107"/>
      <c r="AX494" s="107"/>
      <c r="AY494" s="107"/>
      <c r="AZ494" s="107"/>
      <c r="BA494" s="107"/>
      <c r="BB494" s="107"/>
      <c r="BC494" s="107"/>
      <c r="BD494" s="107"/>
      <c r="BE494" s="107"/>
      <c r="BF494" s="107"/>
      <c r="BG494" s="107"/>
      <c r="BH494" s="107"/>
    </row>
    <row r="495" spans="1:60" x14ac:dyDescent="0.25">
      <c r="A495" s="96"/>
      <c r="B495" s="97"/>
      <c r="C495" s="97"/>
      <c r="D495" s="97"/>
      <c r="E495" s="98"/>
      <c r="F495" s="99" t="str">
        <f>IF(H495&lt;&gt;"",H495-Accueil!N$6+1/60/24,"")</f>
        <v/>
      </c>
      <c r="G495" s="97"/>
      <c r="H495" s="99"/>
      <c r="I495" s="99"/>
      <c r="J495" s="100"/>
      <c r="K495" s="101"/>
      <c r="L495" s="102"/>
      <c r="M495" s="103"/>
      <c r="N495" s="104"/>
      <c r="O495" s="97"/>
      <c r="P495" s="97"/>
      <c r="Q495" s="97"/>
      <c r="R495" s="105"/>
      <c r="S495" s="97"/>
      <c r="T495" s="97"/>
      <c r="U495" s="97" t="str">
        <f t="shared" si="10"/>
        <v/>
      </c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97"/>
      <c r="AO495" s="97"/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7"/>
      <c r="BA495" s="97"/>
      <c r="BB495" s="97"/>
      <c r="BC495" s="97"/>
      <c r="BD495" s="97"/>
      <c r="BE495" s="97"/>
      <c r="BF495" s="97"/>
      <c r="BG495" s="97"/>
      <c r="BH495" s="97"/>
    </row>
    <row r="496" spans="1:60" x14ac:dyDescent="0.25">
      <c r="A496" s="106"/>
      <c r="B496" s="107"/>
      <c r="C496" s="107"/>
      <c r="D496" s="107"/>
      <c r="E496" s="108"/>
      <c r="F496" s="109" t="str">
        <f>IF(H496&lt;&gt;"",H496-Accueil!N$6+1/60/24,"")</f>
        <v/>
      </c>
      <c r="G496" s="107"/>
      <c r="H496" s="109"/>
      <c r="I496" s="110"/>
      <c r="J496" s="110"/>
      <c r="K496" s="111"/>
      <c r="L496" s="112"/>
      <c r="M496" s="113"/>
      <c r="N496" s="114"/>
      <c r="O496" s="107"/>
      <c r="P496" s="107"/>
      <c r="Q496" s="115"/>
      <c r="R496" s="116"/>
      <c r="S496" s="107"/>
      <c r="T496" s="107"/>
      <c r="U496" s="107" t="str">
        <f t="shared" si="10"/>
        <v/>
      </c>
      <c r="V496" s="107"/>
      <c r="W496" s="107"/>
      <c r="X496" s="107"/>
      <c r="Y496" s="107"/>
      <c r="Z496" s="107"/>
      <c r="AA496" s="107"/>
      <c r="AB496" s="107"/>
      <c r="AC496" s="107"/>
      <c r="AD496" s="107"/>
      <c r="AE496" s="107"/>
      <c r="AF496" s="107"/>
      <c r="AG496" s="107"/>
      <c r="AH496" s="107"/>
      <c r="AI496" s="107"/>
      <c r="AJ496" s="107"/>
      <c r="AK496" s="107"/>
      <c r="AL496" s="107"/>
      <c r="AM496" s="107"/>
      <c r="AN496" s="107"/>
      <c r="AO496" s="107"/>
      <c r="AP496" s="107"/>
      <c r="AQ496" s="107"/>
      <c r="AR496" s="107"/>
      <c r="AS496" s="107"/>
      <c r="AT496" s="107"/>
      <c r="AU496" s="107"/>
      <c r="AV496" s="107"/>
      <c r="AW496" s="107"/>
      <c r="AX496" s="107"/>
      <c r="AY496" s="107"/>
      <c r="AZ496" s="107"/>
      <c r="BA496" s="107"/>
      <c r="BB496" s="107"/>
      <c r="BC496" s="107"/>
      <c r="BD496" s="107"/>
      <c r="BE496" s="107"/>
      <c r="BF496" s="107"/>
      <c r="BG496" s="107"/>
      <c r="BH496" s="107"/>
    </row>
    <row r="497" spans="1:60" x14ac:dyDescent="0.25">
      <c r="A497" s="96"/>
      <c r="B497" s="97"/>
      <c r="C497" s="97"/>
      <c r="D497" s="97"/>
      <c r="E497" s="98"/>
      <c r="F497" s="99" t="str">
        <f>IF(H497&lt;&gt;"",H497-Accueil!N$6+1/60/24,"")</f>
        <v/>
      </c>
      <c r="G497" s="97"/>
      <c r="H497" s="99"/>
      <c r="I497" s="99"/>
      <c r="J497" s="100"/>
      <c r="K497" s="101"/>
      <c r="L497" s="102"/>
      <c r="M497" s="103"/>
      <c r="N497" s="104"/>
      <c r="O497" s="97"/>
      <c r="P497" s="97"/>
      <c r="Q497" s="97"/>
      <c r="R497" s="105"/>
      <c r="S497" s="97"/>
      <c r="T497" s="97"/>
      <c r="U497" s="97" t="str">
        <f t="shared" si="10"/>
        <v/>
      </c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7"/>
      <c r="BA497" s="97"/>
      <c r="BB497" s="97"/>
      <c r="BC497" s="97"/>
      <c r="BD497" s="97"/>
      <c r="BE497" s="97"/>
      <c r="BF497" s="97"/>
      <c r="BG497" s="97"/>
      <c r="BH497" s="97"/>
    </row>
    <row r="498" spans="1:60" x14ac:dyDescent="0.25">
      <c r="A498" s="106"/>
      <c r="B498" s="107"/>
      <c r="C498" s="107"/>
      <c r="D498" s="107"/>
      <c r="E498" s="108"/>
      <c r="F498" s="109" t="str">
        <f>IF(H498&lt;&gt;"",H498-Accueil!N$6+1/60/24,"")</f>
        <v/>
      </c>
      <c r="G498" s="107"/>
      <c r="H498" s="109"/>
      <c r="I498" s="110"/>
      <c r="J498" s="110"/>
      <c r="K498" s="111"/>
      <c r="L498" s="112"/>
      <c r="M498" s="113"/>
      <c r="N498" s="114"/>
      <c r="O498" s="107"/>
      <c r="P498" s="107"/>
      <c r="Q498" s="115"/>
      <c r="R498" s="116"/>
      <c r="S498" s="107"/>
      <c r="T498" s="107"/>
      <c r="U498" s="107" t="str">
        <f t="shared" si="10"/>
        <v/>
      </c>
      <c r="V498" s="107"/>
      <c r="W498" s="107"/>
      <c r="X498" s="107"/>
      <c r="Y498" s="107"/>
      <c r="Z498" s="107"/>
      <c r="AA498" s="107"/>
      <c r="AB498" s="107"/>
      <c r="AC498" s="107"/>
      <c r="AD498" s="107"/>
      <c r="AE498" s="107"/>
      <c r="AF498" s="107"/>
      <c r="AG498" s="107"/>
      <c r="AH498" s="107"/>
      <c r="AI498" s="107"/>
      <c r="AJ498" s="107"/>
      <c r="AK498" s="107"/>
      <c r="AL498" s="107"/>
      <c r="AM498" s="107"/>
      <c r="AN498" s="107"/>
      <c r="AO498" s="107"/>
      <c r="AP498" s="107"/>
      <c r="AQ498" s="107"/>
      <c r="AR498" s="107"/>
      <c r="AS498" s="107"/>
      <c r="AT498" s="107"/>
      <c r="AU498" s="107"/>
      <c r="AV498" s="107"/>
      <c r="AW498" s="107"/>
      <c r="AX498" s="107"/>
      <c r="AY498" s="107"/>
      <c r="AZ498" s="107"/>
      <c r="BA498" s="107"/>
      <c r="BB498" s="107"/>
      <c r="BC498" s="107"/>
      <c r="BD498" s="107"/>
      <c r="BE498" s="107"/>
      <c r="BF498" s="107"/>
      <c r="BG498" s="107"/>
      <c r="BH498" s="107"/>
    </row>
    <row r="499" spans="1:60" x14ac:dyDescent="0.25">
      <c r="A499" s="96"/>
      <c r="B499" s="97"/>
      <c r="C499" s="97"/>
      <c r="D499" s="97"/>
      <c r="E499" s="98"/>
      <c r="F499" s="99" t="str">
        <f>IF(H499&lt;&gt;"",H499-Accueil!N$6+1/60/24,"")</f>
        <v/>
      </c>
      <c r="G499" s="97"/>
      <c r="H499" s="99"/>
      <c r="I499" s="99"/>
      <c r="J499" s="100"/>
      <c r="K499" s="101"/>
      <c r="L499" s="102"/>
      <c r="M499" s="103"/>
      <c r="N499" s="104"/>
      <c r="O499" s="97"/>
      <c r="P499" s="97"/>
      <c r="Q499" s="97"/>
      <c r="R499" s="105"/>
      <c r="S499" s="97"/>
      <c r="T499" s="97"/>
      <c r="U499" s="97" t="str">
        <f t="shared" si="10"/>
        <v/>
      </c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7"/>
      <c r="AL499" s="97"/>
      <c r="AM499" s="97"/>
      <c r="AN499" s="97"/>
      <c r="AO499" s="97"/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7"/>
      <c r="BA499" s="97"/>
      <c r="BB499" s="97"/>
      <c r="BC499" s="97"/>
      <c r="BD499" s="97"/>
      <c r="BE499" s="97"/>
      <c r="BF499" s="97"/>
      <c r="BG499" s="97"/>
      <c r="BH499" s="97"/>
    </row>
    <row r="500" spans="1:60" x14ac:dyDescent="0.25">
      <c r="A500" s="106"/>
      <c r="B500" s="107"/>
      <c r="C500" s="107"/>
      <c r="D500" s="107"/>
      <c r="E500" s="108"/>
      <c r="F500" s="109" t="str">
        <f>IF(H500&lt;&gt;"",H500-Accueil!N$6+1/60/24,"")</f>
        <v/>
      </c>
      <c r="G500" s="107"/>
      <c r="H500" s="109"/>
      <c r="I500" s="110"/>
      <c r="J500" s="110"/>
      <c r="K500" s="111"/>
      <c r="L500" s="112"/>
      <c r="M500" s="113"/>
      <c r="N500" s="114"/>
      <c r="O500" s="107"/>
      <c r="P500" s="107"/>
      <c r="Q500" s="115"/>
      <c r="R500" s="116"/>
      <c r="S500" s="107"/>
      <c r="T500" s="107"/>
      <c r="U500" s="107" t="str">
        <f t="shared" si="10"/>
        <v/>
      </c>
      <c r="V500" s="107"/>
      <c r="W500" s="107"/>
      <c r="X500" s="107"/>
      <c r="Y500" s="107"/>
      <c r="Z500" s="107"/>
      <c r="AA500" s="107"/>
      <c r="AB500" s="107"/>
      <c r="AC500" s="107"/>
      <c r="AD500" s="107"/>
      <c r="AE500" s="107"/>
      <c r="AF500" s="107"/>
      <c r="AG500" s="107"/>
      <c r="AH500" s="107"/>
      <c r="AI500" s="107"/>
      <c r="AJ500" s="107"/>
      <c r="AK500" s="107"/>
      <c r="AL500" s="107"/>
      <c r="AM500" s="107"/>
      <c r="AN500" s="107"/>
      <c r="AO500" s="107"/>
      <c r="AP500" s="107"/>
      <c r="AQ500" s="107"/>
      <c r="AR500" s="107"/>
      <c r="AS500" s="107"/>
      <c r="AT500" s="107"/>
      <c r="AU500" s="107"/>
      <c r="AV500" s="107"/>
      <c r="AW500" s="107"/>
      <c r="AX500" s="107"/>
      <c r="AY500" s="107"/>
      <c r="AZ500" s="107"/>
      <c r="BA500" s="107"/>
      <c r="BB500" s="107"/>
      <c r="BC500" s="107"/>
      <c r="BD500" s="107"/>
      <c r="BE500" s="107"/>
      <c r="BF500" s="107"/>
      <c r="BG500" s="107"/>
      <c r="BH500" s="107"/>
    </row>
    <row r="501" spans="1:60" x14ac:dyDescent="0.25">
      <c r="A501" s="96"/>
      <c r="B501" s="97"/>
      <c r="C501" s="97"/>
      <c r="D501" s="97"/>
      <c r="E501" s="98"/>
      <c r="F501" s="99" t="str">
        <f>IF(H501&lt;&gt;"",H501-Accueil!N$6+1/60/24,"")</f>
        <v/>
      </c>
      <c r="G501" s="97"/>
      <c r="H501" s="99"/>
      <c r="I501" s="99"/>
      <c r="J501" s="100"/>
      <c r="K501" s="101"/>
      <c r="L501" s="102"/>
      <c r="M501" s="103"/>
      <c r="N501" s="104"/>
      <c r="O501" s="97"/>
      <c r="P501" s="97"/>
      <c r="Q501" s="97"/>
      <c r="R501" s="105"/>
      <c r="S501" s="97"/>
      <c r="T501" s="97"/>
      <c r="U501" s="97" t="str">
        <f t="shared" si="10"/>
        <v/>
      </c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97"/>
      <c r="AO501" s="97"/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7"/>
      <c r="BA501" s="97"/>
      <c r="BB501" s="97"/>
      <c r="BC501" s="97"/>
      <c r="BD501" s="97"/>
      <c r="BE501" s="97"/>
      <c r="BF501" s="97"/>
      <c r="BG501" s="97"/>
      <c r="BH501" s="97"/>
    </row>
    <row r="502" spans="1:60" x14ac:dyDescent="0.25">
      <c r="A502" s="106"/>
      <c r="B502" s="107"/>
      <c r="C502" s="107"/>
      <c r="D502" s="107"/>
      <c r="E502" s="108"/>
      <c r="F502" s="109" t="str">
        <f>IF(H502&lt;&gt;"",H502-Accueil!N$6+1/60/24,"")</f>
        <v/>
      </c>
      <c r="G502" s="107"/>
      <c r="H502" s="109"/>
      <c r="I502" s="110"/>
      <c r="J502" s="110"/>
      <c r="K502" s="111"/>
      <c r="L502" s="112"/>
      <c r="M502" s="113"/>
      <c r="N502" s="114"/>
      <c r="O502" s="107"/>
      <c r="P502" s="107"/>
      <c r="Q502" s="115"/>
      <c r="R502" s="116"/>
      <c r="S502" s="107"/>
      <c r="T502" s="107"/>
      <c r="U502" s="107" t="str">
        <f t="shared" si="10"/>
        <v/>
      </c>
      <c r="V502" s="107"/>
      <c r="W502" s="107"/>
      <c r="X502" s="107"/>
      <c r="Y502" s="107"/>
      <c r="Z502" s="107"/>
      <c r="AA502" s="107"/>
      <c r="AB502" s="107"/>
      <c r="AC502" s="107"/>
      <c r="AD502" s="107"/>
      <c r="AE502" s="107"/>
      <c r="AF502" s="107"/>
      <c r="AG502" s="107"/>
      <c r="AH502" s="107"/>
      <c r="AI502" s="107"/>
      <c r="AJ502" s="107"/>
      <c r="AK502" s="107"/>
      <c r="AL502" s="107"/>
      <c r="AM502" s="107"/>
      <c r="AN502" s="107"/>
      <c r="AO502" s="107"/>
      <c r="AP502" s="107"/>
      <c r="AQ502" s="107"/>
      <c r="AR502" s="107"/>
      <c r="AS502" s="107"/>
      <c r="AT502" s="107"/>
      <c r="AU502" s="107"/>
      <c r="AV502" s="107"/>
      <c r="AW502" s="107"/>
      <c r="AX502" s="107"/>
      <c r="AY502" s="107"/>
      <c r="AZ502" s="107"/>
      <c r="BA502" s="107"/>
      <c r="BB502" s="107"/>
      <c r="BC502" s="107"/>
      <c r="BD502" s="107"/>
      <c r="BE502" s="107"/>
      <c r="BF502" s="107"/>
      <c r="BG502" s="107"/>
      <c r="BH502" s="107"/>
    </row>
    <row r="503" spans="1:60" x14ac:dyDescent="0.25">
      <c r="A503" s="96"/>
      <c r="B503" s="97"/>
      <c r="C503" s="97"/>
      <c r="D503" s="97"/>
      <c r="E503" s="98"/>
      <c r="F503" s="99" t="str">
        <f>IF(H503&lt;&gt;"",H503-Accueil!N$6+1/60/24,"")</f>
        <v/>
      </c>
      <c r="G503" s="97"/>
      <c r="H503" s="99"/>
      <c r="I503" s="99"/>
      <c r="J503" s="100"/>
      <c r="K503" s="101"/>
      <c r="L503" s="102"/>
      <c r="M503" s="103"/>
      <c r="N503" s="104"/>
      <c r="O503" s="97"/>
      <c r="P503" s="97"/>
      <c r="Q503" s="97"/>
      <c r="R503" s="105"/>
      <c r="S503" s="97"/>
      <c r="T503" s="97"/>
      <c r="U503" s="97" t="str">
        <f t="shared" si="10"/>
        <v/>
      </c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7"/>
      <c r="BA503" s="97"/>
      <c r="BB503" s="97"/>
      <c r="BC503" s="97"/>
      <c r="BD503" s="97"/>
      <c r="BE503" s="97"/>
      <c r="BF503" s="97"/>
      <c r="BG503" s="97"/>
      <c r="BH503" s="97"/>
    </row>
    <row r="504" spans="1:60" x14ac:dyDescent="0.25">
      <c r="A504" s="106"/>
      <c r="B504" s="107"/>
      <c r="C504" s="107"/>
      <c r="D504" s="107"/>
      <c r="E504" s="108"/>
      <c r="F504" s="109" t="str">
        <f>IF(H504&lt;&gt;"",H504-Accueil!N$6+1/60/24,"")</f>
        <v/>
      </c>
      <c r="G504" s="107"/>
      <c r="H504" s="109"/>
      <c r="I504" s="110"/>
      <c r="J504" s="110"/>
      <c r="K504" s="111"/>
      <c r="L504" s="112"/>
      <c r="M504" s="113"/>
      <c r="N504" s="114"/>
      <c r="O504" s="107"/>
      <c r="P504" s="107"/>
      <c r="Q504" s="115"/>
      <c r="R504" s="116"/>
      <c r="S504" s="107"/>
      <c r="T504" s="107"/>
      <c r="U504" s="107" t="str">
        <f t="shared" si="10"/>
        <v/>
      </c>
      <c r="V504" s="107"/>
      <c r="W504" s="107"/>
      <c r="X504" s="107"/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107"/>
      <c r="AI504" s="107"/>
      <c r="AJ504" s="107"/>
      <c r="AK504" s="107"/>
      <c r="AL504" s="107"/>
      <c r="AM504" s="107"/>
      <c r="AN504" s="107"/>
      <c r="AO504" s="107"/>
      <c r="AP504" s="107"/>
      <c r="AQ504" s="107"/>
      <c r="AR504" s="107"/>
      <c r="AS504" s="107"/>
      <c r="AT504" s="107"/>
      <c r="AU504" s="107"/>
      <c r="AV504" s="107"/>
      <c r="AW504" s="107"/>
      <c r="AX504" s="107"/>
      <c r="AY504" s="107"/>
      <c r="AZ504" s="107"/>
      <c r="BA504" s="107"/>
      <c r="BB504" s="107"/>
      <c r="BC504" s="107"/>
      <c r="BD504" s="107"/>
      <c r="BE504" s="107"/>
      <c r="BF504" s="107"/>
      <c r="BG504" s="107"/>
      <c r="BH504" s="107"/>
    </row>
    <row r="505" spans="1:60" x14ac:dyDescent="0.25">
      <c r="A505" s="96"/>
      <c r="B505" s="97"/>
      <c r="C505" s="97"/>
      <c r="D505" s="97"/>
      <c r="E505" s="98"/>
      <c r="F505" s="99" t="str">
        <f>IF(H505&lt;&gt;"",H505-Accueil!N$6+1/60/24,"")</f>
        <v/>
      </c>
      <c r="G505" s="97"/>
      <c r="H505" s="99"/>
      <c r="I505" s="99"/>
      <c r="J505" s="100"/>
      <c r="K505" s="101"/>
      <c r="L505" s="102"/>
      <c r="M505" s="103"/>
      <c r="N505" s="104"/>
      <c r="O505" s="97"/>
      <c r="P505" s="97"/>
      <c r="Q505" s="97"/>
      <c r="R505" s="105"/>
      <c r="S505" s="97"/>
      <c r="T505" s="97"/>
      <c r="U505" s="97" t="str">
        <f t="shared" si="10"/>
        <v/>
      </c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7"/>
      <c r="BA505" s="97"/>
      <c r="BB505" s="97"/>
      <c r="BC505" s="97"/>
      <c r="BD505" s="97"/>
      <c r="BE505" s="97"/>
      <c r="BF505" s="97"/>
      <c r="BG505" s="97"/>
      <c r="BH505" s="97"/>
    </row>
    <row r="506" spans="1:60" x14ac:dyDescent="0.25">
      <c r="A506" s="106"/>
      <c r="B506" s="107"/>
      <c r="C506" s="107"/>
      <c r="D506" s="107"/>
      <c r="E506" s="108"/>
      <c r="F506" s="109" t="str">
        <f>IF(H506&lt;&gt;"",H506-Accueil!N$6+1/60/24,"")</f>
        <v/>
      </c>
      <c r="G506" s="107"/>
      <c r="H506" s="109"/>
      <c r="I506" s="110"/>
      <c r="J506" s="110"/>
      <c r="K506" s="111"/>
      <c r="L506" s="112"/>
      <c r="M506" s="113"/>
      <c r="N506" s="114"/>
      <c r="O506" s="107"/>
      <c r="P506" s="107"/>
      <c r="Q506" s="115"/>
      <c r="R506" s="116"/>
      <c r="S506" s="107"/>
      <c r="T506" s="107"/>
      <c r="U506" s="107" t="str">
        <f t="shared" si="10"/>
        <v/>
      </c>
      <c r="V506" s="107"/>
      <c r="W506" s="107"/>
      <c r="X506" s="107"/>
      <c r="Y506" s="107"/>
      <c r="Z506" s="107"/>
      <c r="AA506" s="107"/>
      <c r="AB506" s="107"/>
      <c r="AC506" s="107"/>
      <c r="AD506" s="107"/>
      <c r="AE506" s="107"/>
      <c r="AF506" s="107"/>
      <c r="AG506" s="107"/>
      <c r="AH506" s="107"/>
      <c r="AI506" s="107"/>
      <c r="AJ506" s="107"/>
      <c r="AK506" s="107"/>
      <c r="AL506" s="107"/>
      <c r="AM506" s="107"/>
      <c r="AN506" s="107"/>
      <c r="AO506" s="107"/>
      <c r="AP506" s="107"/>
      <c r="AQ506" s="107"/>
      <c r="AR506" s="107"/>
      <c r="AS506" s="107"/>
      <c r="AT506" s="107"/>
      <c r="AU506" s="107"/>
      <c r="AV506" s="107"/>
      <c r="AW506" s="107"/>
      <c r="AX506" s="107"/>
      <c r="AY506" s="107"/>
      <c r="AZ506" s="107"/>
      <c r="BA506" s="107"/>
      <c r="BB506" s="107"/>
      <c r="BC506" s="107"/>
      <c r="BD506" s="107"/>
      <c r="BE506" s="107"/>
      <c r="BF506" s="107"/>
      <c r="BG506" s="107"/>
      <c r="BH506" s="107"/>
    </row>
    <row r="507" spans="1:60" x14ac:dyDescent="0.25">
      <c r="A507" s="96"/>
      <c r="B507" s="97"/>
      <c r="C507" s="97"/>
      <c r="D507" s="97"/>
      <c r="E507" s="98"/>
      <c r="F507" s="99" t="str">
        <f>IF(H507&lt;&gt;"",H507-Accueil!N$6+1/60/24,"")</f>
        <v/>
      </c>
      <c r="G507" s="97"/>
      <c r="H507" s="99"/>
      <c r="I507" s="99"/>
      <c r="J507" s="100"/>
      <c r="K507" s="101"/>
      <c r="L507" s="102"/>
      <c r="M507" s="103"/>
      <c r="N507" s="104"/>
      <c r="O507" s="97"/>
      <c r="P507" s="97"/>
      <c r="Q507" s="97"/>
      <c r="R507" s="105"/>
      <c r="S507" s="97"/>
      <c r="T507" s="97"/>
      <c r="U507" s="97" t="str">
        <f t="shared" si="10"/>
        <v/>
      </c>
      <c r="V507" s="97"/>
      <c r="W507" s="97"/>
      <c r="X507" s="97"/>
      <c r="Y507" s="97"/>
      <c r="Z507" s="97"/>
      <c r="AA507" s="97"/>
      <c r="AB507" s="97"/>
      <c r="AC507" s="97"/>
      <c r="AD507" s="97"/>
      <c r="AE507" s="97"/>
      <c r="AF507" s="97"/>
      <c r="AG507" s="97"/>
      <c r="AH507" s="97"/>
      <c r="AI507" s="97"/>
      <c r="AJ507" s="97"/>
      <c r="AK507" s="97"/>
      <c r="AL507" s="97"/>
      <c r="AM507" s="97"/>
      <c r="AN507" s="97"/>
      <c r="AO507" s="97"/>
      <c r="AP507" s="97"/>
      <c r="AQ507" s="97"/>
      <c r="AR507" s="97"/>
      <c r="AS507" s="97"/>
      <c r="AT507" s="97"/>
      <c r="AU507" s="97"/>
      <c r="AV507" s="97"/>
      <c r="AW507" s="97"/>
      <c r="AX507" s="97"/>
      <c r="AY507" s="97"/>
      <c r="AZ507" s="97"/>
      <c r="BA507" s="97"/>
      <c r="BB507" s="97"/>
      <c r="BC507" s="97"/>
      <c r="BD507" s="97"/>
      <c r="BE507" s="97"/>
      <c r="BF507" s="97"/>
      <c r="BG507" s="97"/>
      <c r="BH507" s="97"/>
    </row>
    <row r="508" spans="1:60" x14ac:dyDescent="0.25">
      <c r="A508" s="106"/>
      <c r="B508" s="107"/>
      <c r="C508" s="107"/>
      <c r="D508" s="107"/>
      <c r="E508" s="108"/>
      <c r="F508" s="109" t="str">
        <f>IF(H508&lt;&gt;"",H508-Accueil!N$6+1/60/24,"")</f>
        <v/>
      </c>
      <c r="G508" s="107"/>
      <c r="H508" s="109"/>
      <c r="I508" s="110"/>
      <c r="J508" s="110"/>
      <c r="K508" s="111"/>
      <c r="L508" s="112"/>
      <c r="M508" s="113"/>
      <c r="N508" s="114"/>
      <c r="O508" s="107"/>
      <c r="P508" s="107"/>
      <c r="Q508" s="115"/>
      <c r="R508" s="116"/>
      <c r="S508" s="107"/>
      <c r="T508" s="107"/>
      <c r="U508" s="107" t="str">
        <f t="shared" si="10"/>
        <v/>
      </c>
      <c r="V508" s="107"/>
      <c r="W508" s="107"/>
      <c r="X508" s="107"/>
      <c r="Y508" s="107"/>
      <c r="Z508" s="107"/>
      <c r="AA508" s="107"/>
      <c r="AB508" s="107"/>
      <c r="AC508" s="107"/>
      <c r="AD508" s="107"/>
      <c r="AE508" s="107"/>
      <c r="AF508" s="107"/>
      <c r="AG508" s="107"/>
      <c r="AH508" s="107"/>
      <c r="AI508" s="107"/>
      <c r="AJ508" s="107"/>
      <c r="AK508" s="107"/>
      <c r="AL508" s="107"/>
      <c r="AM508" s="107"/>
      <c r="AN508" s="107"/>
      <c r="AO508" s="107"/>
      <c r="AP508" s="107"/>
      <c r="AQ508" s="107"/>
      <c r="AR508" s="107"/>
      <c r="AS508" s="107"/>
      <c r="AT508" s="107"/>
      <c r="AU508" s="107"/>
      <c r="AV508" s="107"/>
      <c r="AW508" s="107"/>
      <c r="AX508" s="107"/>
      <c r="AY508" s="107"/>
      <c r="AZ508" s="107"/>
      <c r="BA508" s="107"/>
      <c r="BB508" s="107"/>
      <c r="BC508" s="107"/>
      <c r="BD508" s="107"/>
      <c r="BE508" s="107"/>
      <c r="BF508" s="107"/>
      <c r="BG508" s="107"/>
      <c r="BH508" s="107"/>
    </row>
    <row r="509" spans="1:60" x14ac:dyDescent="0.25">
      <c r="A509" s="96"/>
      <c r="B509" s="97"/>
      <c r="C509" s="97"/>
      <c r="D509" s="97"/>
      <c r="E509" s="98"/>
      <c r="F509" s="99" t="str">
        <f>IF(H509&lt;&gt;"",H509-Accueil!N$6+1/60/24,"")</f>
        <v/>
      </c>
      <c r="G509" s="97"/>
      <c r="H509" s="99"/>
      <c r="I509" s="99"/>
      <c r="J509" s="100"/>
      <c r="K509" s="101"/>
      <c r="L509" s="102"/>
      <c r="M509" s="103"/>
      <c r="N509" s="104"/>
      <c r="O509" s="97"/>
      <c r="P509" s="97"/>
      <c r="Q509" s="97"/>
      <c r="R509" s="105"/>
      <c r="S509" s="97"/>
      <c r="T509" s="97"/>
      <c r="U509" s="97" t="str">
        <f t="shared" si="10"/>
        <v/>
      </c>
      <c r="V509" s="97"/>
      <c r="W509" s="97"/>
      <c r="X509" s="97"/>
      <c r="Y509" s="97"/>
      <c r="Z509" s="97"/>
      <c r="AA509" s="97"/>
      <c r="AB509" s="97"/>
      <c r="AC509" s="97"/>
      <c r="AD509" s="97"/>
      <c r="AE509" s="97"/>
      <c r="AF509" s="97"/>
      <c r="AG509" s="97"/>
      <c r="AH509" s="97"/>
      <c r="AI509" s="97"/>
      <c r="AJ509" s="97"/>
      <c r="AK509" s="97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  <c r="AX509" s="97"/>
      <c r="AY509" s="97"/>
      <c r="AZ509" s="97"/>
      <c r="BA509" s="97"/>
      <c r="BB509" s="97"/>
      <c r="BC509" s="97"/>
      <c r="BD509" s="97"/>
      <c r="BE509" s="97"/>
      <c r="BF509" s="97"/>
      <c r="BG509" s="97"/>
      <c r="BH509" s="97"/>
    </row>
    <row r="510" spans="1:60" x14ac:dyDescent="0.25">
      <c r="A510" s="106"/>
      <c r="B510" s="107"/>
      <c r="C510" s="107"/>
      <c r="D510" s="107"/>
      <c r="E510" s="108"/>
      <c r="F510" s="109" t="str">
        <f>IF(H510&lt;&gt;"",H510-Accueil!N$6+1/60/24,"")</f>
        <v/>
      </c>
      <c r="G510" s="107"/>
      <c r="H510" s="109"/>
      <c r="I510" s="110"/>
      <c r="J510" s="110"/>
      <c r="K510" s="111"/>
      <c r="L510" s="112"/>
      <c r="M510" s="113"/>
      <c r="N510" s="114"/>
      <c r="O510" s="107"/>
      <c r="P510" s="107"/>
      <c r="Q510" s="115"/>
      <c r="R510" s="116"/>
      <c r="S510" s="107"/>
      <c r="T510" s="107"/>
      <c r="U510" s="107" t="str">
        <f t="shared" si="10"/>
        <v/>
      </c>
      <c r="V510" s="107"/>
      <c r="W510" s="107"/>
      <c r="X510" s="107"/>
      <c r="Y510" s="107"/>
      <c r="Z510" s="107"/>
      <c r="AA510" s="107"/>
      <c r="AB510" s="107"/>
      <c r="AC510" s="107"/>
      <c r="AD510" s="107"/>
      <c r="AE510" s="107"/>
      <c r="AF510" s="107"/>
      <c r="AG510" s="107"/>
      <c r="AH510" s="107"/>
      <c r="AI510" s="107"/>
      <c r="AJ510" s="107"/>
      <c r="AK510" s="107"/>
      <c r="AL510" s="107"/>
      <c r="AM510" s="107"/>
      <c r="AN510" s="107"/>
      <c r="AO510" s="107"/>
      <c r="AP510" s="107"/>
      <c r="AQ510" s="107"/>
      <c r="AR510" s="107"/>
      <c r="AS510" s="107"/>
      <c r="AT510" s="107"/>
      <c r="AU510" s="107"/>
      <c r="AV510" s="107"/>
      <c r="AW510" s="107"/>
      <c r="AX510" s="107"/>
      <c r="AY510" s="107"/>
      <c r="AZ510" s="107"/>
      <c r="BA510" s="107"/>
      <c r="BB510" s="107"/>
      <c r="BC510" s="107"/>
      <c r="BD510" s="107"/>
      <c r="BE510" s="107"/>
      <c r="BF510" s="107"/>
      <c r="BG510" s="107"/>
      <c r="BH510" s="107"/>
    </row>
    <row r="511" spans="1:60" x14ac:dyDescent="0.25">
      <c r="A511" s="96"/>
      <c r="B511" s="97"/>
      <c r="C511" s="97"/>
      <c r="D511" s="97"/>
      <c r="E511" s="98"/>
      <c r="F511" s="99" t="str">
        <f>IF(H511&lt;&gt;"",H511-Accueil!N$6+1/60/24,"")</f>
        <v/>
      </c>
      <c r="G511" s="97"/>
      <c r="H511" s="99"/>
      <c r="I511" s="99"/>
      <c r="J511" s="100"/>
      <c r="K511" s="101"/>
      <c r="L511" s="102"/>
      <c r="M511" s="103"/>
      <c r="N511" s="104"/>
      <c r="O511" s="97"/>
      <c r="P511" s="97"/>
      <c r="Q511" s="97"/>
      <c r="R511" s="105"/>
      <c r="S511" s="97"/>
      <c r="T511" s="97"/>
      <c r="U511" s="97" t="str">
        <f t="shared" si="10"/>
        <v/>
      </c>
      <c r="V511" s="97"/>
      <c r="W511" s="97"/>
      <c r="X511" s="97"/>
      <c r="Y511" s="97"/>
      <c r="Z511" s="97"/>
      <c r="AA511" s="97"/>
      <c r="AB511" s="97"/>
      <c r="AC511" s="97"/>
      <c r="AD511" s="97"/>
      <c r="AE511" s="97"/>
      <c r="AF511" s="97"/>
      <c r="AG511" s="97"/>
      <c r="AH511" s="97"/>
      <c r="AI511" s="97"/>
      <c r="AJ511" s="97"/>
      <c r="AK511" s="97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  <c r="AX511" s="97"/>
      <c r="AY511" s="97"/>
      <c r="AZ511" s="97"/>
      <c r="BA511" s="97"/>
      <c r="BB511" s="97"/>
      <c r="BC511" s="97"/>
      <c r="BD511" s="97"/>
      <c r="BE511" s="97"/>
      <c r="BF511" s="97"/>
      <c r="BG511" s="97"/>
      <c r="BH511" s="97"/>
    </row>
    <row r="512" spans="1:60" x14ac:dyDescent="0.25">
      <c r="A512" s="106"/>
      <c r="B512" s="107"/>
      <c r="C512" s="107"/>
      <c r="D512" s="107"/>
      <c r="E512" s="108"/>
      <c r="F512" s="109" t="str">
        <f>IF(H512&lt;&gt;"",H512-Accueil!N$6+1/60/24,"")</f>
        <v/>
      </c>
      <c r="G512" s="107"/>
      <c r="H512" s="109"/>
      <c r="I512" s="110"/>
      <c r="J512" s="110"/>
      <c r="K512" s="111"/>
      <c r="L512" s="112"/>
      <c r="M512" s="113"/>
      <c r="N512" s="114"/>
      <c r="O512" s="107"/>
      <c r="P512" s="107"/>
      <c r="Q512" s="115"/>
      <c r="R512" s="116"/>
      <c r="S512" s="107"/>
      <c r="T512" s="107"/>
      <c r="U512" s="107" t="str">
        <f t="shared" si="10"/>
        <v/>
      </c>
      <c r="V512" s="107"/>
      <c r="W512" s="107"/>
      <c r="X512" s="107"/>
      <c r="Y512" s="107"/>
      <c r="Z512" s="107"/>
      <c r="AA512" s="107"/>
      <c r="AB512" s="107"/>
      <c r="AC512" s="107"/>
      <c r="AD512" s="107"/>
      <c r="AE512" s="107"/>
      <c r="AF512" s="107"/>
      <c r="AG512" s="107"/>
      <c r="AH512" s="107"/>
      <c r="AI512" s="107"/>
      <c r="AJ512" s="107"/>
      <c r="AK512" s="107"/>
      <c r="AL512" s="107"/>
      <c r="AM512" s="107"/>
      <c r="AN512" s="107"/>
      <c r="AO512" s="107"/>
      <c r="AP512" s="107"/>
      <c r="AQ512" s="107"/>
      <c r="AR512" s="107"/>
      <c r="AS512" s="107"/>
      <c r="AT512" s="107"/>
      <c r="AU512" s="107"/>
      <c r="AV512" s="107"/>
      <c r="AW512" s="107"/>
      <c r="AX512" s="107"/>
      <c r="AY512" s="107"/>
      <c r="AZ512" s="107"/>
      <c r="BA512" s="107"/>
      <c r="BB512" s="107"/>
      <c r="BC512" s="107"/>
      <c r="BD512" s="107"/>
      <c r="BE512" s="107"/>
      <c r="BF512" s="107"/>
      <c r="BG512" s="107"/>
      <c r="BH512" s="107"/>
    </row>
    <row r="513" spans="1:60" x14ac:dyDescent="0.25">
      <c r="A513" s="96"/>
      <c r="B513" s="97"/>
      <c r="C513" s="97"/>
      <c r="D513" s="97"/>
      <c r="E513" s="98"/>
      <c r="F513" s="99" t="str">
        <f>IF(H513&lt;&gt;"",H513-Accueil!N$6+1/60/24,"")</f>
        <v/>
      </c>
      <c r="G513" s="97"/>
      <c r="H513" s="99"/>
      <c r="I513" s="99"/>
      <c r="J513" s="100"/>
      <c r="K513" s="101"/>
      <c r="L513" s="102"/>
      <c r="M513" s="103"/>
      <c r="N513" s="104"/>
      <c r="O513" s="97"/>
      <c r="P513" s="97"/>
      <c r="Q513" s="97"/>
      <c r="R513" s="105"/>
      <c r="S513" s="97"/>
      <c r="T513" s="97"/>
      <c r="U513" s="97" t="str">
        <f t="shared" si="10"/>
        <v/>
      </c>
      <c r="V513" s="97"/>
      <c r="W513" s="97"/>
      <c r="X513" s="97"/>
      <c r="Y513" s="97"/>
      <c r="Z513" s="97"/>
      <c r="AA513" s="97"/>
      <c r="AB513" s="97"/>
      <c r="AC513" s="97"/>
      <c r="AD513" s="97"/>
      <c r="AE513" s="97"/>
      <c r="AF513" s="97"/>
      <c r="AG513" s="97"/>
      <c r="AH513" s="97"/>
      <c r="AI513" s="97"/>
      <c r="AJ513" s="97"/>
      <c r="AK513" s="97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  <c r="AX513" s="97"/>
      <c r="AY513" s="97"/>
      <c r="AZ513" s="97"/>
      <c r="BA513" s="97"/>
      <c r="BB513" s="97"/>
      <c r="BC513" s="97"/>
      <c r="BD513" s="97"/>
      <c r="BE513" s="97"/>
      <c r="BF513" s="97"/>
      <c r="BG513" s="97"/>
      <c r="BH513" s="97"/>
    </row>
    <row r="514" spans="1:60" x14ac:dyDescent="0.25">
      <c r="A514" s="106"/>
      <c r="B514" s="107"/>
      <c r="C514" s="107"/>
      <c r="D514" s="107"/>
      <c r="E514" s="108"/>
      <c r="F514" s="109" t="str">
        <f>IF(H514&lt;&gt;"",H514-Accueil!N$6+1/60/24,"")</f>
        <v/>
      </c>
      <c r="G514" s="107"/>
      <c r="H514" s="109"/>
      <c r="I514" s="110"/>
      <c r="J514" s="110"/>
      <c r="K514" s="111"/>
      <c r="L514" s="112"/>
      <c r="M514" s="113"/>
      <c r="N514" s="114"/>
      <c r="O514" s="107"/>
      <c r="P514" s="107"/>
      <c r="Q514" s="115"/>
      <c r="R514" s="116"/>
      <c r="S514" s="107"/>
      <c r="T514" s="107"/>
      <c r="U514" s="107" t="str">
        <f t="shared" si="10"/>
        <v/>
      </c>
      <c r="V514" s="107"/>
      <c r="W514" s="107"/>
      <c r="X514" s="107"/>
      <c r="Y514" s="107"/>
      <c r="Z514" s="107"/>
      <c r="AA514" s="107"/>
      <c r="AB514" s="107"/>
      <c r="AC514" s="107"/>
      <c r="AD514" s="107"/>
      <c r="AE514" s="107"/>
      <c r="AF514" s="107"/>
      <c r="AG514" s="107"/>
      <c r="AH514" s="107"/>
      <c r="AI514" s="107"/>
      <c r="AJ514" s="107"/>
      <c r="AK514" s="107"/>
      <c r="AL514" s="107"/>
      <c r="AM514" s="107"/>
      <c r="AN514" s="107"/>
      <c r="AO514" s="107"/>
      <c r="AP514" s="107"/>
      <c r="AQ514" s="107"/>
      <c r="AR514" s="107"/>
      <c r="AS514" s="107"/>
      <c r="AT514" s="107"/>
      <c r="AU514" s="107"/>
      <c r="AV514" s="107"/>
      <c r="AW514" s="107"/>
      <c r="AX514" s="107"/>
      <c r="AY514" s="107"/>
      <c r="AZ514" s="107"/>
      <c r="BA514" s="107"/>
      <c r="BB514" s="107"/>
      <c r="BC514" s="107"/>
      <c r="BD514" s="107"/>
      <c r="BE514" s="107"/>
      <c r="BF514" s="107"/>
      <c r="BG514" s="107"/>
      <c r="BH514" s="107"/>
    </row>
    <row r="515" spans="1:60" x14ac:dyDescent="0.25">
      <c r="A515" s="96"/>
      <c r="B515" s="97"/>
      <c r="C515" s="97"/>
      <c r="D515" s="97"/>
      <c r="E515" s="98"/>
      <c r="F515" s="99" t="str">
        <f>IF(H515&lt;&gt;"",H515-Accueil!N$6+1/60/24,"")</f>
        <v/>
      </c>
      <c r="G515" s="97"/>
      <c r="H515" s="99"/>
      <c r="I515" s="99"/>
      <c r="J515" s="100"/>
      <c r="K515" s="101"/>
      <c r="L515" s="102"/>
      <c r="M515" s="103"/>
      <c r="N515" s="104"/>
      <c r="O515" s="97"/>
      <c r="P515" s="97"/>
      <c r="Q515" s="97"/>
      <c r="R515" s="105"/>
      <c r="S515" s="97"/>
      <c r="T515" s="97"/>
      <c r="U515" s="97" t="str">
        <f t="shared" ref="U515:U578" si="11">IF(B515="","",IF(I515="",0,1))</f>
        <v/>
      </c>
      <c r="V515" s="97"/>
      <c r="W515" s="97"/>
      <c r="X515" s="97"/>
      <c r="Y515" s="97"/>
      <c r="Z515" s="97"/>
      <c r="AA515" s="97"/>
      <c r="AB515" s="97"/>
      <c r="AC515" s="97"/>
      <c r="AD515" s="97"/>
      <c r="AE515" s="97"/>
      <c r="AF515" s="97"/>
      <c r="AG515" s="97"/>
      <c r="AH515" s="97"/>
      <c r="AI515" s="97"/>
      <c r="AJ515" s="97"/>
      <c r="AK515" s="97"/>
      <c r="AL515" s="97"/>
      <c r="AM515" s="97"/>
      <c r="AN515" s="97"/>
      <c r="AO515" s="97"/>
      <c r="AP515" s="97"/>
      <c r="AQ515" s="97"/>
      <c r="AR515" s="97"/>
      <c r="AS515" s="97"/>
      <c r="AT515" s="97"/>
      <c r="AU515" s="97"/>
      <c r="AV515" s="97"/>
      <c r="AW515" s="97"/>
      <c r="AX515" s="97"/>
      <c r="AY515" s="97"/>
      <c r="AZ515" s="97"/>
      <c r="BA515" s="97"/>
      <c r="BB515" s="97"/>
      <c r="BC515" s="97"/>
      <c r="BD515" s="97"/>
      <c r="BE515" s="97"/>
      <c r="BF515" s="97"/>
      <c r="BG515" s="97"/>
      <c r="BH515" s="97"/>
    </row>
    <row r="516" spans="1:60" x14ac:dyDescent="0.25">
      <c r="A516" s="106"/>
      <c r="B516" s="107"/>
      <c r="C516" s="107"/>
      <c r="D516" s="107"/>
      <c r="E516" s="108"/>
      <c r="F516" s="109" t="str">
        <f>IF(H516&lt;&gt;"",H516-Accueil!N$6+1/60/24,"")</f>
        <v/>
      </c>
      <c r="G516" s="107"/>
      <c r="H516" s="109"/>
      <c r="I516" s="110"/>
      <c r="J516" s="110"/>
      <c r="K516" s="111"/>
      <c r="L516" s="112"/>
      <c r="M516" s="113"/>
      <c r="N516" s="114"/>
      <c r="O516" s="107"/>
      <c r="P516" s="107"/>
      <c r="Q516" s="115"/>
      <c r="R516" s="116"/>
      <c r="S516" s="107"/>
      <c r="T516" s="107"/>
      <c r="U516" s="107" t="str">
        <f t="shared" si="11"/>
        <v/>
      </c>
      <c r="V516" s="107"/>
      <c r="W516" s="107"/>
      <c r="X516" s="107"/>
      <c r="Y516" s="107"/>
      <c r="Z516" s="107"/>
      <c r="AA516" s="107"/>
      <c r="AB516" s="107"/>
      <c r="AC516" s="107"/>
      <c r="AD516" s="107"/>
      <c r="AE516" s="107"/>
      <c r="AF516" s="107"/>
      <c r="AG516" s="107"/>
      <c r="AH516" s="107"/>
      <c r="AI516" s="107"/>
      <c r="AJ516" s="107"/>
      <c r="AK516" s="107"/>
      <c r="AL516" s="107"/>
      <c r="AM516" s="107"/>
      <c r="AN516" s="107"/>
      <c r="AO516" s="107"/>
      <c r="AP516" s="107"/>
      <c r="AQ516" s="107"/>
      <c r="AR516" s="107"/>
      <c r="AS516" s="107"/>
      <c r="AT516" s="107"/>
      <c r="AU516" s="107"/>
      <c r="AV516" s="107"/>
      <c r="AW516" s="107"/>
      <c r="AX516" s="107"/>
      <c r="AY516" s="107"/>
      <c r="AZ516" s="107"/>
      <c r="BA516" s="107"/>
      <c r="BB516" s="107"/>
      <c r="BC516" s="107"/>
      <c r="BD516" s="107"/>
      <c r="BE516" s="107"/>
      <c r="BF516" s="107"/>
      <c r="BG516" s="107"/>
      <c r="BH516" s="107"/>
    </row>
    <row r="517" spans="1:60" x14ac:dyDescent="0.25">
      <c r="A517" s="96"/>
      <c r="B517" s="97"/>
      <c r="C517" s="97"/>
      <c r="D517" s="97"/>
      <c r="E517" s="98"/>
      <c r="F517" s="99" t="str">
        <f>IF(H517&lt;&gt;"",H517-Accueil!N$6+1/60/24,"")</f>
        <v/>
      </c>
      <c r="G517" s="97"/>
      <c r="H517" s="99"/>
      <c r="I517" s="99"/>
      <c r="J517" s="100"/>
      <c r="K517" s="101"/>
      <c r="L517" s="102"/>
      <c r="M517" s="103"/>
      <c r="N517" s="104"/>
      <c r="O517" s="97"/>
      <c r="P517" s="97"/>
      <c r="Q517" s="97"/>
      <c r="R517" s="105"/>
      <c r="S517" s="97"/>
      <c r="T517" s="97"/>
      <c r="U517" s="97" t="str">
        <f t="shared" si="11"/>
        <v/>
      </c>
      <c r="V517" s="97"/>
      <c r="W517" s="97"/>
      <c r="X517" s="97"/>
      <c r="Y517" s="97"/>
      <c r="Z517" s="97"/>
      <c r="AA517" s="97"/>
      <c r="AB517" s="97"/>
      <c r="AC517" s="97"/>
      <c r="AD517" s="97"/>
      <c r="AE517" s="97"/>
      <c r="AF517" s="97"/>
      <c r="AG517" s="97"/>
      <c r="AH517" s="97"/>
      <c r="AI517" s="97"/>
      <c r="AJ517" s="97"/>
      <c r="AK517" s="97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  <c r="AX517" s="97"/>
      <c r="AY517" s="97"/>
      <c r="AZ517" s="97"/>
      <c r="BA517" s="97"/>
      <c r="BB517" s="97"/>
      <c r="BC517" s="97"/>
      <c r="BD517" s="97"/>
      <c r="BE517" s="97"/>
      <c r="BF517" s="97"/>
      <c r="BG517" s="97"/>
      <c r="BH517" s="97"/>
    </row>
    <row r="518" spans="1:60" x14ac:dyDescent="0.25">
      <c r="A518" s="106"/>
      <c r="B518" s="107"/>
      <c r="C518" s="107"/>
      <c r="D518" s="107"/>
      <c r="E518" s="108"/>
      <c r="F518" s="109" t="str">
        <f>IF(H518&lt;&gt;"",H518-Accueil!N$6+1/60/24,"")</f>
        <v/>
      </c>
      <c r="G518" s="107"/>
      <c r="H518" s="109"/>
      <c r="I518" s="110"/>
      <c r="J518" s="110"/>
      <c r="K518" s="111"/>
      <c r="L518" s="112"/>
      <c r="M518" s="113"/>
      <c r="N518" s="114"/>
      <c r="O518" s="107"/>
      <c r="P518" s="107"/>
      <c r="Q518" s="115"/>
      <c r="R518" s="116"/>
      <c r="S518" s="107"/>
      <c r="T518" s="107"/>
      <c r="U518" s="107" t="str">
        <f t="shared" si="11"/>
        <v/>
      </c>
      <c r="V518" s="107"/>
      <c r="W518" s="107"/>
      <c r="X518" s="107"/>
      <c r="Y518" s="107"/>
      <c r="Z518" s="107"/>
      <c r="AA518" s="107"/>
      <c r="AB518" s="107"/>
      <c r="AC518" s="107"/>
      <c r="AD518" s="107"/>
      <c r="AE518" s="107"/>
      <c r="AF518" s="107"/>
      <c r="AG518" s="107"/>
      <c r="AH518" s="107"/>
      <c r="AI518" s="107"/>
      <c r="AJ518" s="107"/>
      <c r="AK518" s="107"/>
      <c r="AL518" s="107"/>
      <c r="AM518" s="107"/>
      <c r="AN518" s="107"/>
      <c r="AO518" s="107"/>
      <c r="AP518" s="107"/>
      <c r="AQ518" s="107"/>
      <c r="AR518" s="107"/>
      <c r="AS518" s="107"/>
      <c r="AT518" s="107"/>
      <c r="AU518" s="107"/>
      <c r="AV518" s="107"/>
      <c r="AW518" s="107"/>
      <c r="AX518" s="107"/>
      <c r="AY518" s="107"/>
      <c r="AZ518" s="107"/>
      <c r="BA518" s="107"/>
      <c r="BB518" s="107"/>
      <c r="BC518" s="107"/>
      <c r="BD518" s="107"/>
      <c r="BE518" s="107"/>
      <c r="BF518" s="107"/>
      <c r="BG518" s="107"/>
      <c r="BH518" s="107"/>
    </row>
    <row r="519" spans="1:60" x14ac:dyDescent="0.25">
      <c r="A519" s="96"/>
      <c r="B519" s="97"/>
      <c r="C519" s="97"/>
      <c r="D519" s="97"/>
      <c r="E519" s="98"/>
      <c r="F519" s="99" t="str">
        <f>IF(H519&lt;&gt;"",H519-Accueil!N$6+1/60/24,"")</f>
        <v/>
      </c>
      <c r="G519" s="97"/>
      <c r="H519" s="99"/>
      <c r="I519" s="99"/>
      <c r="J519" s="100"/>
      <c r="K519" s="101"/>
      <c r="L519" s="102"/>
      <c r="M519" s="103"/>
      <c r="N519" s="104"/>
      <c r="O519" s="97"/>
      <c r="P519" s="97"/>
      <c r="Q519" s="97"/>
      <c r="R519" s="105"/>
      <c r="S519" s="97"/>
      <c r="T519" s="97"/>
      <c r="U519" s="97" t="str">
        <f t="shared" si="11"/>
        <v/>
      </c>
      <c r="V519" s="97"/>
      <c r="W519" s="97"/>
      <c r="X519" s="97"/>
      <c r="Y519" s="97"/>
      <c r="Z519" s="97"/>
      <c r="AA519" s="97"/>
      <c r="AB519" s="97"/>
      <c r="AC519" s="97"/>
      <c r="AD519" s="97"/>
      <c r="AE519" s="97"/>
      <c r="AF519" s="97"/>
      <c r="AG519" s="97"/>
      <c r="AH519" s="97"/>
      <c r="AI519" s="97"/>
      <c r="AJ519" s="97"/>
      <c r="AK519" s="97"/>
      <c r="AL519" s="97"/>
      <c r="AM519" s="97"/>
      <c r="AN519" s="97"/>
      <c r="AO519" s="97"/>
      <c r="AP519" s="97"/>
      <c r="AQ519" s="97"/>
      <c r="AR519" s="97"/>
      <c r="AS519" s="97"/>
      <c r="AT519" s="97"/>
      <c r="AU519" s="97"/>
      <c r="AV519" s="97"/>
      <c r="AW519" s="97"/>
      <c r="AX519" s="97"/>
      <c r="AY519" s="97"/>
      <c r="AZ519" s="97"/>
      <c r="BA519" s="97"/>
      <c r="BB519" s="97"/>
      <c r="BC519" s="97"/>
      <c r="BD519" s="97"/>
      <c r="BE519" s="97"/>
      <c r="BF519" s="97"/>
      <c r="BG519" s="97"/>
      <c r="BH519" s="97"/>
    </row>
    <row r="520" spans="1:60" x14ac:dyDescent="0.25">
      <c r="A520" s="106"/>
      <c r="B520" s="107"/>
      <c r="C520" s="107"/>
      <c r="D520" s="107"/>
      <c r="E520" s="108"/>
      <c r="F520" s="109" t="str">
        <f>IF(H520&lt;&gt;"",H520-Accueil!N$6+1/60/24,"")</f>
        <v/>
      </c>
      <c r="G520" s="107"/>
      <c r="H520" s="109"/>
      <c r="I520" s="110"/>
      <c r="J520" s="110"/>
      <c r="K520" s="111"/>
      <c r="L520" s="112"/>
      <c r="M520" s="113"/>
      <c r="N520" s="114"/>
      <c r="O520" s="107"/>
      <c r="P520" s="107"/>
      <c r="Q520" s="115"/>
      <c r="R520" s="116"/>
      <c r="S520" s="107"/>
      <c r="T520" s="107"/>
      <c r="U520" s="107" t="str">
        <f t="shared" si="11"/>
        <v/>
      </c>
      <c r="V520" s="107"/>
      <c r="W520" s="107"/>
      <c r="X520" s="107"/>
      <c r="Y520" s="107"/>
      <c r="Z520" s="107"/>
      <c r="AA520" s="107"/>
      <c r="AB520" s="107"/>
      <c r="AC520" s="107"/>
      <c r="AD520" s="107"/>
      <c r="AE520" s="107"/>
      <c r="AF520" s="107"/>
      <c r="AG520" s="107"/>
      <c r="AH520" s="107"/>
      <c r="AI520" s="107"/>
      <c r="AJ520" s="107"/>
      <c r="AK520" s="107"/>
      <c r="AL520" s="107"/>
      <c r="AM520" s="107"/>
      <c r="AN520" s="107"/>
      <c r="AO520" s="107"/>
      <c r="AP520" s="107"/>
      <c r="AQ520" s="107"/>
      <c r="AR520" s="107"/>
      <c r="AS520" s="107"/>
      <c r="AT520" s="107"/>
      <c r="AU520" s="107"/>
      <c r="AV520" s="107"/>
      <c r="AW520" s="107"/>
      <c r="AX520" s="107"/>
      <c r="AY520" s="107"/>
      <c r="AZ520" s="107"/>
      <c r="BA520" s="107"/>
      <c r="BB520" s="107"/>
      <c r="BC520" s="107"/>
      <c r="BD520" s="107"/>
      <c r="BE520" s="107"/>
      <c r="BF520" s="107"/>
      <c r="BG520" s="107"/>
      <c r="BH520" s="107"/>
    </row>
    <row r="521" spans="1:60" x14ac:dyDescent="0.25">
      <c r="A521" s="96"/>
      <c r="B521" s="97"/>
      <c r="C521" s="97"/>
      <c r="D521" s="97"/>
      <c r="E521" s="98"/>
      <c r="F521" s="99" t="str">
        <f>IF(H521&lt;&gt;"",H521-Accueil!N$6+1/60/24,"")</f>
        <v/>
      </c>
      <c r="G521" s="97"/>
      <c r="H521" s="99"/>
      <c r="I521" s="99"/>
      <c r="J521" s="100"/>
      <c r="K521" s="101"/>
      <c r="L521" s="102"/>
      <c r="M521" s="103"/>
      <c r="N521" s="104"/>
      <c r="O521" s="97"/>
      <c r="P521" s="97"/>
      <c r="Q521" s="97"/>
      <c r="R521" s="105"/>
      <c r="S521" s="97"/>
      <c r="T521" s="97"/>
      <c r="U521" s="97" t="str">
        <f t="shared" si="11"/>
        <v/>
      </c>
      <c r="V521" s="97"/>
      <c r="W521" s="97"/>
      <c r="X521" s="97"/>
      <c r="Y521" s="97"/>
      <c r="Z521" s="97"/>
      <c r="AA521" s="97"/>
      <c r="AB521" s="97"/>
      <c r="AC521" s="97"/>
      <c r="AD521" s="97"/>
      <c r="AE521" s="97"/>
      <c r="AF521" s="97"/>
      <c r="AG521" s="97"/>
      <c r="AH521" s="97"/>
      <c r="AI521" s="97"/>
      <c r="AJ521" s="97"/>
      <c r="AK521" s="97"/>
      <c r="AL521" s="97"/>
      <c r="AM521" s="97"/>
      <c r="AN521" s="97"/>
      <c r="AO521" s="97"/>
      <c r="AP521" s="97"/>
      <c r="AQ521" s="97"/>
      <c r="AR521" s="97"/>
      <c r="AS521" s="97"/>
      <c r="AT521" s="97"/>
      <c r="AU521" s="97"/>
      <c r="AV521" s="97"/>
      <c r="AW521" s="97"/>
      <c r="AX521" s="97"/>
      <c r="AY521" s="97"/>
      <c r="AZ521" s="97"/>
      <c r="BA521" s="97"/>
      <c r="BB521" s="97"/>
      <c r="BC521" s="97"/>
      <c r="BD521" s="97"/>
      <c r="BE521" s="97"/>
      <c r="BF521" s="97"/>
      <c r="BG521" s="97"/>
      <c r="BH521" s="97"/>
    </row>
    <row r="522" spans="1:60" x14ac:dyDescent="0.25">
      <c r="A522" s="106"/>
      <c r="B522" s="107"/>
      <c r="C522" s="107"/>
      <c r="D522" s="107"/>
      <c r="E522" s="108"/>
      <c r="F522" s="109" t="str">
        <f>IF(H522&lt;&gt;"",H522-Accueil!N$6+1/60/24,"")</f>
        <v/>
      </c>
      <c r="G522" s="107"/>
      <c r="H522" s="109"/>
      <c r="I522" s="110"/>
      <c r="J522" s="110"/>
      <c r="K522" s="111"/>
      <c r="L522" s="112"/>
      <c r="M522" s="113"/>
      <c r="N522" s="114"/>
      <c r="O522" s="107"/>
      <c r="P522" s="107"/>
      <c r="Q522" s="115"/>
      <c r="R522" s="116"/>
      <c r="S522" s="107"/>
      <c r="T522" s="107"/>
      <c r="U522" s="107" t="str">
        <f t="shared" si="11"/>
        <v/>
      </c>
      <c r="V522" s="107"/>
      <c r="W522" s="107"/>
      <c r="X522" s="107"/>
      <c r="Y522" s="107"/>
      <c r="Z522" s="107"/>
      <c r="AA522" s="107"/>
      <c r="AB522" s="107"/>
      <c r="AC522" s="107"/>
      <c r="AD522" s="107"/>
      <c r="AE522" s="107"/>
      <c r="AF522" s="107"/>
      <c r="AG522" s="107"/>
      <c r="AH522" s="107"/>
      <c r="AI522" s="107"/>
      <c r="AJ522" s="107"/>
      <c r="AK522" s="107"/>
      <c r="AL522" s="107"/>
      <c r="AM522" s="107"/>
      <c r="AN522" s="107"/>
      <c r="AO522" s="107"/>
      <c r="AP522" s="107"/>
      <c r="AQ522" s="107"/>
      <c r="AR522" s="107"/>
      <c r="AS522" s="107"/>
      <c r="AT522" s="107"/>
      <c r="AU522" s="107"/>
      <c r="AV522" s="107"/>
      <c r="AW522" s="107"/>
      <c r="AX522" s="107"/>
      <c r="AY522" s="107"/>
      <c r="AZ522" s="107"/>
      <c r="BA522" s="107"/>
      <c r="BB522" s="107"/>
      <c r="BC522" s="107"/>
      <c r="BD522" s="107"/>
      <c r="BE522" s="107"/>
      <c r="BF522" s="107"/>
      <c r="BG522" s="107"/>
      <c r="BH522" s="107"/>
    </row>
    <row r="523" spans="1:60" x14ac:dyDescent="0.25">
      <c r="A523" s="96"/>
      <c r="B523" s="97"/>
      <c r="C523" s="97"/>
      <c r="D523" s="97"/>
      <c r="E523" s="98"/>
      <c r="F523" s="99" t="str">
        <f>IF(H523&lt;&gt;"",H523-Accueil!N$6+1/60/24,"")</f>
        <v/>
      </c>
      <c r="G523" s="97"/>
      <c r="H523" s="99"/>
      <c r="I523" s="99"/>
      <c r="J523" s="100"/>
      <c r="K523" s="101"/>
      <c r="L523" s="102"/>
      <c r="M523" s="103"/>
      <c r="N523" s="104"/>
      <c r="O523" s="97"/>
      <c r="P523" s="97"/>
      <c r="Q523" s="97"/>
      <c r="R523" s="105"/>
      <c r="S523" s="97"/>
      <c r="T523" s="97"/>
      <c r="U523" s="97" t="str">
        <f t="shared" si="11"/>
        <v/>
      </c>
      <c r="V523" s="97"/>
      <c r="W523" s="97"/>
      <c r="X523" s="97"/>
      <c r="Y523" s="97"/>
      <c r="Z523" s="97"/>
      <c r="AA523" s="97"/>
      <c r="AB523" s="97"/>
      <c r="AC523" s="97"/>
      <c r="AD523" s="97"/>
      <c r="AE523" s="97"/>
      <c r="AF523" s="97"/>
      <c r="AG523" s="97"/>
      <c r="AH523" s="97"/>
      <c r="AI523" s="97"/>
      <c r="AJ523" s="97"/>
      <c r="AK523" s="97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  <c r="AX523" s="97"/>
      <c r="AY523" s="97"/>
      <c r="AZ523" s="97"/>
      <c r="BA523" s="97"/>
      <c r="BB523" s="97"/>
      <c r="BC523" s="97"/>
      <c r="BD523" s="97"/>
      <c r="BE523" s="97"/>
      <c r="BF523" s="97"/>
      <c r="BG523" s="97"/>
      <c r="BH523" s="97"/>
    </row>
    <row r="524" spans="1:60" x14ac:dyDescent="0.25">
      <c r="A524" s="106"/>
      <c r="B524" s="107"/>
      <c r="C524" s="107"/>
      <c r="D524" s="107"/>
      <c r="E524" s="108"/>
      <c r="F524" s="109" t="str">
        <f>IF(H524&lt;&gt;"",H524-Accueil!N$6+1/60/24,"")</f>
        <v/>
      </c>
      <c r="G524" s="107"/>
      <c r="H524" s="109"/>
      <c r="I524" s="110"/>
      <c r="J524" s="110"/>
      <c r="K524" s="111"/>
      <c r="L524" s="112"/>
      <c r="M524" s="113"/>
      <c r="N524" s="114"/>
      <c r="O524" s="107"/>
      <c r="P524" s="107"/>
      <c r="Q524" s="115"/>
      <c r="R524" s="116"/>
      <c r="S524" s="107"/>
      <c r="T524" s="107"/>
      <c r="U524" s="107" t="str">
        <f t="shared" si="11"/>
        <v/>
      </c>
      <c r="V524" s="107"/>
      <c r="W524" s="107"/>
      <c r="X524" s="107"/>
      <c r="Y524" s="107"/>
      <c r="Z524" s="107"/>
      <c r="AA524" s="107"/>
      <c r="AB524" s="107"/>
      <c r="AC524" s="107"/>
      <c r="AD524" s="107"/>
      <c r="AE524" s="107"/>
      <c r="AF524" s="107"/>
      <c r="AG524" s="107"/>
      <c r="AH524" s="107"/>
      <c r="AI524" s="107"/>
      <c r="AJ524" s="107"/>
      <c r="AK524" s="107"/>
      <c r="AL524" s="107"/>
      <c r="AM524" s="107"/>
      <c r="AN524" s="107"/>
      <c r="AO524" s="107"/>
      <c r="AP524" s="107"/>
      <c r="AQ524" s="107"/>
      <c r="AR524" s="107"/>
      <c r="AS524" s="107"/>
      <c r="AT524" s="107"/>
      <c r="AU524" s="107"/>
      <c r="AV524" s="107"/>
      <c r="AW524" s="107"/>
      <c r="AX524" s="107"/>
      <c r="AY524" s="107"/>
      <c r="AZ524" s="107"/>
      <c r="BA524" s="107"/>
      <c r="BB524" s="107"/>
      <c r="BC524" s="107"/>
      <c r="BD524" s="107"/>
      <c r="BE524" s="107"/>
      <c r="BF524" s="107"/>
      <c r="BG524" s="107"/>
      <c r="BH524" s="107"/>
    </row>
    <row r="525" spans="1:60" x14ac:dyDescent="0.25">
      <c r="A525" s="96"/>
      <c r="B525" s="97"/>
      <c r="C525" s="97"/>
      <c r="D525" s="97"/>
      <c r="E525" s="98"/>
      <c r="F525" s="99" t="str">
        <f>IF(H525&lt;&gt;"",H525-Accueil!N$6+1/60/24,"")</f>
        <v/>
      </c>
      <c r="G525" s="97"/>
      <c r="H525" s="99"/>
      <c r="I525" s="99"/>
      <c r="J525" s="100"/>
      <c r="K525" s="101"/>
      <c r="L525" s="102"/>
      <c r="M525" s="103"/>
      <c r="N525" s="104"/>
      <c r="O525" s="97"/>
      <c r="P525" s="97"/>
      <c r="Q525" s="97"/>
      <c r="R525" s="105"/>
      <c r="S525" s="97"/>
      <c r="T525" s="97"/>
      <c r="U525" s="97" t="str">
        <f t="shared" si="11"/>
        <v/>
      </c>
      <c r="V525" s="97"/>
      <c r="W525" s="97"/>
      <c r="X525" s="97"/>
      <c r="Y525" s="97"/>
      <c r="Z525" s="97"/>
      <c r="AA525" s="97"/>
      <c r="AB525" s="97"/>
      <c r="AC525" s="97"/>
      <c r="AD525" s="97"/>
      <c r="AE525" s="97"/>
      <c r="AF525" s="97"/>
      <c r="AG525" s="97"/>
      <c r="AH525" s="97"/>
      <c r="AI525" s="97"/>
      <c r="AJ525" s="97"/>
      <c r="AK525" s="97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  <c r="AX525" s="97"/>
      <c r="AY525" s="97"/>
      <c r="AZ525" s="97"/>
      <c r="BA525" s="97"/>
      <c r="BB525" s="97"/>
      <c r="BC525" s="97"/>
      <c r="BD525" s="97"/>
      <c r="BE525" s="97"/>
      <c r="BF525" s="97"/>
      <c r="BG525" s="97"/>
      <c r="BH525" s="97"/>
    </row>
    <row r="526" spans="1:60" x14ac:dyDescent="0.25">
      <c r="A526" s="106"/>
      <c r="B526" s="107"/>
      <c r="C526" s="107"/>
      <c r="D526" s="107"/>
      <c r="E526" s="108"/>
      <c r="F526" s="109" t="str">
        <f>IF(H526&lt;&gt;"",H526-Accueil!N$6+1/60/24,"")</f>
        <v/>
      </c>
      <c r="G526" s="107"/>
      <c r="H526" s="109"/>
      <c r="I526" s="110"/>
      <c r="J526" s="110"/>
      <c r="K526" s="111"/>
      <c r="L526" s="112"/>
      <c r="M526" s="113"/>
      <c r="N526" s="114"/>
      <c r="O526" s="107"/>
      <c r="P526" s="107"/>
      <c r="Q526" s="115"/>
      <c r="R526" s="116"/>
      <c r="S526" s="107"/>
      <c r="T526" s="107"/>
      <c r="U526" s="107" t="str">
        <f t="shared" si="11"/>
        <v/>
      </c>
      <c r="V526" s="107"/>
      <c r="W526" s="107"/>
      <c r="X526" s="107"/>
      <c r="Y526" s="107"/>
      <c r="Z526" s="107"/>
      <c r="AA526" s="107"/>
      <c r="AB526" s="107"/>
      <c r="AC526" s="107"/>
      <c r="AD526" s="107"/>
      <c r="AE526" s="107"/>
      <c r="AF526" s="107"/>
      <c r="AG526" s="107"/>
      <c r="AH526" s="107"/>
      <c r="AI526" s="107"/>
      <c r="AJ526" s="107"/>
      <c r="AK526" s="107"/>
      <c r="AL526" s="107"/>
      <c r="AM526" s="107"/>
      <c r="AN526" s="107"/>
      <c r="AO526" s="107"/>
      <c r="AP526" s="107"/>
      <c r="AQ526" s="107"/>
      <c r="AR526" s="107"/>
      <c r="AS526" s="107"/>
      <c r="AT526" s="107"/>
      <c r="AU526" s="107"/>
      <c r="AV526" s="107"/>
      <c r="AW526" s="107"/>
      <c r="AX526" s="107"/>
      <c r="AY526" s="107"/>
      <c r="AZ526" s="107"/>
      <c r="BA526" s="107"/>
      <c r="BB526" s="107"/>
      <c r="BC526" s="107"/>
      <c r="BD526" s="107"/>
      <c r="BE526" s="107"/>
      <c r="BF526" s="107"/>
      <c r="BG526" s="107"/>
      <c r="BH526" s="107"/>
    </row>
    <row r="527" spans="1:60" x14ac:dyDescent="0.25">
      <c r="A527" s="96"/>
      <c r="B527" s="97"/>
      <c r="C527" s="97"/>
      <c r="D527" s="97"/>
      <c r="E527" s="98"/>
      <c r="F527" s="99" t="str">
        <f>IF(H527&lt;&gt;"",H527-Accueil!N$6+1/60/24,"")</f>
        <v/>
      </c>
      <c r="G527" s="97"/>
      <c r="H527" s="99"/>
      <c r="I527" s="99"/>
      <c r="J527" s="100"/>
      <c r="K527" s="101"/>
      <c r="L527" s="102"/>
      <c r="M527" s="103"/>
      <c r="N527" s="104"/>
      <c r="O527" s="97"/>
      <c r="P527" s="97"/>
      <c r="Q527" s="97"/>
      <c r="R527" s="105"/>
      <c r="S527" s="97"/>
      <c r="T527" s="97"/>
      <c r="U527" s="97" t="str">
        <f t="shared" si="11"/>
        <v/>
      </c>
      <c r="V527" s="97"/>
      <c r="W527" s="97"/>
      <c r="X527" s="97"/>
      <c r="Y527" s="97"/>
      <c r="Z527" s="97"/>
      <c r="AA527" s="97"/>
      <c r="AB527" s="97"/>
      <c r="AC527" s="97"/>
      <c r="AD527" s="97"/>
      <c r="AE527" s="97"/>
      <c r="AF527" s="97"/>
      <c r="AG527" s="97"/>
      <c r="AH527" s="97"/>
      <c r="AI527" s="97"/>
      <c r="AJ527" s="97"/>
      <c r="AK527" s="97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  <c r="AX527" s="97"/>
      <c r="AY527" s="97"/>
      <c r="AZ527" s="97"/>
      <c r="BA527" s="97"/>
      <c r="BB527" s="97"/>
      <c r="BC527" s="97"/>
      <c r="BD527" s="97"/>
      <c r="BE527" s="97"/>
      <c r="BF527" s="97"/>
      <c r="BG527" s="97"/>
      <c r="BH527" s="97"/>
    </row>
    <row r="528" spans="1:60" x14ac:dyDescent="0.25">
      <c r="A528" s="106"/>
      <c r="B528" s="107"/>
      <c r="C528" s="107"/>
      <c r="D528" s="107"/>
      <c r="E528" s="108"/>
      <c r="F528" s="109" t="str">
        <f>IF(H528&lt;&gt;"",H528-Accueil!N$6+1/60/24,"")</f>
        <v/>
      </c>
      <c r="G528" s="107"/>
      <c r="H528" s="109"/>
      <c r="I528" s="110"/>
      <c r="J528" s="110"/>
      <c r="K528" s="111"/>
      <c r="L528" s="112"/>
      <c r="M528" s="113"/>
      <c r="N528" s="114"/>
      <c r="O528" s="107"/>
      <c r="P528" s="107"/>
      <c r="Q528" s="115"/>
      <c r="R528" s="116"/>
      <c r="S528" s="107"/>
      <c r="T528" s="107"/>
      <c r="U528" s="107" t="str">
        <f t="shared" si="11"/>
        <v/>
      </c>
      <c r="V528" s="107"/>
      <c r="W528" s="107"/>
      <c r="X528" s="107"/>
      <c r="Y528" s="107"/>
      <c r="Z528" s="107"/>
      <c r="AA528" s="107"/>
      <c r="AB528" s="107"/>
      <c r="AC528" s="107"/>
      <c r="AD528" s="107"/>
      <c r="AE528" s="107"/>
      <c r="AF528" s="107"/>
      <c r="AG528" s="107"/>
      <c r="AH528" s="107"/>
      <c r="AI528" s="107"/>
      <c r="AJ528" s="107"/>
      <c r="AK528" s="107"/>
      <c r="AL528" s="107"/>
      <c r="AM528" s="107"/>
      <c r="AN528" s="107"/>
      <c r="AO528" s="107"/>
      <c r="AP528" s="107"/>
      <c r="AQ528" s="107"/>
      <c r="AR528" s="107"/>
      <c r="AS528" s="107"/>
      <c r="AT528" s="107"/>
      <c r="AU528" s="107"/>
      <c r="AV528" s="107"/>
      <c r="AW528" s="107"/>
      <c r="AX528" s="107"/>
      <c r="AY528" s="107"/>
      <c r="AZ528" s="107"/>
      <c r="BA528" s="107"/>
      <c r="BB528" s="107"/>
      <c r="BC528" s="107"/>
      <c r="BD528" s="107"/>
      <c r="BE528" s="107"/>
      <c r="BF528" s="107"/>
      <c r="BG528" s="107"/>
      <c r="BH528" s="107"/>
    </row>
    <row r="529" spans="1:60" x14ac:dyDescent="0.25">
      <c r="A529" s="96"/>
      <c r="B529" s="97"/>
      <c r="C529" s="97"/>
      <c r="D529" s="97"/>
      <c r="E529" s="98"/>
      <c r="F529" s="99" t="str">
        <f>IF(H529&lt;&gt;"",H529-Accueil!N$6+1/60/24,"")</f>
        <v/>
      </c>
      <c r="G529" s="97"/>
      <c r="H529" s="99"/>
      <c r="I529" s="99"/>
      <c r="J529" s="100"/>
      <c r="K529" s="101"/>
      <c r="L529" s="102"/>
      <c r="M529" s="103"/>
      <c r="N529" s="104"/>
      <c r="O529" s="97"/>
      <c r="P529" s="97"/>
      <c r="Q529" s="97"/>
      <c r="R529" s="105"/>
      <c r="S529" s="97"/>
      <c r="T529" s="97"/>
      <c r="U529" s="97" t="str">
        <f t="shared" si="11"/>
        <v/>
      </c>
      <c r="V529" s="97"/>
      <c r="W529" s="97"/>
      <c r="X529" s="97"/>
      <c r="Y529" s="97"/>
      <c r="Z529" s="97"/>
      <c r="AA529" s="97"/>
      <c r="AB529" s="97"/>
      <c r="AC529" s="97"/>
      <c r="AD529" s="97"/>
      <c r="AE529" s="97"/>
      <c r="AF529" s="97"/>
      <c r="AG529" s="97"/>
      <c r="AH529" s="97"/>
      <c r="AI529" s="97"/>
      <c r="AJ529" s="97"/>
      <c r="AK529" s="97"/>
      <c r="AL529" s="97"/>
      <c r="AM529" s="97"/>
      <c r="AN529" s="97"/>
      <c r="AO529" s="97"/>
      <c r="AP529" s="97"/>
      <c r="AQ529" s="97"/>
      <c r="AR529" s="97"/>
      <c r="AS529" s="97"/>
      <c r="AT529" s="97"/>
      <c r="AU529" s="97"/>
      <c r="AV529" s="97"/>
      <c r="AW529" s="97"/>
      <c r="AX529" s="97"/>
      <c r="AY529" s="97"/>
      <c r="AZ529" s="97"/>
      <c r="BA529" s="97"/>
      <c r="BB529" s="97"/>
      <c r="BC529" s="97"/>
      <c r="BD529" s="97"/>
      <c r="BE529" s="97"/>
      <c r="BF529" s="97"/>
      <c r="BG529" s="97"/>
      <c r="BH529" s="97"/>
    </row>
    <row r="530" spans="1:60" x14ac:dyDescent="0.25">
      <c r="A530" s="106"/>
      <c r="B530" s="107"/>
      <c r="C530" s="107"/>
      <c r="D530" s="107"/>
      <c r="E530" s="108"/>
      <c r="F530" s="109" t="str">
        <f>IF(H530&lt;&gt;"",H530-Accueil!N$6+1/60/24,"")</f>
        <v/>
      </c>
      <c r="G530" s="107"/>
      <c r="H530" s="109"/>
      <c r="I530" s="110"/>
      <c r="J530" s="110"/>
      <c r="K530" s="111"/>
      <c r="L530" s="112"/>
      <c r="M530" s="113"/>
      <c r="N530" s="114"/>
      <c r="O530" s="107"/>
      <c r="P530" s="107"/>
      <c r="Q530" s="115"/>
      <c r="R530" s="116"/>
      <c r="S530" s="107"/>
      <c r="T530" s="107"/>
      <c r="U530" s="107" t="str">
        <f t="shared" si="11"/>
        <v/>
      </c>
      <c r="V530" s="107"/>
      <c r="W530" s="107"/>
      <c r="X530" s="107"/>
      <c r="Y530" s="107"/>
      <c r="Z530" s="107"/>
      <c r="AA530" s="107"/>
      <c r="AB530" s="107"/>
      <c r="AC530" s="107"/>
      <c r="AD530" s="107"/>
      <c r="AE530" s="107"/>
      <c r="AF530" s="107"/>
      <c r="AG530" s="107"/>
      <c r="AH530" s="107"/>
      <c r="AI530" s="107"/>
      <c r="AJ530" s="107"/>
      <c r="AK530" s="107"/>
      <c r="AL530" s="107"/>
      <c r="AM530" s="107"/>
      <c r="AN530" s="107"/>
      <c r="AO530" s="107"/>
      <c r="AP530" s="107"/>
      <c r="AQ530" s="107"/>
      <c r="AR530" s="107"/>
      <c r="AS530" s="107"/>
      <c r="AT530" s="107"/>
      <c r="AU530" s="107"/>
      <c r="AV530" s="107"/>
      <c r="AW530" s="107"/>
      <c r="AX530" s="107"/>
      <c r="AY530" s="107"/>
      <c r="AZ530" s="107"/>
      <c r="BA530" s="107"/>
      <c r="BB530" s="107"/>
      <c r="BC530" s="107"/>
      <c r="BD530" s="107"/>
      <c r="BE530" s="107"/>
      <c r="BF530" s="107"/>
      <c r="BG530" s="107"/>
      <c r="BH530" s="107"/>
    </row>
    <row r="531" spans="1:60" x14ac:dyDescent="0.25">
      <c r="A531" s="96"/>
      <c r="B531" s="97"/>
      <c r="C531" s="97"/>
      <c r="D531" s="97"/>
      <c r="E531" s="98"/>
      <c r="F531" s="99" t="str">
        <f>IF(H531&lt;&gt;"",H531-Accueil!N$6+1/60/24,"")</f>
        <v/>
      </c>
      <c r="G531" s="97"/>
      <c r="H531" s="99"/>
      <c r="I531" s="99"/>
      <c r="J531" s="100"/>
      <c r="K531" s="101"/>
      <c r="L531" s="102"/>
      <c r="M531" s="103"/>
      <c r="N531" s="104"/>
      <c r="O531" s="97"/>
      <c r="P531" s="97"/>
      <c r="Q531" s="97"/>
      <c r="R531" s="105"/>
      <c r="S531" s="97"/>
      <c r="T531" s="97"/>
      <c r="U531" s="97" t="str">
        <f t="shared" si="11"/>
        <v/>
      </c>
      <c r="V531" s="97"/>
      <c r="W531" s="97"/>
      <c r="X531" s="97"/>
      <c r="Y531" s="97"/>
      <c r="Z531" s="97"/>
      <c r="AA531" s="97"/>
      <c r="AB531" s="97"/>
      <c r="AC531" s="97"/>
      <c r="AD531" s="97"/>
      <c r="AE531" s="97"/>
      <c r="AF531" s="97"/>
      <c r="AG531" s="97"/>
      <c r="AH531" s="97"/>
      <c r="AI531" s="97"/>
      <c r="AJ531" s="97"/>
      <c r="AK531" s="97"/>
      <c r="AL531" s="97"/>
      <c r="AM531" s="97"/>
      <c r="AN531" s="97"/>
      <c r="AO531" s="97"/>
      <c r="AP531" s="97"/>
      <c r="AQ531" s="97"/>
      <c r="AR531" s="97"/>
      <c r="AS531" s="97"/>
      <c r="AT531" s="97"/>
      <c r="AU531" s="97"/>
      <c r="AV531" s="97"/>
      <c r="AW531" s="97"/>
      <c r="AX531" s="97"/>
      <c r="AY531" s="97"/>
      <c r="AZ531" s="97"/>
      <c r="BA531" s="97"/>
      <c r="BB531" s="97"/>
      <c r="BC531" s="97"/>
      <c r="BD531" s="97"/>
      <c r="BE531" s="97"/>
      <c r="BF531" s="97"/>
      <c r="BG531" s="97"/>
      <c r="BH531" s="97"/>
    </row>
    <row r="532" spans="1:60" x14ac:dyDescent="0.25">
      <c r="A532" s="106"/>
      <c r="B532" s="107"/>
      <c r="C532" s="107"/>
      <c r="D532" s="107"/>
      <c r="E532" s="108"/>
      <c r="F532" s="109" t="str">
        <f>IF(H532&lt;&gt;"",H532-Accueil!N$6+1/60/24,"")</f>
        <v/>
      </c>
      <c r="G532" s="107"/>
      <c r="H532" s="109"/>
      <c r="I532" s="110"/>
      <c r="J532" s="110"/>
      <c r="K532" s="111"/>
      <c r="L532" s="112"/>
      <c r="M532" s="113"/>
      <c r="N532" s="114"/>
      <c r="O532" s="107"/>
      <c r="P532" s="107"/>
      <c r="Q532" s="115"/>
      <c r="R532" s="116"/>
      <c r="S532" s="107"/>
      <c r="T532" s="107"/>
      <c r="U532" s="107" t="str">
        <f t="shared" si="11"/>
        <v/>
      </c>
      <c r="V532" s="107"/>
      <c r="W532" s="107"/>
      <c r="X532" s="107"/>
      <c r="Y532" s="107"/>
      <c r="Z532" s="107"/>
      <c r="AA532" s="107"/>
      <c r="AB532" s="107"/>
      <c r="AC532" s="107"/>
      <c r="AD532" s="107"/>
      <c r="AE532" s="107"/>
      <c r="AF532" s="107"/>
      <c r="AG532" s="107"/>
      <c r="AH532" s="107"/>
      <c r="AI532" s="107"/>
      <c r="AJ532" s="107"/>
      <c r="AK532" s="107"/>
      <c r="AL532" s="107"/>
      <c r="AM532" s="107"/>
      <c r="AN532" s="107"/>
      <c r="AO532" s="107"/>
      <c r="AP532" s="107"/>
      <c r="AQ532" s="107"/>
      <c r="AR532" s="107"/>
      <c r="AS532" s="107"/>
      <c r="AT532" s="107"/>
      <c r="AU532" s="107"/>
      <c r="AV532" s="107"/>
      <c r="AW532" s="107"/>
      <c r="AX532" s="107"/>
      <c r="AY532" s="107"/>
      <c r="AZ532" s="107"/>
      <c r="BA532" s="107"/>
      <c r="BB532" s="107"/>
      <c r="BC532" s="107"/>
      <c r="BD532" s="107"/>
      <c r="BE532" s="107"/>
      <c r="BF532" s="107"/>
      <c r="BG532" s="107"/>
      <c r="BH532" s="107"/>
    </row>
    <row r="533" spans="1:60" x14ac:dyDescent="0.25">
      <c r="A533" s="96"/>
      <c r="B533" s="97"/>
      <c r="C533" s="97"/>
      <c r="D533" s="97"/>
      <c r="E533" s="98"/>
      <c r="F533" s="99" t="str">
        <f>IF(H533&lt;&gt;"",H533-Accueil!N$6+1/60/24,"")</f>
        <v/>
      </c>
      <c r="G533" s="97"/>
      <c r="H533" s="99"/>
      <c r="I533" s="99"/>
      <c r="J533" s="100"/>
      <c r="K533" s="101"/>
      <c r="L533" s="102"/>
      <c r="M533" s="103"/>
      <c r="N533" s="104"/>
      <c r="O533" s="97"/>
      <c r="P533" s="97"/>
      <c r="Q533" s="97"/>
      <c r="R533" s="105"/>
      <c r="S533" s="97"/>
      <c r="T533" s="97"/>
      <c r="U533" s="97" t="str">
        <f t="shared" si="11"/>
        <v/>
      </c>
      <c r="V533" s="97"/>
      <c r="W533" s="97"/>
      <c r="X533" s="97"/>
      <c r="Y533" s="97"/>
      <c r="Z533" s="97"/>
      <c r="AA533" s="97"/>
      <c r="AB533" s="97"/>
      <c r="AC533" s="97"/>
      <c r="AD533" s="97"/>
      <c r="AE533" s="97"/>
      <c r="AF533" s="97"/>
      <c r="AG533" s="97"/>
      <c r="AH533" s="97"/>
      <c r="AI533" s="97"/>
      <c r="AJ533" s="97"/>
      <c r="AK533" s="97"/>
      <c r="AL533" s="97"/>
      <c r="AM533" s="97"/>
      <c r="AN533" s="97"/>
      <c r="AO533" s="97"/>
      <c r="AP533" s="97"/>
      <c r="AQ533" s="97"/>
      <c r="AR533" s="97"/>
      <c r="AS533" s="97"/>
      <c r="AT533" s="97"/>
      <c r="AU533" s="97"/>
      <c r="AV533" s="97"/>
      <c r="AW533" s="97"/>
      <c r="AX533" s="97"/>
      <c r="AY533" s="97"/>
      <c r="AZ533" s="97"/>
      <c r="BA533" s="97"/>
      <c r="BB533" s="97"/>
      <c r="BC533" s="97"/>
      <c r="BD533" s="97"/>
      <c r="BE533" s="97"/>
      <c r="BF533" s="97"/>
      <c r="BG533" s="97"/>
      <c r="BH533" s="97"/>
    </row>
    <row r="534" spans="1:60" x14ac:dyDescent="0.25">
      <c r="A534" s="106"/>
      <c r="B534" s="107"/>
      <c r="C534" s="107"/>
      <c r="D534" s="107"/>
      <c r="E534" s="108"/>
      <c r="F534" s="109" t="str">
        <f>IF(H534&lt;&gt;"",H534-Accueil!N$6+1/60/24,"")</f>
        <v/>
      </c>
      <c r="G534" s="107"/>
      <c r="H534" s="109"/>
      <c r="I534" s="110"/>
      <c r="J534" s="110"/>
      <c r="K534" s="111"/>
      <c r="L534" s="112"/>
      <c r="M534" s="113"/>
      <c r="N534" s="114"/>
      <c r="O534" s="107"/>
      <c r="P534" s="107"/>
      <c r="Q534" s="115"/>
      <c r="R534" s="116"/>
      <c r="S534" s="107"/>
      <c r="T534" s="107"/>
      <c r="U534" s="107" t="str">
        <f t="shared" si="11"/>
        <v/>
      </c>
      <c r="V534" s="107"/>
      <c r="W534" s="107"/>
      <c r="X534" s="107"/>
      <c r="Y534" s="107"/>
      <c r="Z534" s="107"/>
      <c r="AA534" s="107"/>
      <c r="AB534" s="107"/>
      <c r="AC534" s="107"/>
      <c r="AD534" s="107"/>
      <c r="AE534" s="107"/>
      <c r="AF534" s="107"/>
      <c r="AG534" s="107"/>
      <c r="AH534" s="107"/>
      <c r="AI534" s="107"/>
      <c r="AJ534" s="107"/>
      <c r="AK534" s="107"/>
      <c r="AL534" s="107"/>
      <c r="AM534" s="107"/>
      <c r="AN534" s="107"/>
      <c r="AO534" s="107"/>
      <c r="AP534" s="107"/>
      <c r="AQ534" s="107"/>
      <c r="AR534" s="107"/>
      <c r="AS534" s="107"/>
      <c r="AT534" s="107"/>
      <c r="AU534" s="107"/>
      <c r="AV534" s="107"/>
      <c r="AW534" s="107"/>
      <c r="AX534" s="107"/>
      <c r="AY534" s="107"/>
      <c r="AZ534" s="107"/>
      <c r="BA534" s="107"/>
      <c r="BB534" s="107"/>
      <c r="BC534" s="107"/>
      <c r="BD534" s="107"/>
      <c r="BE534" s="107"/>
      <c r="BF534" s="107"/>
      <c r="BG534" s="107"/>
      <c r="BH534" s="107"/>
    </row>
    <row r="535" spans="1:60" x14ac:dyDescent="0.25">
      <c r="A535" s="96"/>
      <c r="B535" s="97"/>
      <c r="C535" s="97"/>
      <c r="D535" s="97"/>
      <c r="E535" s="98"/>
      <c r="F535" s="99" t="str">
        <f>IF(H535&lt;&gt;"",H535-Accueil!N$6+1/60/24,"")</f>
        <v/>
      </c>
      <c r="G535" s="97"/>
      <c r="H535" s="99"/>
      <c r="I535" s="99"/>
      <c r="J535" s="100"/>
      <c r="K535" s="101"/>
      <c r="L535" s="102"/>
      <c r="M535" s="103"/>
      <c r="N535" s="104"/>
      <c r="O535" s="97"/>
      <c r="P535" s="97"/>
      <c r="Q535" s="97"/>
      <c r="R535" s="105"/>
      <c r="S535" s="97"/>
      <c r="T535" s="97"/>
      <c r="U535" s="97" t="str">
        <f t="shared" si="11"/>
        <v/>
      </c>
      <c r="V535" s="97"/>
      <c r="W535" s="97"/>
      <c r="X535" s="97"/>
      <c r="Y535" s="97"/>
      <c r="Z535" s="97"/>
      <c r="AA535" s="97"/>
      <c r="AB535" s="97"/>
      <c r="AC535" s="97"/>
      <c r="AD535" s="97"/>
      <c r="AE535" s="97"/>
      <c r="AF535" s="97"/>
      <c r="AG535" s="97"/>
      <c r="AH535" s="97"/>
      <c r="AI535" s="97"/>
      <c r="AJ535" s="97"/>
      <c r="AK535" s="97"/>
      <c r="AL535" s="97"/>
      <c r="AM535" s="97"/>
      <c r="AN535" s="97"/>
      <c r="AO535" s="97"/>
      <c r="AP535" s="97"/>
      <c r="AQ535" s="97"/>
      <c r="AR535" s="97"/>
      <c r="AS535" s="97"/>
      <c r="AT535" s="97"/>
      <c r="AU535" s="97"/>
      <c r="AV535" s="97"/>
      <c r="AW535" s="97"/>
      <c r="AX535" s="97"/>
      <c r="AY535" s="97"/>
      <c r="AZ535" s="97"/>
      <c r="BA535" s="97"/>
      <c r="BB535" s="97"/>
      <c r="BC535" s="97"/>
      <c r="BD535" s="97"/>
      <c r="BE535" s="97"/>
      <c r="BF535" s="97"/>
      <c r="BG535" s="97"/>
      <c r="BH535" s="97"/>
    </row>
    <row r="536" spans="1:60" x14ac:dyDescent="0.25">
      <c r="A536" s="106"/>
      <c r="B536" s="107"/>
      <c r="C536" s="107"/>
      <c r="D536" s="107"/>
      <c r="E536" s="108"/>
      <c r="F536" s="109" t="str">
        <f>IF(H536&lt;&gt;"",H536-Accueil!N$6+1/60/24,"")</f>
        <v/>
      </c>
      <c r="G536" s="107"/>
      <c r="H536" s="109"/>
      <c r="I536" s="110"/>
      <c r="J536" s="110"/>
      <c r="K536" s="111"/>
      <c r="L536" s="112"/>
      <c r="M536" s="113"/>
      <c r="N536" s="114"/>
      <c r="O536" s="107"/>
      <c r="P536" s="107"/>
      <c r="Q536" s="115"/>
      <c r="R536" s="116"/>
      <c r="S536" s="107"/>
      <c r="T536" s="107"/>
      <c r="U536" s="107" t="str">
        <f t="shared" si="11"/>
        <v/>
      </c>
      <c r="V536" s="107"/>
      <c r="W536" s="107"/>
      <c r="X536" s="107"/>
      <c r="Y536" s="107"/>
      <c r="Z536" s="107"/>
      <c r="AA536" s="107"/>
      <c r="AB536" s="107"/>
      <c r="AC536" s="107"/>
      <c r="AD536" s="107"/>
      <c r="AE536" s="107"/>
      <c r="AF536" s="107"/>
      <c r="AG536" s="107"/>
      <c r="AH536" s="107"/>
      <c r="AI536" s="107"/>
      <c r="AJ536" s="107"/>
      <c r="AK536" s="107"/>
      <c r="AL536" s="107"/>
      <c r="AM536" s="107"/>
      <c r="AN536" s="107"/>
      <c r="AO536" s="107"/>
      <c r="AP536" s="107"/>
      <c r="AQ536" s="107"/>
      <c r="AR536" s="107"/>
      <c r="AS536" s="107"/>
      <c r="AT536" s="107"/>
      <c r="AU536" s="107"/>
      <c r="AV536" s="107"/>
      <c r="AW536" s="107"/>
      <c r="AX536" s="107"/>
      <c r="AY536" s="107"/>
      <c r="AZ536" s="107"/>
      <c r="BA536" s="107"/>
      <c r="BB536" s="107"/>
      <c r="BC536" s="107"/>
      <c r="BD536" s="107"/>
      <c r="BE536" s="107"/>
      <c r="BF536" s="107"/>
      <c r="BG536" s="107"/>
      <c r="BH536" s="107"/>
    </row>
    <row r="537" spans="1:60" x14ac:dyDescent="0.25">
      <c r="A537" s="96"/>
      <c r="B537" s="97"/>
      <c r="C537" s="97"/>
      <c r="D537" s="97"/>
      <c r="E537" s="98"/>
      <c r="F537" s="99" t="str">
        <f>IF(H537&lt;&gt;"",H537-Accueil!N$6+1/60/24,"")</f>
        <v/>
      </c>
      <c r="G537" s="97"/>
      <c r="H537" s="99"/>
      <c r="I537" s="99"/>
      <c r="J537" s="100"/>
      <c r="K537" s="101"/>
      <c r="L537" s="102"/>
      <c r="M537" s="103"/>
      <c r="N537" s="104"/>
      <c r="O537" s="97"/>
      <c r="P537" s="97"/>
      <c r="Q537" s="97"/>
      <c r="R537" s="105"/>
      <c r="S537" s="97"/>
      <c r="T537" s="97"/>
      <c r="U537" s="97" t="str">
        <f t="shared" si="11"/>
        <v/>
      </c>
      <c r="V537" s="97"/>
      <c r="W537" s="97"/>
      <c r="X537" s="97"/>
      <c r="Y537" s="97"/>
      <c r="Z537" s="97"/>
      <c r="AA537" s="97"/>
      <c r="AB537" s="97"/>
      <c r="AC537" s="97"/>
      <c r="AD537" s="97"/>
      <c r="AE537" s="97"/>
      <c r="AF537" s="97"/>
      <c r="AG537" s="97"/>
      <c r="AH537" s="97"/>
      <c r="AI537" s="97"/>
      <c r="AJ537" s="97"/>
      <c r="AK537" s="97"/>
      <c r="AL537" s="97"/>
      <c r="AM537" s="97"/>
      <c r="AN537" s="97"/>
      <c r="AO537" s="97"/>
      <c r="AP537" s="97"/>
      <c r="AQ537" s="97"/>
      <c r="AR537" s="97"/>
      <c r="AS537" s="97"/>
      <c r="AT537" s="97"/>
      <c r="AU537" s="97"/>
      <c r="AV537" s="97"/>
      <c r="AW537" s="97"/>
      <c r="AX537" s="97"/>
      <c r="AY537" s="97"/>
      <c r="AZ537" s="97"/>
      <c r="BA537" s="97"/>
      <c r="BB537" s="97"/>
      <c r="BC537" s="97"/>
      <c r="BD537" s="97"/>
      <c r="BE537" s="97"/>
      <c r="BF537" s="97"/>
      <c r="BG537" s="97"/>
      <c r="BH537" s="97"/>
    </row>
    <row r="538" spans="1:60" x14ac:dyDescent="0.25">
      <c r="A538" s="106"/>
      <c r="B538" s="107"/>
      <c r="C538" s="107"/>
      <c r="D538" s="107"/>
      <c r="E538" s="108"/>
      <c r="F538" s="109" t="str">
        <f>IF(H538&lt;&gt;"",H538-Accueil!N$6+1/60/24,"")</f>
        <v/>
      </c>
      <c r="G538" s="107"/>
      <c r="H538" s="109"/>
      <c r="I538" s="110"/>
      <c r="J538" s="110"/>
      <c r="K538" s="111"/>
      <c r="L538" s="112"/>
      <c r="M538" s="113"/>
      <c r="N538" s="114"/>
      <c r="O538" s="107"/>
      <c r="P538" s="107"/>
      <c r="Q538" s="115"/>
      <c r="R538" s="116"/>
      <c r="S538" s="107"/>
      <c r="T538" s="107"/>
      <c r="U538" s="107" t="str">
        <f t="shared" si="11"/>
        <v/>
      </c>
      <c r="V538" s="107"/>
      <c r="W538" s="107"/>
      <c r="X538" s="107"/>
      <c r="Y538" s="107"/>
      <c r="Z538" s="107"/>
      <c r="AA538" s="107"/>
      <c r="AB538" s="107"/>
      <c r="AC538" s="107"/>
      <c r="AD538" s="107"/>
      <c r="AE538" s="107"/>
      <c r="AF538" s="107"/>
      <c r="AG538" s="107"/>
      <c r="AH538" s="107"/>
      <c r="AI538" s="107"/>
      <c r="AJ538" s="107"/>
      <c r="AK538" s="107"/>
      <c r="AL538" s="107"/>
      <c r="AM538" s="107"/>
      <c r="AN538" s="107"/>
      <c r="AO538" s="107"/>
      <c r="AP538" s="107"/>
      <c r="AQ538" s="107"/>
      <c r="AR538" s="107"/>
      <c r="AS538" s="107"/>
      <c r="AT538" s="107"/>
      <c r="AU538" s="107"/>
      <c r="AV538" s="107"/>
      <c r="AW538" s="107"/>
      <c r="AX538" s="107"/>
      <c r="AY538" s="107"/>
      <c r="AZ538" s="107"/>
      <c r="BA538" s="107"/>
      <c r="BB538" s="107"/>
      <c r="BC538" s="107"/>
      <c r="BD538" s="107"/>
      <c r="BE538" s="107"/>
      <c r="BF538" s="107"/>
      <c r="BG538" s="107"/>
      <c r="BH538" s="107"/>
    </row>
    <row r="539" spans="1:60" x14ac:dyDescent="0.25">
      <c r="A539" s="96"/>
      <c r="B539" s="97"/>
      <c r="C539" s="97"/>
      <c r="D539" s="97"/>
      <c r="E539" s="98"/>
      <c r="F539" s="99" t="str">
        <f>IF(H539&lt;&gt;"",H539-Accueil!N$6+1/60/24,"")</f>
        <v/>
      </c>
      <c r="G539" s="97"/>
      <c r="H539" s="99"/>
      <c r="I539" s="99"/>
      <c r="J539" s="100"/>
      <c r="K539" s="101"/>
      <c r="L539" s="102"/>
      <c r="M539" s="103"/>
      <c r="N539" s="104"/>
      <c r="O539" s="97"/>
      <c r="P539" s="97"/>
      <c r="Q539" s="97"/>
      <c r="R539" s="105"/>
      <c r="S539" s="97"/>
      <c r="T539" s="97"/>
      <c r="U539" s="97" t="str">
        <f t="shared" si="11"/>
        <v/>
      </c>
      <c r="V539" s="97"/>
      <c r="W539" s="97"/>
      <c r="X539" s="97"/>
      <c r="Y539" s="97"/>
      <c r="Z539" s="97"/>
      <c r="AA539" s="97"/>
      <c r="AB539" s="97"/>
      <c r="AC539" s="97"/>
      <c r="AD539" s="97"/>
      <c r="AE539" s="97"/>
      <c r="AF539" s="97"/>
      <c r="AG539" s="97"/>
      <c r="AH539" s="97"/>
      <c r="AI539" s="97"/>
      <c r="AJ539" s="97"/>
      <c r="AK539" s="97"/>
      <c r="AL539" s="97"/>
      <c r="AM539" s="97"/>
      <c r="AN539" s="97"/>
      <c r="AO539" s="97"/>
      <c r="AP539" s="97"/>
      <c r="AQ539" s="97"/>
      <c r="AR539" s="97"/>
      <c r="AS539" s="97"/>
      <c r="AT539" s="97"/>
      <c r="AU539" s="97"/>
      <c r="AV539" s="97"/>
      <c r="AW539" s="97"/>
      <c r="AX539" s="97"/>
      <c r="AY539" s="97"/>
      <c r="AZ539" s="97"/>
      <c r="BA539" s="97"/>
      <c r="BB539" s="97"/>
      <c r="BC539" s="97"/>
      <c r="BD539" s="97"/>
      <c r="BE539" s="97"/>
      <c r="BF539" s="97"/>
      <c r="BG539" s="97"/>
      <c r="BH539" s="97"/>
    </row>
    <row r="540" spans="1:60" x14ac:dyDescent="0.25">
      <c r="A540" s="106"/>
      <c r="B540" s="107"/>
      <c r="C540" s="107"/>
      <c r="D540" s="107"/>
      <c r="E540" s="108"/>
      <c r="F540" s="109" t="str">
        <f>IF(H540&lt;&gt;"",H540-Accueil!N$6+1/60/24,"")</f>
        <v/>
      </c>
      <c r="G540" s="107"/>
      <c r="H540" s="109"/>
      <c r="I540" s="110"/>
      <c r="J540" s="110"/>
      <c r="K540" s="111"/>
      <c r="L540" s="112"/>
      <c r="M540" s="113"/>
      <c r="N540" s="114"/>
      <c r="O540" s="107"/>
      <c r="P540" s="107"/>
      <c r="Q540" s="115"/>
      <c r="R540" s="116"/>
      <c r="S540" s="107"/>
      <c r="T540" s="107"/>
      <c r="U540" s="107" t="str">
        <f t="shared" si="11"/>
        <v/>
      </c>
      <c r="V540" s="107"/>
      <c r="W540" s="107"/>
      <c r="X540" s="107"/>
      <c r="Y540" s="107"/>
      <c r="Z540" s="107"/>
      <c r="AA540" s="107"/>
      <c r="AB540" s="107"/>
      <c r="AC540" s="107"/>
      <c r="AD540" s="107"/>
      <c r="AE540" s="107"/>
      <c r="AF540" s="107"/>
      <c r="AG540" s="107"/>
      <c r="AH540" s="107"/>
      <c r="AI540" s="107"/>
      <c r="AJ540" s="107"/>
      <c r="AK540" s="107"/>
      <c r="AL540" s="107"/>
      <c r="AM540" s="107"/>
      <c r="AN540" s="107"/>
      <c r="AO540" s="107"/>
      <c r="AP540" s="107"/>
      <c r="AQ540" s="107"/>
      <c r="AR540" s="107"/>
      <c r="AS540" s="107"/>
      <c r="AT540" s="107"/>
      <c r="AU540" s="107"/>
      <c r="AV540" s="107"/>
      <c r="AW540" s="107"/>
      <c r="AX540" s="107"/>
      <c r="AY540" s="107"/>
      <c r="AZ540" s="107"/>
      <c r="BA540" s="107"/>
      <c r="BB540" s="107"/>
      <c r="BC540" s="107"/>
      <c r="BD540" s="107"/>
      <c r="BE540" s="107"/>
      <c r="BF540" s="107"/>
      <c r="BG540" s="107"/>
      <c r="BH540" s="107"/>
    </row>
    <row r="541" spans="1:60" x14ac:dyDescent="0.25">
      <c r="A541" s="96"/>
      <c r="B541" s="97"/>
      <c r="C541" s="97"/>
      <c r="D541" s="97"/>
      <c r="E541" s="98"/>
      <c r="F541" s="99" t="str">
        <f>IF(H541&lt;&gt;"",H541-Accueil!N$6+1/60/24,"")</f>
        <v/>
      </c>
      <c r="G541" s="97"/>
      <c r="H541" s="99"/>
      <c r="I541" s="99"/>
      <c r="J541" s="100"/>
      <c r="K541" s="101"/>
      <c r="L541" s="102"/>
      <c r="M541" s="103"/>
      <c r="N541" s="104"/>
      <c r="O541" s="97"/>
      <c r="P541" s="97"/>
      <c r="Q541" s="97"/>
      <c r="R541" s="105"/>
      <c r="S541" s="97"/>
      <c r="T541" s="97"/>
      <c r="U541" s="97" t="str">
        <f t="shared" si="11"/>
        <v/>
      </c>
      <c r="V541" s="97"/>
      <c r="W541" s="97"/>
      <c r="X541" s="97"/>
      <c r="Y541" s="97"/>
      <c r="Z541" s="97"/>
      <c r="AA541" s="97"/>
      <c r="AB541" s="97"/>
      <c r="AC541" s="97"/>
      <c r="AD541" s="97"/>
      <c r="AE541" s="97"/>
      <c r="AF541" s="97"/>
      <c r="AG541" s="97"/>
      <c r="AH541" s="97"/>
      <c r="AI541" s="97"/>
      <c r="AJ541" s="97"/>
      <c r="AK541" s="97"/>
      <c r="AL541" s="97"/>
      <c r="AM541" s="97"/>
      <c r="AN541" s="97"/>
      <c r="AO541" s="97"/>
      <c r="AP541" s="97"/>
      <c r="AQ541" s="97"/>
      <c r="AR541" s="97"/>
      <c r="AS541" s="97"/>
      <c r="AT541" s="97"/>
      <c r="AU541" s="97"/>
      <c r="AV541" s="97"/>
      <c r="AW541" s="97"/>
      <c r="AX541" s="97"/>
      <c r="AY541" s="97"/>
      <c r="AZ541" s="97"/>
      <c r="BA541" s="97"/>
      <c r="BB541" s="97"/>
      <c r="BC541" s="97"/>
      <c r="BD541" s="97"/>
      <c r="BE541" s="97"/>
      <c r="BF541" s="97"/>
      <c r="BG541" s="97"/>
      <c r="BH541" s="97"/>
    </row>
    <row r="542" spans="1:60" x14ac:dyDescent="0.25">
      <c r="A542" s="106"/>
      <c r="B542" s="107"/>
      <c r="C542" s="107"/>
      <c r="D542" s="107"/>
      <c r="E542" s="108"/>
      <c r="F542" s="109" t="str">
        <f>IF(H542&lt;&gt;"",H542-Accueil!N$6+1/60/24,"")</f>
        <v/>
      </c>
      <c r="G542" s="107"/>
      <c r="H542" s="109"/>
      <c r="I542" s="110"/>
      <c r="J542" s="110"/>
      <c r="K542" s="111"/>
      <c r="L542" s="112"/>
      <c r="M542" s="113"/>
      <c r="N542" s="114"/>
      <c r="O542" s="107"/>
      <c r="P542" s="107"/>
      <c r="Q542" s="115"/>
      <c r="R542" s="116"/>
      <c r="S542" s="107"/>
      <c r="T542" s="107"/>
      <c r="U542" s="107" t="str">
        <f t="shared" si="11"/>
        <v/>
      </c>
      <c r="V542" s="107"/>
      <c r="W542" s="107"/>
      <c r="X542" s="107"/>
      <c r="Y542" s="107"/>
      <c r="Z542" s="107"/>
      <c r="AA542" s="107"/>
      <c r="AB542" s="107"/>
      <c r="AC542" s="107"/>
      <c r="AD542" s="107"/>
      <c r="AE542" s="107"/>
      <c r="AF542" s="107"/>
      <c r="AG542" s="107"/>
      <c r="AH542" s="107"/>
      <c r="AI542" s="107"/>
      <c r="AJ542" s="107"/>
      <c r="AK542" s="107"/>
      <c r="AL542" s="107"/>
      <c r="AM542" s="107"/>
      <c r="AN542" s="107"/>
      <c r="AO542" s="107"/>
      <c r="AP542" s="107"/>
      <c r="AQ542" s="107"/>
      <c r="AR542" s="107"/>
      <c r="AS542" s="107"/>
      <c r="AT542" s="107"/>
      <c r="AU542" s="107"/>
      <c r="AV542" s="107"/>
      <c r="AW542" s="107"/>
      <c r="AX542" s="107"/>
      <c r="AY542" s="107"/>
      <c r="AZ542" s="107"/>
      <c r="BA542" s="107"/>
      <c r="BB542" s="107"/>
      <c r="BC542" s="107"/>
      <c r="BD542" s="107"/>
      <c r="BE542" s="107"/>
      <c r="BF542" s="107"/>
      <c r="BG542" s="107"/>
      <c r="BH542" s="107"/>
    </row>
    <row r="543" spans="1:60" x14ac:dyDescent="0.25">
      <c r="A543" s="96"/>
      <c r="B543" s="97"/>
      <c r="C543" s="97"/>
      <c r="D543" s="97"/>
      <c r="E543" s="98"/>
      <c r="F543" s="99" t="str">
        <f>IF(H543&lt;&gt;"",H543-Accueil!N$6+1/60/24,"")</f>
        <v/>
      </c>
      <c r="G543" s="97"/>
      <c r="H543" s="99"/>
      <c r="I543" s="99"/>
      <c r="J543" s="100"/>
      <c r="K543" s="101"/>
      <c r="L543" s="102"/>
      <c r="M543" s="103"/>
      <c r="N543" s="104"/>
      <c r="O543" s="97"/>
      <c r="P543" s="97"/>
      <c r="Q543" s="97"/>
      <c r="R543" s="105"/>
      <c r="S543" s="97"/>
      <c r="T543" s="97"/>
      <c r="U543" s="97" t="str">
        <f t="shared" si="11"/>
        <v/>
      </c>
      <c r="V543" s="97"/>
      <c r="W543" s="97"/>
      <c r="X543" s="97"/>
      <c r="Y543" s="97"/>
      <c r="Z543" s="97"/>
      <c r="AA543" s="97"/>
      <c r="AB543" s="97"/>
      <c r="AC543" s="97"/>
      <c r="AD543" s="97"/>
      <c r="AE543" s="97"/>
      <c r="AF543" s="97"/>
      <c r="AG543" s="97"/>
      <c r="AH543" s="97"/>
      <c r="AI543" s="97"/>
      <c r="AJ543" s="97"/>
      <c r="AK543" s="97"/>
      <c r="AL543" s="97"/>
      <c r="AM543" s="97"/>
      <c r="AN543" s="97"/>
      <c r="AO543" s="97"/>
      <c r="AP543" s="97"/>
      <c r="AQ543" s="97"/>
      <c r="AR543" s="97"/>
      <c r="AS543" s="97"/>
      <c r="AT543" s="97"/>
      <c r="AU543" s="97"/>
      <c r="AV543" s="97"/>
      <c r="AW543" s="97"/>
      <c r="AX543" s="97"/>
      <c r="AY543" s="97"/>
      <c r="AZ543" s="97"/>
      <c r="BA543" s="97"/>
      <c r="BB543" s="97"/>
      <c r="BC543" s="97"/>
      <c r="BD543" s="97"/>
      <c r="BE543" s="97"/>
      <c r="BF543" s="97"/>
      <c r="BG543" s="97"/>
      <c r="BH543" s="97"/>
    </row>
    <row r="544" spans="1:60" x14ac:dyDescent="0.25">
      <c r="A544" s="106"/>
      <c r="B544" s="107"/>
      <c r="C544" s="107"/>
      <c r="D544" s="107"/>
      <c r="E544" s="108"/>
      <c r="F544" s="109" t="str">
        <f>IF(H544&lt;&gt;"",H544-Accueil!N$6+1/60/24,"")</f>
        <v/>
      </c>
      <c r="G544" s="107"/>
      <c r="H544" s="109"/>
      <c r="I544" s="110"/>
      <c r="J544" s="110"/>
      <c r="K544" s="111"/>
      <c r="L544" s="112"/>
      <c r="M544" s="113"/>
      <c r="N544" s="114"/>
      <c r="O544" s="107"/>
      <c r="P544" s="107"/>
      <c r="Q544" s="115"/>
      <c r="R544" s="116"/>
      <c r="S544" s="107"/>
      <c r="T544" s="107"/>
      <c r="U544" s="107" t="str">
        <f t="shared" si="11"/>
        <v/>
      </c>
      <c r="V544" s="107"/>
      <c r="W544" s="107"/>
      <c r="X544" s="107"/>
      <c r="Y544" s="107"/>
      <c r="Z544" s="107"/>
      <c r="AA544" s="107"/>
      <c r="AB544" s="107"/>
      <c r="AC544" s="107"/>
      <c r="AD544" s="107"/>
      <c r="AE544" s="107"/>
      <c r="AF544" s="107"/>
      <c r="AG544" s="107"/>
      <c r="AH544" s="107"/>
      <c r="AI544" s="107"/>
      <c r="AJ544" s="107"/>
      <c r="AK544" s="107"/>
      <c r="AL544" s="107"/>
      <c r="AM544" s="107"/>
      <c r="AN544" s="107"/>
      <c r="AO544" s="107"/>
      <c r="AP544" s="107"/>
      <c r="AQ544" s="107"/>
      <c r="AR544" s="107"/>
      <c r="AS544" s="107"/>
      <c r="AT544" s="107"/>
      <c r="AU544" s="107"/>
      <c r="AV544" s="107"/>
      <c r="AW544" s="107"/>
      <c r="AX544" s="107"/>
      <c r="AY544" s="107"/>
      <c r="AZ544" s="107"/>
      <c r="BA544" s="107"/>
      <c r="BB544" s="107"/>
      <c r="BC544" s="107"/>
      <c r="BD544" s="107"/>
      <c r="BE544" s="107"/>
      <c r="BF544" s="107"/>
      <c r="BG544" s="107"/>
      <c r="BH544" s="107"/>
    </row>
    <row r="545" spans="1:60" x14ac:dyDescent="0.25">
      <c r="A545" s="96"/>
      <c r="B545" s="97"/>
      <c r="C545" s="97"/>
      <c r="D545" s="97"/>
      <c r="E545" s="98"/>
      <c r="F545" s="99" t="str">
        <f>IF(H545&lt;&gt;"",H545-Accueil!N$6+1/60/24,"")</f>
        <v/>
      </c>
      <c r="G545" s="97"/>
      <c r="H545" s="99"/>
      <c r="I545" s="99"/>
      <c r="J545" s="100"/>
      <c r="K545" s="101"/>
      <c r="L545" s="102"/>
      <c r="M545" s="103"/>
      <c r="N545" s="104"/>
      <c r="O545" s="97"/>
      <c r="P545" s="97"/>
      <c r="Q545" s="97"/>
      <c r="R545" s="105"/>
      <c r="S545" s="97"/>
      <c r="T545" s="97"/>
      <c r="U545" s="97" t="str">
        <f t="shared" si="11"/>
        <v/>
      </c>
      <c r="V545" s="97"/>
      <c r="W545" s="97"/>
      <c r="X545" s="97"/>
      <c r="Y545" s="97"/>
      <c r="Z545" s="97"/>
      <c r="AA545" s="97"/>
      <c r="AB545" s="97"/>
      <c r="AC545" s="97"/>
      <c r="AD545" s="97"/>
      <c r="AE545" s="97"/>
      <c r="AF545" s="97"/>
      <c r="AG545" s="97"/>
      <c r="AH545" s="97"/>
      <c r="AI545" s="97"/>
      <c r="AJ545" s="97"/>
      <c r="AK545" s="97"/>
      <c r="AL545" s="97"/>
      <c r="AM545" s="97"/>
      <c r="AN545" s="97"/>
      <c r="AO545" s="97"/>
      <c r="AP545" s="97"/>
      <c r="AQ545" s="97"/>
      <c r="AR545" s="97"/>
      <c r="AS545" s="97"/>
      <c r="AT545" s="97"/>
      <c r="AU545" s="97"/>
      <c r="AV545" s="97"/>
      <c r="AW545" s="97"/>
      <c r="AX545" s="97"/>
      <c r="AY545" s="97"/>
      <c r="AZ545" s="97"/>
      <c r="BA545" s="97"/>
      <c r="BB545" s="97"/>
      <c r="BC545" s="97"/>
      <c r="BD545" s="97"/>
      <c r="BE545" s="97"/>
      <c r="BF545" s="97"/>
      <c r="BG545" s="97"/>
      <c r="BH545" s="97"/>
    </row>
    <row r="546" spans="1:60" x14ac:dyDescent="0.25">
      <c r="A546" s="106"/>
      <c r="B546" s="107"/>
      <c r="C546" s="107"/>
      <c r="D546" s="107"/>
      <c r="E546" s="108"/>
      <c r="F546" s="109" t="str">
        <f>IF(H546&lt;&gt;"",H546-Accueil!N$6+1/60/24,"")</f>
        <v/>
      </c>
      <c r="G546" s="107"/>
      <c r="H546" s="109"/>
      <c r="I546" s="110"/>
      <c r="J546" s="110"/>
      <c r="K546" s="111"/>
      <c r="L546" s="112"/>
      <c r="M546" s="113"/>
      <c r="N546" s="114"/>
      <c r="O546" s="107"/>
      <c r="P546" s="107"/>
      <c r="Q546" s="115"/>
      <c r="R546" s="116"/>
      <c r="S546" s="107"/>
      <c r="T546" s="107"/>
      <c r="U546" s="107" t="str">
        <f t="shared" si="11"/>
        <v/>
      </c>
      <c r="V546" s="107"/>
      <c r="W546" s="107"/>
      <c r="X546" s="107"/>
      <c r="Y546" s="107"/>
      <c r="Z546" s="107"/>
      <c r="AA546" s="107"/>
      <c r="AB546" s="107"/>
      <c r="AC546" s="107"/>
      <c r="AD546" s="107"/>
      <c r="AE546" s="107"/>
      <c r="AF546" s="107"/>
      <c r="AG546" s="107"/>
      <c r="AH546" s="107"/>
      <c r="AI546" s="107"/>
      <c r="AJ546" s="107"/>
      <c r="AK546" s="107"/>
      <c r="AL546" s="107"/>
      <c r="AM546" s="107"/>
      <c r="AN546" s="107"/>
      <c r="AO546" s="107"/>
      <c r="AP546" s="107"/>
      <c r="AQ546" s="107"/>
      <c r="AR546" s="107"/>
      <c r="AS546" s="107"/>
      <c r="AT546" s="107"/>
      <c r="AU546" s="107"/>
      <c r="AV546" s="107"/>
      <c r="AW546" s="107"/>
      <c r="AX546" s="107"/>
      <c r="AY546" s="107"/>
      <c r="AZ546" s="107"/>
      <c r="BA546" s="107"/>
      <c r="BB546" s="107"/>
      <c r="BC546" s="107"/>
      <c r="BD546" s="107"/>
      <c r="BE546" s="107"/>
      <c r="BF546" s="107"/>
      <c r="BG546" s="107"/>
      <c r="BH546" s="107"/>
    </row>
    <row r="547" spans="1:60" x14ac:dyDescent="0.25">
      <c r="A547" s="96"/>
      <c r="B547" s="97"/>
      <c r="C547" s="97"/>
      <c r="D547" s="97"/>
      <c r="E547" s="98"/>
      <c r="F547" s="99" t="str">
        <f>IF(H547&lt;&gt;"",H547-Accueil!N$6+1/60/24,"")</f>
        <v/>
      </c>
      <c r="G547" s="97"/>
      <c r="H547" s="99"/>
      <c r="I547" s="99"/>
      <c r="J547" s="100"/>
      <c r="K547" s="101"/>
      <c r="L547" s="102"/>
      <c r="M547" s="103"/>
      <c r="N547" s="104"/>
      <c r="O547" s="97"/>
      <c r="P547" s="97"/>
      <c r="Q547" s="97"/>
      <c r="R547" s="105"/>
      <c r="S547" s="97"/>
      <c r="T547" s="97"/>
      <c r="U547" s="97" t="str">
        <f t="shared" si="11"/>
        <v/>
      </c>
      <c r="V547" s="97"/>
      <c r="W547" s="97"/>
      <c r="X547" s="97"/>
      <c r="Y547" s="97"/>
      <c r="Z547" s="97"/>
      <c r="AA547" s="97"/>
      <c r="AB547" s="97"/>
      <c r="AC547" s="97"/>
      <c r="AD547" s="97"/>
      <c r="AE547" s="97"/>
      <c r="AF547" s="97"/>
      <c r="AG547" s="97"/>
      <c r="AH547" s="97"/>
      <c r="AI547" s="97"/>
      <c r="AJ547" s="97"/>
      <c r="AK547" s="97"/>
      <c r="AL547" s="97"/>
      <c r="AM547" s="97"/>
      <c r="AN547" s="97"/>
      <c r="AO547" s="97"/>
      <c r="AP547" s="97"/>
      <c r="AQ547" s="97"/>
      <c r="AR547" s="97"/>
      <c r="AS547" s="97"/>
      <c r="AT547" s="97"/>
      <c r="AU547" s="97"/>
      <c r="AV547" s="97"/>
      <c r="AW547" s="97"/>
      <c r="AX547" s="97"/>
      <c r="AY547" s="97"/>
      <c r="AZ547" s="97"/>
      <c r="BA547" s="97"/>
      <c r="BB547" s="97"/>
      <c r="BC547" s="97"/>
      <c r="BD547" s="97"/>
      <c r="BE547" s="97"/>
      <c r="BF547" s="97"/>
      <c r="BG547" s="97"/>
      <c r="BH547" s="97"/>
    </row>
    <row r="548" spans="1:60" x14ac:dyDescent="0.25">
      <c r="A548" s="106"/>
      <c r="B548" s="107"/>
      <c r="C548" s="107"/>
      <c r="D548" s="107"/>
      <c r="E548" s="108"/>
      <c r="F548" s="109" t="str">
        <f>IF(H548&lt;&gt;"",H548-Accueil!N$6+1/60/24,"")</f>
        <v/>
      </c>
      <c r="G548" s="107"/>
      <c r="H548" s="109"/>
      <c r="I548" s="110"/>
      <c r="J548" s="110"/>
      <c r="K548" s="111"/>
      <c r="L548" s="112"/>
      <c r="M548" s="113"/>
      <c r="N548" s="114"/>
      <c r="O548" s="107"/>
      <c r="P548" s="107"/>
      <c r="Q548" s="115"/>
      <c r="R548" s="116"/>
      <c r="S548" s="107"/>
      <c r="T548" s="107"/>
      <c r="U548" s="107" t="str">
        <f t="shared" si="11"/>
        <v/>
      </c>
      <c r="V548" s="107"/>
      <c r="W548" s="107"/>
      <c r="X548" s="107"/>
      <c r="Y548" s="107"/>
      <c r="Z548" s="107"/>
      <c r="AA548" s="107"/>
      <c r="AB548" s="107"/>
      <c r="AC548" s="107"/>
      <c r="AD548" s="107"/>
      <c r="AE548" s="107"/>
      <c r="AF548" s="107"/>
      <c r="AG548" s="107"/>
      <c r="AH548" s="107"/>
      <c r="AI548" s="107"/>
      <c r="AJ548" s="107"/>
      <c r="AK548" s="107"/>
      <c r="AL548" s="107"/>
      <c r="AM548" s="107"/>
      <c r="AN548" s="107"/>
      <c r="AO548" s="107"/>
      <c r="AP548" s="107"/>
      <c r="AQ548" s="107"/>
      <c r="AR548" s="107"/>
      <c r="AS548" s="107"/>
      <c r="AT548" s="107"/>
      <c r="AU548" s="107"/>
      <c r="AV548" s="107"/>
      <c r="AW548" s="107"/>
      <c r="AX548" s="107"/>
      <c r="AY548" s="107"/>
      <c r="AZ548" s="107"/>
      <c r="BA548" s="107"/>
      <c r="BB548" s="107"/>
      <c r="BC548" s="107"/>
      <c r="BD548" s="107"/>
      <c r="BE548" s="107"/>
      <c r="BF548" s="107"/>
      <c r="BG548" s="107"/>
      <c r="BH548" s="107"/>
    </row>
    <row r="549" spans="1:60" x14ac:dyDescent="0.25">
      <c r="A549" s="96"/>
      <c r="B549" s="97"/>
      <c r="C549" s="97"/>
      <c r="D549" s="97"/>
      <c r="E549" s="98"/>
      <c r="F549" s="99" t="str">
        <f>IF(H549&lt;&gt;"",H549-Accueil!N$6+1/60/24,"")</f>
        <v/>
      </c>
      <c r="G549" s="97"/>
      <c r="H549" s="99"/>
      <c r="I549" s="99"/>
      <c r="J549" s="100"/>
      <c r="K549" s="101"/>
      <c r="L549" s="102"/>
      <c r="M549" s="103"/>
      <c r="N549" s="104"/>
      <c r="O549" s="97"/>
      <c r="P549" s="97"/>
      <c r="Q549" s="97"/>
      <c r="R549" s="105"/>
      <c r="S549" s="97"/>
      <c r="T549" s="97"/>
      <c r="U549" s="97" t="str">
        <f t="shared" si="11"/>
        <v/>
      </c>
      <c r="V549" s="97"/>
      <c r="W549" s="97"/>
      <c r="X549" s="97"/>
      <c r="Y549" s="97"/>
      <c r="Z549" s="97"/>
      <c r="AA549" s="97"/>
      <c r="AB549" s="97"/>
      <c r="AC549" s="97"/>
      <c r="AD549" s="97"/>
      <c r="AE549" s="97"/>
      <c r="AF549" s="97"/>
      <c r="AG549" s="97"/>
      <c r="AH549" s="97"/>
      <c r="AI549" s="97"/>
      <c r="AJ549" s="97"/>
      <c r="AK549" s="97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  <c r="AX549" s="97"/>
      <c r="AY549" s="97"/>
      <c r="AZ549" s="97"/>
      <c r="BA549" s="97"/>
      <c r="BB549" s="97"/>
      <c r="BC549" s="97"/>
      <c r="BD549" s="97"/>
      <c r="BE549" s="97"/>
      <c r="BF549" s="97"/>
      <c r="BG549" s="97"/>
      <c r="BH549" s="97"/>
    </row>
    <row r="550" spans="1:60" x14ac:dyDescent="0.25">
      <c r="A550" s="106"/>
      <c r="B550" s="107"/>
      <c r="C550" s="107"/>
      <c r="D550" s="107"/>
      <c r="E550" s="108"/>
      <c r="F550" s="109" t="str">
        <f>IF(H550&lt;&gt;"",H550-Accueil!N$6+1/60/24,"")</f>
        <v/>
      </c>
      <c r="G550" s="107"/>
      <c r="H550" s="109"/>
      <c r="I550" s="110"/>
      <c r="J550" s="110"/>
      <c r="K550" s="111"/>
      <c r="L550" s="112"/>
      <c r="M550" s="113"/>
      <c r="N550" s="114"/>
      <c r="O550" s="107"/>
      <c r="P550" s="107"/>
      <c r="Q550" s="115"/>
      <c r="R550" s="116"/>
      <c r="S550" s="107"/>
      <c r="T550" s="107"/>
      <c r="U550" s="107" t="str">
        <f t="shared" si="11"/>
        <v/>
      </c>
      <c r="V550" s="107"/>
      <c r="W550" s="107"/>
      <c r="X550" s="107"/>
      <c r="Y550" s="107"/>
      <c r="Z550" s="107"/>
      <c r="AA550" s="107"/>
      <c r="AB550" s="107"/>
      <c r="AC550" s="107"/>
      <c r="AD550" s="107"/>
      <c r="AE550" s="107"/>
      <c r="AF550" s="107"/>
      <c r="AG550" s="107"/>
      <c r="AH550" s="107"/>
      <c r="AI550" s="107"/>
      <c r="AJ550" s="107"/>
      <c r="AK550" s="107"/>
      <c r="AL550" s="107"/>
      <c r="AM550" s="107"/>
      <c r="AN550" s="107"/>
      <c r="AO550" s="107"/>
      <c r="AP550" s="107"/>
      <c r="AQ550" s="107"/>
      <c r="AR550" s="107"/>
      <c r="AS550" s="107"/>
      <c r="AT550" s="107"/>
      <c r="AU550" s="107"/>
      <c r="AV550" s="107"/>
      <c r="AW550" s="107"/>
      <c r="AX550" s="107"/>
      <c r="AY550" s="107"/>
      <c r="AZ550" s="107"/>
      <c r="BA550" s="107"/>
      <c r="BB550" s="107"/>
      <c r="BC550" s="107"/>
      <c r="BD550" s="107"/>
      <c r="BE550" s="107"/>
      <c r="BF550" s="107"/>
      <c r="BG550" s="107"/>
      <c r="BH550" s="107"/>
    </row>
    <row r="551" spans="1:60" x14ac:dyDescent="0.25">
      <c r="A551" s="96"/>
      <c r="B551" s="97"/>
      <c r="C551" s="97"/>
      <c r="D551" s="97"/>
      <c r="E551" s="98"/>
      <c r="F551" s="99" t="str">
        <f>IF(H551&lt;&gt;"",H551-Accueil!N$6+1/60/24,"")</f>
        <v/>
      </c>
      <c r="G551" s="97"/>
      <c r="H551" s="99"/>
      <c r="I551" s="99"/>
      <c r="J551" s="100"/>
      <c r="K551" s="101"/>
      <c r="L551" s="102"/>
      <c r="M551" s="103"/>
      <c r="N551" s="104"/>
      <c r="O551" s="97"/>
      <c r="P551" s="97"/>
      <c r="Q551" s="97"/>
      <c r="R551" s="105"/>
      <c r="S551" s="97"/>
      <c r="T551" s="97"/>
      <c r="U551" s="97" t="str">
        <f t="shared" si="11"/>
        <v/>
      </c>
      <c r="V551" s="97"/>
      <c r="W551" s="97"/>
      <c r="X551" s="97"/>
      <c r="Y551" s="97"/>
      <c r="Z551" s="97"/>
      <c r="AA551" s="97"/>
      <c r="AB551" s="97"/>
      <c r="AC551" s="97"/>
      <c r="AD551" s="97"/>
      <c r="AE551" s="97"/>
      <c r="AF551" s="97"/>
      <c r="AG551" s="97"/>
      <c r="AH551" s="97"/>
      <c r="AI551" s="97"/>
      <c r="AJ551" s="97"/>
      <c r="AK551" s="97"/>
      <c r="AL551" s="97"/>
      <c r="AM551" s="97"/>
      <c r="AN551" s="97"/>
      <c r="AO551" s="97"/>
      <c r="AP551" s="97"/>
      <c r="AQ551" s="97"/>
      <c r="AR551" s="97"/>
      <c r="AS551" s="97"/>
      <c r="AT551" s="97"/>
      <c r="AU551" s="97"/>
      <c r="AV551" s="97"/>
      <c r="AW551" s="97"/>
      <c r="AX551" s="97"/>
      <c r="AY551" s="97"/>
      <c r="AZ551" s="97"/>
      <c r="BA551" s="97"/>
      <c r="BB551" s="97"/>
      <c r="BC551" s="97"/>
      <c r="BD551" s="97"/>
      <c r="BE551" s="97"/>
      <c r="BF551" s="97"/>
      <c r="BG551" s="97"/>
      <c r="BH551" s="97"/>
    </row>
    <row r="552" spans="1:60" x14ac:dyDescent="0.25">
      <c r="A552" s="106"/>
      <c r="B552" s="107"/>
      <c r="C552" s="107"/>
      <c r="D552" s="107"/>
      <c r="E552" s="108"/>
      <c r="F552" s="109" t="str">
        <f>IF(H552&lt;&gt;"",H552-Accueil!N$6+1/60/24,"")</f>
        <v/>
      </c>
      <c r="G552" s="107"/>
      <c r="H552" s="109"/>
      <c r="I552" s="110"/>
      <c r="J552" s="110"/>
      <c r="K552" s="111"/>
      <c r="L552" s="112"/>
      <c r="M552" s="113"/>
      <c r="N552" s="114"/>
      <c r="O552" s="107"/>
      <c r="P552" s="107"/>
      <c r="Q552" s="115"/>
      <c r="R552" s="116"/>
      <c r="S552" s="107"/>
      <c r="T552" s="107"/>
      <c r="U552" s="107" t="str">
        <f t="shared" si="11"/>
        <v/>
      </c>
      <c r="V552" s="107"/>
      <c r="W552" s="107"/>
      <c r="X552" s="107"/>
      <c r="Y552" s="107"/>
      <c r="Z552" s="107"/>
      <c r="AA552" s="107"/>
      <c r="AB552" s="107"/>
      <c r="AC552" s="107"/>
      <c r="AD552" s="107"/>
      <c r="AE552" s="107"/>
      <c r="AF552" s="107"/>
      <c r="AG552" s="107"/>
      <c r="AH552" s="107"/>
      <c r="AI552" s="107"/>
      <c r="AJ552" s="107"/>
      <c r="AK552" s="107"/>
      <c r="AL552" s="107"/>
      <c r="AM552" s="107"/>
      <c r="AN552" s="107"/>
      <c r="AO552" s="107"/>
      <c r="AP552" s="107"/>
      <c r="AQ552" s="107"/>
      <c r="AR552" s="107"/>
      <c r="AS552" s="107"/>
      <c r="AT552" s="107"/>
      <c r="AU552" s="107"/>
      <c r="AV552" s="107"/>
      <c r="AW552" s="107"/>
      <c r="AX552" s="107"/>
      <c r="AY552" s="107"/>
      <c r="AZ552" s="107"/>
      <c r="BA552" s="107"/>
      <c r="BB552" s="107"/>
      <c r="BC552" s="107"/>
      <c r="BD552" s="107"/>
      <c r="BE552" s="107"/>
      <c r="BF552" s="107"/>
      <c r="BG552" s="107"/>
      <c r="BH552" s="107"/>
    </row>
    <row r="553" spans="1:60" x14ac:dyDescent="0.25">
      <c r="A553" s="96"/>
      <c r="B553" s="97"/>
      <c r="C553" s="97"/>
      <c r="D553" s="97"/>
      <c r="E553" s="98"/>
      <c r="F553" s="99" t="str">
        <f>IF(H553&lt;&gt;"",H553-Accueil!N$6+1/60/24,"")</f>
        <v/>
      </c>
      <c r="G553" s="97"/>
      <c r="H553" s="99"/>
      <c r="I553" s="99"/>
      <c r="J553" s="100"/>
      <c r="K553" s="101"/>
      <c r="L553" s="102"/>
      <c r="M553" s="103"/>
      <c r="N553" s="104"/>
      <c r="O553" s="97"/>
      <c r="P553" s="97"/>
      <c r="Q553" s="97"/>
      <c r="R553" s="105"/>
      <c r="S553" s="97"/>
      <c r="T553" s="97"/>
      <c r="U553" s="97" t="str">
        <f t="shared" si="11"/>
        <v/>
      </c>
      <c r="V553" s="97"/>
      <c r="W553" s="97"/>
      <c r="X553" s="97"/>
      <c r="Y553" s="97"/>
      <c r="Z553" s="97"/>
      <c r="AA553" s="97"/>
      <c r="AB553" s="97"/>
      <c r="AC553" s="97"/>
      <c r="AD553" s="97"/>
      <c r="AE553" s="97"/>
      <c r="AF553" s="97"/>
      <c r="AG553" s="97"/>
      <c r="AH553" s="97"/>
      <c r="AI553" s="97"/>
      <c r="AJ553" s="97"/>
      <c r="AK553" s="97"/>
      <c r="AL553" s="97"/>
      <c r="AM553" s="97"/>
      <c r="AN553" s="97"/>
      <c r="AO553" s="97"/>
      <c r="AP553" s="97"/>
      <c r="AQ553" s="97"/>
      <c r="AR553" s="97"/>
      <c r="AS553" s="97"/>
      <c r="AT553" s="97"/>
      <c r="AU553" s="97"/>
      <c r="AV553" s="97"/>
      <c r="AW553" s="97"/>
      <c r="AX553" s="97"/>
      <c r="AY553" s="97"/>
      <c r="AZ553" s="97"/>
      <c r="BA553" s="97"/>
      <c r="BB553" s="97"/>
      <c r="BC553" s="97"/>
      <c r="BD553" s="97"/>
      <c r="BE553" s="97"/>
      <c r="BF553" s="97"/>
      <c r="BG553" s="97"/>
      <c r="BH553" s="97"/>
    </row>
    <row r="554" spans="1:60" x14ac:dyDescent="0.25">
      <c r="A554" s="106"/>
      <c r="B554" s="107"/>
      <c r="C554" s="107"/>
      <c r="D554" s="107"/>
      <c r="E554" s="108"/>
      <c r="F554" s="109" t="str">
        <f>IF(H554&lt;&gt;"",H554-Accueil!N$6+1/60/24,"")</f>
        <v/>
      </c>
      <c r="G554" s="107"/>
      <c r="H554" s="109"/>
      <c r="I554" s="110"/>
      <c r="J554" s="110"/>
      <c r="K554" s="111"/>
      <c r="L554" s="112"/>
      <c r="M554" s="113"/>
      <c r="N554" s="114"/>
      <c r="O554" s="107"/>
      <c r="P554" s="107"/>
      <c r="Q554" s="115"/>
      <c r="R554" s="116"/>
      <c r="S554" s="107"/>
      <c r="T554" s="107"/>
      <c r="U554" s="107" t="str">
        <f t="shared" si="11"/>
        <v/>
      </c>
      <c r="V554" s="107"/>
      <c r="W554" s="107"/>
      <c r="X554" s="107"/>
      <c r="Y554" s="107"/>
      <c r="Z554" s="107"/>
      <c r="AA554" s="107"/>
      <c r="AB554" s="107"/>
      <c r="AC554" s="107"/>
      <c r="AD554" s="107"/>
      <c r="AE554" s="107"/>
      <c r="AF554" s="107"/>
      <c r="AG554" s="107"/>
      <c r="AH554" s="107"/>
      <c r="AI554" s="107"/>
      <c r="AJ554" s="107"/>
      <c r="AK554" s="107"/>
      <c r="AL554" s="107"/>
      <c r="AM554" s="107"/>
      <c r="AN554" s="107"/>
      <c r="AO554" s="107"/>
      <c r="AP554" s="107"/>
      <c r="AQ554" s="107"/>
      <c r="AR554" s="107"/>
      <c r="AS554" s="107"/>
      <c r="AT554" s="107"/>
      <c r="AU554" s="107"/>
      <c r="AV554" s="107"/>
      <c r="AW554" s="107"/>
      <c r="AX554" s="107"/>
      <c r="AY554" s="107"/>
      <c r="AZ554" s="107"/>
      <c r="BA554" s="107"/>
      <c r="BB554" s="107"/>
      <c r="BC554" s="107"/>
      <c r="BD554" s="107"/>
      <c r="BE554" s="107"/>
      <c r="BF554" s="107"/>
      <c r="BG554" s="107"/>
      <c r="BH554" s="107"/>
    </row>
    <row r="555" spans="1:60" x14ac:dyDescent="0.25">
      <c r="A555" s="96"/>
      <c r="B555" s="97"/>
      <c r="C555" s="97"/>
      <c r="D555" s="97"/>
      <c r="E555" s="98"/>
      <c r="F555" s="99" t="str">
        <f>IF(H555&lt;&gt;"",H555-Accueil!N$6+1/60/24,"")</f>
        <v/>
      </c>
      <c r="G555" s="97"/>
      <c r="H555" s="99"/>
      <c r="I555" s="99"/>
      <c r="J555" s="100"/>
      <c r="K555" s="101"/>
      <c r="L555" s="102"/>
      <c r="M555" s="103"/>
      <c r="N555" s="104"/>
      <c r="O555" s="97"/>
      <c r="P555" s="97"/>
      <c r="Q555" s="97"/>
      <c r="R555" s="105"/>
      <c r="S555" s="97"/>
      <c r="T555" s="97"/>
      <c r="U555" s="97" t="str">
        <f t="shared" si="11"/>
        <v/>
      </c>
      <c r="V555" s="97"/>
      <c r="W555" s="97"/>
      <c r="X555" s="97"/>
      <c r="Y555" s="97"/>
      <c r="Z555" s="97"/>
      <c r="AA555" s="97"/>
      <c r="AB555" s="97"/>
      <c r="AC555" s="97"/>
      <c r="AD555" s="97"/>
      <c r="AE555" s="97"/>
      <c r="AF555" s="97"/>
      <c r="AG555" s="97"/>
      <c r="AH555" s="97"/>
      <c r="AI555" s="97"/>
      <c r="AJ555" s="97"/>
      <c r="AK555" s="97"/>
      <c r="AL555" s="97"/>
      <c r="AM555" s="97"/>
      <c r="AN555" s="97"/>
      <c r="AO555" s="97"/>
      <c r="AP555" s="97"/>
      <c r="AQ555" s="97"/>
      <c r="AR555" s="97"/>
      <c r="AS555" s="97"/>
      <c r="AT555" s="97"/>
      <c r="AU555" s="97"/>
      <c r="AV555" s="97"/>
      <c r="AW555" s="97"/>
      <c r="AX555" s="97"/>
      <c r="AY555" s="97"/>
      <c r="AZ555" s="97"/>
      <c r="BA555" s="97"/>
      <c r="BB555" s="97"/>
      <c r="BC555" s="97"/>
      <c r="BD555" s="97"/>
      <c r="BE555" s="97"/>
      <c r="BF555" s="97"/>
      <c r="BG555" s="97"/>
      <c r="BH555" s="97"/>
    </row>
    <row r="556" spans="1:60" x14ac:dyDescent="0.25">
      <c r="A556" s="106"/>
      <c r="B556" s="107"/>
      <c r="C556" s="107"/>
      <c r="D556" s="107"/>
      <c r="E556" s="108"/>
      <c r="F556" s="109" t="str">
        <f>IF(H556&lt;&gt;"",H556-Accueil!N$6+1/60/24,"")</f>
        <v/>
      </c>
      <c r="G556" s="107"/>
      <c r="H556" s="109"/>
      <c r="I556" s="110"/>
      <c r="J556" s="110"/>
      <c r="K556" s="111"/>
      <c r="L556" s="112"/>
      <c r="M556" s="113"/>
      <c r="N556" s="114"/>
      <c r="O556" s="107"/>
      <c r="P556" s="107"/>
      <c r="Q556" s="115"/>
      <c r="R556" s="116"/>
      <c r="S556" s="107"/>
      <c r="T556" s="107"/>
      <c r="U556" s="107" t="str">
        <f t="shared" si="11"/>
        <v/>
      </c>
      <c r="V556" s="107"/>
      <c r="W556" s="107"/>
      <c r="X556" s="107"/>
      <c r="Y556" s="107"/>
      <c r="Z556" s="107"/>
      <c r="AA556" s="107"/>
      <c r="AB556" s="107"/>
      <c r="AC556" s="107"/>
      <c r="AD556" s="107"/>
      <c r="AE556" s="107"/>
      <c r="AF556" s="107"/>
      <c r="AG556" s="107"/>
      <c r="AH556" s="107"/>
      <c r="AI556" s="107"/>
      <c r="AJ556" s="107"/>
      <c r="AK556" s="107"/>
      <c r="AL556" s="107"/>
      <c r="AM556" s="107"/>
      <c r="AN556" s="107"/>
      <c r="AO556" s="107"/>
      <c r="AP556" s="107"/>
      <c r="AQ556" s="107"/>
      <c r="AR556" s="107"/>
      <c r="AS556" s="107"/>
      <c r="AT556" s="107"/>
      <c r="AU556" s="107"/>
      <c r="AV556" s="107"/>
      <c r="AW556" s="107"/>
      <c r="AX556" s="107"/>
      <c r="AY556" s="107"/>
      <c r="AZ556" s="107"/>
      <c r="BA556" s="107"/>
      <c r="BB556" s="107"/>
      <c r="BC556" s="107"/>
      <c r="BD556" s="107"/>
      <c r="BE556" s="107"/>
      <c r="BF556" s="107"/>
      <c r="BG556" s="107"/>
      <c r="BH556" s="107"/>
    </row>
    <row r="557" spans="1:60" x14ac:dyDescent="0.25">
      <c r="A557" s="96"/>
      <c r="B557" s="97"/>
      <c r="C557" s="97"/>
      <c r="D557" s="97"/>
      <c r="E557" s="98"/>
      <c r="F557" s="99" t="str">
        <f>IF(H557&lt;&gt;"",H557-Accueil!N$6+1/60/24,"")</f>
        <v/>
      </c>
      <c r="G557" s="97"/>
      <c r="H557" s="99"/>
      <c r="I557" s="99"/>
      <c r="J557" s="100"/>
      <c r="K557" s="101"/>
      <c r="L557" s="102"/>
      <c r="M557" s="103"/>
      <c r="N557" s="104"/>
      <c r="O557" s="97"/>
      <c r="P557" s="97"/>
      <c r="Q557" s="97"/>
      <c r="R557" s="105"/>
      <c r="S557" s="97"/>
      <c r="T557" s="97"/>
      <c r="U557" s="97" t="str">
        <f t="shared" si="11"/>
        <v/>
      </c>
      <c r="V557" s="97"/>
      <c r="W557" s="97"/>
      <c r="X557" s="97"/>
      <c r="Y557" s="97"/>
      <c r="Z557" s="97"/>
      <c r="AA557" s="97"/>
      <c r="AB557" s="97"/>
      <c r="AC557" s="97"/>
      <c r="AD557" s="97"/>
      <c r="AE557" s="97"/>
      <c r="AF557" s="97"/>
      <c r="AG557" s="97"/>
      <c r="AH557" s="97"/>
      <c r="AI557" s="97"/>
      <c r="AJ557" s="97"/>
      <c r="AK557" s="97"/>
      <c r="AL557" s="97"/>
      <c r="AM557" s="97"/>
      <c r="AN557" s="97"/>
      <c r="AO557" s="97"/>
      <c r="AP557" s="97"/>
      <c r="AQ557" s="97"/>
      <c r="AR557" s="97"/>
      <c r="AS557" s="97"/>
      <c r="AT557" s="97"/>
      <c r="AU557" s="97"/>
      <c r="AV557" s="97"/>
      <c r="AW557" s="97"/>
      <c r="AX557" s="97"/>
      <c r="AY557" s="97"/>
      <c r="AZ557" s="97"/>
      <c r="BA557" s="97"/>
      <c r="BB557" s="97"/>
      <c r="BC557" s="97"/>
      <c r="BD557" s="97"/>
      <c r="BE557" s="97"/>
      <c r="BF557" s="97"/>
      <c r="BG557" s="97"/>
      <c r="BH557" s="97"/>
    </row>
    <row r="558" spans="1:60" x14ac:dyDescent="0.25">
      <c r="A558" s="106"/>
      <c r="B558" s="107"/>
      <c r="C558" s="107"/>
      <c r="D558" s="107"/>
      <c r="E558" s="108"/>
      <c r="F558" s="109" t="str">
        <f>IF(H558&lt;&gt;"",H558-Accueil!N$6+1/60/24,"")</f>
        <v/>
      </c>
      <c r="G558" s="107"/>
      <c r="H558" s="109"/>
      <c r="I558" s="110"/>
      <c r="J558" s="110"/>
      <c r="K558" s="111"/>
      <c r="L558" s="112"/>
      <c r="M558" s="113"/>
      <c r="N558" s="114"/>
      <c r="O558" s="107"/>
      <c r="P558" s="107"/>
      <c r="Q558" s="115"/>
      <c r="R558" s="116"/>
      <c r="S558" s="107"/>
      <c r="T558" s="107"/>
      <c r="U558" s="107" t="str">
        <f t="shared" si="11"/>
        <v/>
      </c>
      <c r="V558" s="107"/>
      <c r="W558" s="107"/>
      <c r="X558" s="107"/>
      <c r="Y558" s="107"/>
      <c r="Z558" s="107"/>
      <c r="AA558" s="107"/>
      <c r="AB558" s="107"/>
      <c r="AC558" s="107"/>
      <c r="AD558" s="107"/>
      <c r="AE558" s="107"/>
      <c r="AF558" s="107"/>
      <c r="AG558" s="107"/>
      <c r="AH558" s="107"/>
      <c r="AI558" s="107"/>
      <c r="AJ558" s="107"/>
      <c r="AK558" s="107"/>
      <c r="AL558" s="107"/>
      <c r="AM558" s="107"/>
      <c r="AN558" s="107"/>
      <c r="AO558" s="107"/>
      <c r="AP558" s="107"/>
      <c r="AQ558" s="107"/>
      <c r="AR558" s="107"/>
      <c r="AS558" s="107"/>
      <c r="AT558" s="107"/>
      <c r="AU558" s="107"/>
      <c r="AV558" s="107"/>
      <c r="AW558" s="107"/>
      <c r="AX558" s="107"/>
      <c r="AY558" s="107"/>
      <c r="AZ558" s="107"/>
      <c r="BA558" s="107"/>
      <c r="BB558" s="107"/>
      <c r="BC558" s="107"/>
      <c r="BD558" s="107"/>
      <c r="BE558" s="107"/>
      <c r="BF558" s="107"/>
      <c r="BG558" s="107"/>
      <c r="BH558" s="107"/>
    </row>
    <row r="559" spans="1:60" x14ac:dyDescent="0.25">
      <c r="A559" s="96"/>
      <c r="B559" s="97"/>
      <c r="C559" s="97"/>
      <c r="D559" s="97"/>
      <c r="E559" s="98"/>
      <c r="F559" s="99" t="str">
        <f>IF(H559&lt;&gt;"",H559-Accueil!N$6+1/60/24,"")</f>
        <v/>
      </c>
      <c r="G559" s="97"/>
      <c r="H559" s="99"/>
      <c r="I559" s="99"/>
      <c r="J559" s="100"/>
      <c r="K559" s="101"/>
      <c r="L559" s="102"/>
      <c r="M559" s="103"/>
      <c r="N559" s="104"/>
      <c r="O559" s="97"/>
      <c r="P559" s="97"/>
      <c r="Q559" s="97"/>
      <c r="R559" s="105"/>
      <c r="S559" s="97"/>
      <c r="T559" s="97"/>
      <c r="U559" s="97" t="str">
        <f t="shared" si="11"/>
        <v/>
      </c>
      <c r="V559" s="97"/>
      <c r="W559" s="97"/>
      <c r="X559" s="97"/>
      <c r="Y559" s="97"/>
      <c r="Z559" s="97"/>
      <c r="AA559" s="97"/>
      <c r="AB559" s="97"/>
      <c r="AC559" s="97"/>
      <c r="AD559" s="97"/>
      <c r="AE559" s="97"/>
      <c r="AF559" s="97"/>
      <c r="AG559" s="97"/>
      <c r="AH559" s="97"/>
      <c r="AI559" s="97"/>
      <c r="AJ559" s="97"/>
      <c r="AK559" s="97"/>
      <c r="AL559" s="97"/>
      <c r="AM559" s="97"/>
      <c r="AN559" s="97"/>
      <c r="AO559" s="97"/>
      <c r="AP559" s="97"/>
      <c r="AQ559" s="97"/>
      <c r="AR559" s="97"/>
      <c r="AS559" s="97"/>
      <c r="AT559" s="97"/>
      <c r="AU559" s="97"/>
      <c r="AV559" s="97"/>
      <c r="AW559" s="97"/>
      <c r="AX559" s="97"/>
      <c r="AY559" s="97"/>
      <c r="AZ559" s="97"/>
      <c r="BA559" s="97"/>
      <c r="BB559" s="97"/>
      <c r="BC559" s="97"/>
      <c r="BD559" s="97"/>
      <c r="BE559" s="97"/>
      <c r="BF559" s="97"/>
      <c r="BG559" s="97"/>
      <c r="BH559" s="97"/>
    </row>
    <row r="560" spans="1:60" x14ac:dyDescent="0.25">
      <c r="A560" s="106"/>
      <c r="B560" s="107"/>
      <c r="C560" s="107"/>
      <c r="D560" s="107"/>
      <c r="E560" s="108"/>
      <c r="F560" s="109" t="str">
        <f>IF(H560&lt;&gt;"",H560-Accueil!N$6+1/60/24,"")</f>
        <v/>
      </c>
      <c r="G560" s="107"/>
      <c r="H560" s="109"/>
      <c r="I560" s="110"/>
      <c r="J560" s="110"/>
      <c r="K560" s="111"/>
      <c r="L560" s="112"/>
      <c r="M560" s="113"/>
      <c r="N560" s="114"/>
      <c r="O560" s="107"/>
      <c r="P560" s="107"/>
      <c r="Q560" s="115"/>
      <c r="R560" s="116"/>
      <c r="S560" s="107"/>
      <c r="T560" s="107"/>
      <c r="U560" s="107" t="str">
        <f t="shared" si="11"/>
        <v/>
      </c>
      <c r="V560" s="107"/>
      <c r="W560" s="107"/>
      <c r="X560" s="107"/>
      <c r="Y560" s="107"/>
      <c r="Z560" s="107"/>
      <c r="AA560" s="107"/>
      <c r="AB560" s="107"/>
      <c r="AC560" s="107"/>
      <c r="AD560" s="107"/>
      <c r="AE560" s="107"/>
      <c r="AF560" s="107"/>
      <c r="AG560" s="107"/>
      <c r="AH560" s="107"/>
      <c r="AI560" s="107"/>
      <c r="AJ560" s="107"/>
      <c r="AK560" s="107"/>
      <c r="AL560" s="107"/>
      <c r="AM560" s="107"/>
      <c r="AN560" s="107"/>
      <c r="AO560" s="107"/>
      <c r="AP560" s="107"/>
      <c r="AQ560" s="107"/>
      <c r="AR560" s="107"/>
      <c r="AS560" s="107"/>
      <c r="AT560" s="107"/>
      <c r="AU560" s="107"/>
      <c r="AV560" s="107"/>
      <c r="AW560" s="107"/>
      <c r="AX560" s="107"/>
      <c r="AY560" s="107"/>
      <c r="AZ560" s="107"/>
      <c r="BA560" s="107"/>
      <c r="BB560" s="107"/>
      <c r="BC560" s="107"/>
      <c r="BD560" s="107"/>
      <c r="BE560" s="107"/>
      <c r="BF560" s="107"/>
      <c r="BG560" s="107"/>
      <c r="BH560" s="107"/>
    </row>
    <row r="561" spans="1:60" x14ac:dyDescent="0.25">
      <c r="A561" s="96"/>
      <c r="B561" s="97"/>
      <c r="C561" s="97"/>
      <c r="D561" s="97"/>
      <c r="E561" s="98"/>
      <c r="F561" s="99" t="str">
        <f>IF(H561&lt;&gt;"",H561-Accueil!N$6+1/60/24,"")</f>
        <v/>
      </c>
      <c r="G561" s="97"/>
      <c r="H561" s="99"/>
      <c r="I561" s="99"/>
      <c r="J561" s="100"/>
      <c r="K561" s="101"/>
      <c r="L561" s="102"/>
      <c r="M561" s="103"/>
      <c r="N561" s="104"/>
      <c r="O561" s="97"/>
      <c r="P561" s="97"/>
      <c r="Q561" s="97"/>
      <c r="R561" s="105"/>
      <c r="S561" s="97"/>
      <c r="T561" s="97"/>
      <c r="U561" s="97" t="str">
        <f t="shared" si="11"/>
        <v/>
      </c>
      <c r="V561" s="97"/>
      <c r="W561" s="97"/>
      <c r="X561" s="97"/>
      <c r="Y561" s="97"/>
      <c r="Z561" s="97"/>
      <c r="AA561" s="97"/>
      <c r="AB561" s="97"/>
      <c r="AC561" s="97"/>
      <c r="AD561" s="97"/>
      <c r="AE561" s="97"/>
      <c r="AF561" s="97"/>
      <c r="AG561" s="97"/>
      <c r="AH561" s="97"/>
      <c r="AI561" s="97"/>
      <c r="AJ561" s="97"/>
      <c r="AK561" s="97"/>
      <c r="AL561" s="97"/>
      <c r="AM561" s="97"/>
      <c r="AN561" s="97"/>
      <c r="AO561" s="97"/>
      <c r="AP561" s="97"/>
      <c r="AQ561" s="97"/>
      <c r="AR561" s="97"/>
      <c r="AS561" s="97"/>
      <c r="AT561" s="97"/>
      <c r="AU561" s="97"/>
      <c r="AV561" s="97"/>
      <c r="AW561" s="97"/>
      <c r="AX561" s="97"/>
      <c r="AY561" s="97"/>
      <c r="AZ561" s="97"/>
      <c r="BA561" s="97"/>
      <c r="BB561" s="97"/>
      <c r="BC561" s="97"/>
      <c r="BD561" s="97"/>
      <c r="BE561" s="97"/>
      <c r="BF561" s="97"/>
      <c r="BG561" s="97"/>
      <c r="BH561" s="97"/>
    </row>
    <row r="562" spans="1:60" x14ac:dyDescent="0.25">
      <c r="A562" s="106"/>
      <c r="B562" s="107"/>
      <c r="C562" s="107"/>
      <c r="D562" s="107"/>
      <c r="E562" s="108"/>
      <c r="F562" s="109" t="str">
        <f>IF(H562&lt;&gt;"",H562-Accueil!N$6+1/60/24,"")</f>
        <v/>
      </c>
      <c r="G562" s="107"/>
      <c r="H562" s="109"/>
      <c r="I562" s="110"/>
      <c r="J562" s="110"/>
      <c r="K562" s="111"/>
      <c r="L562" s="112"/>
      <c r="M562" s="113"/>
      <c r="N562" s="114"/>
      <c r="O562" s="107"/>
      <c r="P562" s="107"/>
      <c r="Q562" s="115"/>
      <c r="R562" s="116"/>
      <c r="S562" s="107"/>
      <c r="T562" s="107"/>
      <c r="U562" s="107" t="str">
        <f t="shared" si="11"/>
        <v/>
      </c>
      <c r="V562" s="107"/>
      <c r="W562" s="107"/>
      <c r="X562" s="107"/>
      <c r="Y562" s="107"/>
      <c r="Z562" s="107"/>
      <c r="AA562" s="107"/>
      <c r="AB562" s="107"/>
      <c r="AC562" s="107"/>
      <c r="AD562" s="107"/>
      <c r="AE562" s="107"/>
      <c r="AF562" s="107"/>
      <c r="AG562" s="107"/>
      <c r="AH562" s="107"/>
      <c r="AI562" s="107"/>
      <c r="AJ562" s="107"/>
      <c r="AK562" s="107"/>
      <c r="AL562" s="107"/>
      <c r="AM562" s="107"/>
      <c r="AN562" s="107"/>
      <c r="AO562" s="107"/>
      <c r="AP562" s="107"/>
      <c r="AQ562" s="107"/>
      <c r="AR562" s="107"/>
      <c r="AS562" s="107"/>
      <c r="AT562" s="107"/>
      <c r="AU562" s="107"/>
      <c r="AV562" s="107"/>
      <c r="AW562" s="107"/>
      <c r="AX562" s="107"/>
      <c r="AY562" s="107"/>
      <c r="AZ562" s="107"/>
      <c r="BA562" s="107"/>
      <c r="BB562" s="107"/>
      <c r="BC562" s="107"/>
      <c r="BD562" s="107"/>
      <c r="BE562" s="107"/>
      <c r="BF562" s="107"/>
      <c r="BG562" s="107"/>
      <c r="BH562" s="107"/>
    </row>
    <row r="563" spans="1:60" x14ac:dyDescent="0.25">
      <c r="A563" s="96"/>
      <c r="B563" s="97"/>
      <c r="C563" s="97"/>
      <c r="D563" s="97"/>
      <c r="E563" s="98"/>
      <c r="F563" s="99" t="str">
        <f>IF(H563&lt;&gt;"",H563-Accueil!N$6+1/60/24,"")</f>
        <v/>
      </c>
      <c r="G563" s="97"/>
      <c r="H563" s="99"/>
      <c r="I563" s="99"/>
      <c r="J563" s="100"/>
      <c r="K563" s="101"/>
      <c r="L563" s="102"/>
      <c r="M563" s="103"/>
      <c r="N563" s="104"/>
      <c r="O563" s="97"/>
      <c r="P563" s="97"/>
      <c r="Q563" s="97"/>
      <c r="R563" s="105"/>
      <c r="S563" s="97"/>
      <c r="T563" s="97"/>
      <c r="U563" s="97" t="str">
        <f t="shared" si="11"/>
        <v/>
      </c>
      <c r="V563" s="97"/>
      <c r="W563" s="97"/>
      <c r="X563" s="97"/>
      <c r="Y563" s="97"/>
      <c r="Z563" s="97"/>
      <c r="AA563" s="97"/>
      <c r="AB563" s="97"/>
      <c r="AC563" s="97"/>
      <c r="AD563" s="97"/>
      <c r="AE563" s="97"/>
      <c r="AF563" s="97"/>
      <c r="AG563" s="97"/>
      <c r="AH563" s="97"/>
      <c r="AI563" s="97"/>
      <c r="AJ563" s="97"/>
      <c r="AK563" s="97"/>
      <c r="AL563" s="97"/>
      <c r="AM563" s="97"/>
      <c r="AN563" s="97"/>
      <c r="AO563" s="97"/>
      <c r="AP563" s="97"/>
      <c r="AQ563" s="97"/>
      <c r="AR563" s="97"/>
      <c r="AS563" s="97"/>
      <c r="AT563" s="97"/>
      <c r="AU563" s="97"/>
      <c r="AV563" s="97"/>
      <c r="AW563" s="97"/>
      <c r="AX563" s="97"/>
      <c r="AY563" s="97"/>
      <c r="AZ563" s="97"/>
      <c r="BA563" s="97"/>
      <c r="BB563" s="97"/>
      <c r="BC563" s="97"/>
      <c r="BD563" s="97"/>
      <c r="BE563" s="97"/>
      <c r="BF563" s="97"/>
      <c r="BG563" s="97"/>
      <c r="BH563" s="97"/>
    </row>
    <row r="564" spans="1:60" x14ac:dyDescent="0.25">
      <c r="A564" s="106"/>
      <c r="B564" s="107"/>
      <c r="C564" s="107"/>
      <c r="D564" s="107"/>
      <c r="E564" s="108"/>
      <c r="F564" s="109" t="str">
        <f>IF(H564&lt;&gt;"",H564-Accueil!N$6+1/60/24,"")</f>
        <v/>
      </c>
      <c r="G564" s="107"/>
      <c r="H564" s="109"/>
      <c r="I564" s="110"/>
      <c r="J564" s="110"/>
      <c r="K564" s="111"/>
      <c r="L564" s="112"/>
      <c r="M564" s="113"/>
      <c r="N564" s="114"/>
      <c r="O564" s="107"/>
      <c r="P564" s="107"/>
      <c r="Q564" s="115"/>
      <c r="R564" s="116"/>
      <c r="S564" s="107"/>
      <c r="T564" s="107"/>
      <c r="U564" s="107" t="str">
        <f t="shared" si="11"/>
        <v/>
      </c>
      <c r="V564" s="107"/>
      <c r="W564" s="107"/>
      <c r="X564" s="107"/>
      <c r="Y564" s="107"/>
      <c r="Z564" s="107"/>
      <c r="AA564" s="107"/>
      <c r="AB564" s="107"/>
      <c r="AC564" s="107"/>
      <c r="AD564" s="107"/>
      <c r="AE564" s="107"/>
      <c r="AF564" s="107"/>
      <c r="AG564" s="107"/>
      <c r="AH564" s="107"/>
      <c r="AI564" s="107"/>
      <c r="AJ564" s="107"/>
      <c r="AK564" s="107"/>
      <c r="AL564" s="107"/>
      <c r="AM564" s="107"/>
      <c r="AN564" s="107"/>
      <c r="AO564" s="107"/>
      <c r="AP564" s="107"/>
      <c r="AQ564" s="107"/>
      <c r="AR564" s="107"/>
      <c r="AS564" s="107"/>
      <c r="AT564" s="107"/>
      <c r="AU564" s="107"/>
      <c r="AV564" s="107"/>
      <c r="AW564" s="107"/>
      <c r="AX564" s="107"/>
      <c r="AY564" s="107"/>
      <c r="AZ564" s="107"/>
      <c r="BA564" s="107"/>
      <c r="BB564" s="107"/>
      <c r="BC564" s="107"/>
      <c r="BD564" s="107"/>
      <c r="BE564" s="107"/>
      <c r="BF564" s="107"/>
      <c r="BG564" s="107"/>
      <c r="BH564" s="107"/>
    </row>
    <row r="565" spans="1:60" x14ac:dyDescent="0.25">
      <c r="A565" s="96"/>
      <c r="B565" s="97"/>
      <c r="C565" s="97"/>
      <c r="D565" s="97"/>
      <c r="E565" s="98"/>
      <c r="F565" s="99" t="str">
        <f>IF(H565&lt;&gt;"",H565-Accueil!N$6+1/60/24,"")</f>
        <v/>
      </c>
      <c r="G565" s="97"/>
      <c r="H565" s="99"/>
      <c r="I565" s="99"/>
      <c r="J565" s="100"/>
      <c r="K565" s="101"/>
      <c r="L565" s="102"/>
      <c r="M565" s="103"/>
      <c r="N565" s="104"/>
      <c r="O565" s="97"/>
      <c r="P565" s="97"/>
      <c r="Q565" s="97"/>
      <c r="R565" s="105"/>
      <c r="S565" s="97"/>
      <c r="T565" s="97"/>
      <c r="U565" s="97" t="str">
        <f t="shared" si="11"/>
        <v/>
      </c>
      <c r="V565" s="97"/>
      <c r="W565" s="97"/>
      <c r="X565" s="97"/>
      <c r="Y565" s="97"/>
      <c r="Z565" s="97"/>
      <c r="AA565" s="97"/>
      <c r="AB565" s="97"/>
      <c r="AC565" s="97"/>
      <c r="AD565" s="97"/>
      <c r="AE565" s="97"/>
      <c r="AF565" s="97"/>
      <c r="AG565" s="97"/>
      <c r="AH565" s="97"/>
      <c r="AI565" s="97"/>
      <c r="AJ565" s="97"/>
      <c r="AK565" s="97"/>
      <c r="AL565" s="97"/>
      <c r="AM565" s="97"/>
      <c r="AN565" s="97"/>
      <c r="AO565" s="97"/>
      <c r="AP565" s="97"/>
      <c r="AQ565" s="97"/>
      <c r="AR565" s="97"/>
      <c r="AS565" s="97"/>
      <c r="AT565" s="97"/>
      <c r="AU565" s="97"/>
      <c r="AV565" s="97"/>
      <c r="AW565" s="97"/>
      <c r="AX565" s="97"/>
      <c r="AY565" s="97"/>
      <c r="AZ565" s="97"/>
      <c r="BA565" s="97"/>
      <c r="BB565" s="97"/>
      <c r="BC565" s="97"/>
      <c r="BD565" s="97"/>
      <c r="BE565" s="97"/>
      <c r="BF565" s="97"/>
      <c r="BG565" s="97"/>
      <c r="BH565" s="97"/>
    </row>
    <row r="566" spans="1:60" x14ac:dyDescent="0.25">
      <c r="A566" s="106"/>
      <c r="B566" s="107"/>
      <c r="C566" s="107"/>
      <c r="D566" s="107"/>
      <c r="E566" s="108"/>
      <c r="F566" s="109" t="str">
        <f>IF(H566&lt;&gt;"",H566-Accueil!N$6+1/60/24,"")</f>
        <v/>
      </c>
      <c r="G566" s="107"/>
      <c r="H566" s="109"/>
      <c r="I566" s="110"/>
      <c r="J566" s="110"/>
      <c r="K566" s="111"/>
      <c r="L566" s="112"/>
      <c r="M566" s="113"/>
      <c r="N566" s="114"/>
      <c r="O566" s="107"/>
      <c r="P566" s="107"/>
      <c r="Q566" s="115"/>
      <c r="R566" s="116"/>
      <c r="S566" s="107"/>
      <c r="T566" s="107"/>
      <c r="U566" s="107" t="str">
        <f t="shared" si="11"/>
        <v/>
      </c>
      <c r="V566" s="107"/>
      <c r="W566" s="107"/>
      <c r="X566" s="107"/>
      <c r="Y566" s="107"/>
      <c r="Z566" s="107"/>
      <c r="AA566" s="107"/>
      <c r="AB566" s="107"/>
      <c r="AC566" s="107"/>
      <c r="AD566" s="107"/>
      <c r="AE566" s="107"/>
      <c r="AF566" s="107"/>
      <c r="AG566" s="107"/>
      <c r="AH566" s="107"/>
      <c r="AI566" s="107"/>
      <c r="AJ566" s="107"/>
      <c r="AK566" s="107"/>
      <c r="AL566" s="107"/>
      <c r="AM566" s="107"/>
      <c r="AN566" s="107"/>
      <c r="AO566" s="107"/>
      <c r="AP566" s="107"/>
      <c r="AQ566" s="107"/>
      <c r="AR566" s="107"/>
      <c r="AS566" s="107"/>
      <c r="AT566" s="107"/>
      <c r="AU566" s="107"/>
      <c r="AV566" s="107"/>
      <c r="AW566" s="107"/>
      <c r="AX566" s="107"/>
      <c r="AY566" s="107"/>
      <c r="AZ566" s="107"/>
      <c r="BA566" s="107"/>
      <c r="BB566" s="107"/>
      <c r="BC566" s="107"/>
      <c r="BD566" s="107"/>
      <c r="BE566" s="107"/>
      <c r="BF566" s="107"/>
      <c r="BG566" s="107"/>
      <c r="BH566" s="107"/>
    </row>
    <row r="567" spans="1:60" x14ac:dyDescent="0.25">
      <c r="A567" s="96"/>
      <c r="B567" s="97"/>
      <c r="C567" s="97"/>
      <c r="D567" s="97"/>
      <c r="E567" s="98"/>
      <c r="F567" s="99" t="str">
        <f>IF(H567&lt;&gt;"",H567-Accueil!N$6+1/60/24,"")</f>
        <v/>
      </c>
      <c r="G567" s="97"/>
      <c r="H567" s="99"/>
      <c r="I567" s="99"/>
      <c r="J567" s="100"/>
      <c r="K567" s="101"/>
      <c r="L567" s="102"/>
      <c r="M567" s="103"/>
      <c r="N567" s="104"/>
      <c r="O567" s="97"/>
      <c r="P567" s="97"/>
      <c r="Q567" s="97"/>
      <c r="R567" s="105"/>
      <c r="S567" s="97"/>
      <c r="T567" s="97"/>
      <c r="U567" s="97" t="str">
        <f t="shared" si="11"/>
        <v/>
      </c>
      <c r="V567" s="97"/>
      <c r="W567" s="97"/>
      <c r="X567" s="97"/>
      <c r="Y567" s="97"/>
      <c r="Z567" s="97"/>
      <c r="AA567" s="97"/>
      <c r="AB567" s="97"/>
      <c r="AC567" s="97"/>
      <c r="AD567" s="97"/>
      <c r="AE567" s="97"/>
      <c r="AF567" s="97"/>
      <c r="AG567" s="97"/>
      <c r="AH567" s="97"/>
      <c r="AI567" s="97"/>
      <c r="AJ567" s="97"/>
      <c r="AK567" s="97"/>
      <c r="AL567" s="97"/>
      <c r="AM567" s="97"/>
      <c r="AN567" s="97"/>
      <c r="AO567" s="97"/>
      <c r="AP567" s="97"/>
      <c r="AQ567" s="97"/>
      <c r="AR567" s="97"/>
      <c r="AS567" s="97"/>
      <c r="AT567" s="97"/>
      <c r="AU567" s="97"/>
      <c r="AV567" s="97"/>
      <c r="AW567" s="97"/>
      <c r="AX567" s="97"/>
      <c r="AY567" s="97"/>
      <c r="AZ567" s="97"/>
      <c r="BA567" s="97"/>
      <c r="BB567" s="97"/>
      <c r="BC567" s="97"/>
      <c r="BD567" s="97"/>
      <c r="BE567" s="97"/>
      <c r="BF567" s="97"/>
      <c r="BG567" s="97"/>
      <c r="BH567" s="97"/>
    </row>
    <row r="568" spans="1:60" x14ac:dyDescent="0.25">
      <c r="A568" s="106"/>
      <c r="B568" s="107"/>
      <c r="C568" s="107"/>
      <c r="D568" s="107"/>
      <c r="E568" s="108"/>
      <c r="F568" s="109" t="str">
        <f>IF(H568&lt;&gt;"",H568-Accueil!N$6+1/60/24,"")</f>
        <v/>
      </c>
      <c r="G568" s="107"/>
      <c r="H568" s="109"/>
      <c r="I568" s="110"/>
      <c r="J568" s="110"/>
      <c r="K568" s="111"/>
      <c r="L568" s="112"/>
      <c r="M568" s="113"/>
      <c r="N568" s="114"/>
      <c r="O568" s="107"/>
      <c r="P568" s="107"/>
      <c r="Q568" s="115"/>
      <c r="R568" s="116"/>
      <c r="S568" s="107"/>
      <c r="T568" s="107"/>
      <c r="U568" s="107" t="str">
        <f t="shared" si="11"/>
        <v/>
      </c>
      <c r="V568" s="107"/>
      <c r="W568" s="107"/>
      <c r="X568" s="107"/>
      <c r="Y568" s="107"/>
      <c r="Z568" s="107"/>
      <c r="AA568" s="107"/>
      <c r="AB568" s="107"/>
      <c r="AC568" s="107"/>
      <c r="AD568" s="107"/>
      <c r="AE568" s="107"/>
      <c r="AF568" s="107"/>
      <c r="AG568" s="107"/>
      <c r="AH568" s="107"/>
      <c r="AI568" s="107"/>
      <c r="AJ568" s="107"/>
      <c r="AK568" s="107"/>
      <c r="AL568" s="107"/>
      <c r="AM568" s="107"/>
      <c r="AN568" s="107"/>
      <c r="AO568" s="107"/>
      <c r="AP568" s="107"/>
      <c r="AQ568" s="107"/>
      <c r="AR568" s="107"/>
      <c r="AS568" s="107"/>
      <c r="AT568" s="107"/>
      <c r="AU568" s="107"/>
      <c r="AV568" s="107"/>
      <c r="AW568" s="107"/>
      <c r="AX568" s="107"/>
      <c r="AY568" s="107"/>
      <c r="AZ568" s="107"/>
      <c r="BA568" s="107"/>
      <c r="BB568" s="107"/>
      <c r="BC568" s="107"/>
      <c r="BD568" s="107"/>
      <c r="BE568" s="107"/>
      <c r="BF568" s="107"/>
      <c r="BG568" s="107"/>
      <c r="BH568" s="107"/>
    </row>
    <row r="569" spans="1:60" x14ac:dyDescent="0.25">
      <c r="A569" s="96"/>
      <c r="B569" s="97"/>
      <c r="C569" s="97"/>
      <c r="D569" s="97"/>
      <c r="E569" s="98"/>
      <c r="F569" s="99" t="str">
        <f>IF(H569&lt;&gt;"",H569-Accueil!N$6+1/60/24,"")</f>
        <v/>
      </c>
      <c r="G569" s="97"/>
      <c r="H569" s="99"/>
      <c r="I569" s="99"/>
      <c r="J569" s="100"/>
      <c r="K569" s="101"/>
      <c r="L569" s="102"/>
      <c r="M569" s="103"/>
      <c r="N569" s="104"/>
      <c r="O569" s="97"/>
      <c r="P569" s="97"/>
      <c r="Q569" s="97"/>
      <c r="R569" s="105"/>
      <c r="S569" s="97"/>
      <c r="T569" s="97"/>
      <c r="U569" s="97" t="str">
        <f t="shared" si="11"/>
        <v/>
      </c>
      <c r="V569" s="97"/>
      <c r="W569" s="97"/>
      <c r="X569" s="97"/>
      <c r="Y569" s="97"/>
      <c r="Z569" s="97"/>
      <c r="AA569" s="97"/>
      <c r="AB569" s="97"/>
      <c r="AC569" s="97"/>
      <c r="AD569" s="97"/>
      <c r="AE569" s="97"/>
      <c r="AF569" s="97"/>
      <c r="AG569" s="97"/>
      <c r="AH569" s="97"/>
      <c r="AI569" s="97"/>
      <c r="AJ569" s="97"/>
      <c r="AK569" s="97"/>
      <c r="AL569" s="97"/>
      <c r="AM569" s="97"/>
      <c r="AN569" s="97"/>
      <c r="AO569" s="97"/>
      <c r="AP569" s="97"/>
      <c r="AQ569" s="97"/>
      <c r="AR569" s="97"/>
      <c r="AS569" s="97"/>
      <c r="AT569" s="97"/>
      <c r="AU569" s="97"/>
      <c r="AV569" s="97"/>
      <c r="AW569" s="97"/>
      <c r="AX569" s="97"/>
      <c r="AY569" s="97"/>
      <c r="AZ569" s="97"/>
      <c r="BA569" s="97"/>
      <c r="BB569" s="97"/>
      <c r="BC569" s="97"/>
      <c r="BD569" s="97"/>
      <c r="BE569" s="97"/>
      <c r="BF569" s="97"/>
      <c r="BG569" s="97"/>
      <c r="BH569" s="97"/>
    </row>
    <row r="570" spans="1:60" x14ac:dyDescent="0.25">
      <c r="A570" s="106"/>
      <c r="B570" s="107"/>
      <c r="C570" s="107"/>
      <c r="D570" s="107"/>
      <c r="E570" s="108"/>
      <c r="F570" s="109" t="str">
        <f>IF(H570&lt;&gt;"",H570-Accueil!N$6+1/60/24,"")</f>
        <v/>
      </c>
      <c r="G570" s="107"/>
      <c r="H570" s="109"/>
      <c r="I570" s="110"/>
      <c r="J570" s="110"/>
      <c r="K570" s="111"/>
      <c r="L570" s="112"/>
      <c r="M570" s="113"/>
      <c r="N570" s="114"/>
      <c r="O570" s="107"/>
      <c r="P570" s="107"/>
      <c r="Q570" s="115"/>
      <c r="R570" s="116"/>
      <c r="S570" s="107"/>
      <c r="T570" s="107"/>
      <c r="U570" s="107" t="str">
        <f t="shared" si="11"/>
        <v/>
      </c>
      <c r="V570" s="107"/>
      <c r="W570" s="107"/>
      <c r="X570" s="107"/>
      <c r="Y570" s="107"/>
      <c r="Z570" s="107"/>
      <c r="AA570" s="107"/>
      <c r="AB570" s="107"/>
      <c r="AC570" s="107"/>
      <c r="AD570" s="107"/>
      <c r="AE570" s="107"/>
      <c r="AF570" s="107"/>
      <c r="AG570" s="107"/>
      <c r="AH570" s="107"/>
      <c r="AI570" s="107"/>
      <c r="AJ570" s="107"/>
      <c r="AK570" s="107"/>
      <c r="AL570" s="107"/>
      <c r="AM570" s="107"/>
      <c r="AN570" s="107"/>
      <c r="AO570" s="107"/>
      <c r="AP570" s="107"/>
      <c r="AQ570" s="107"/>
      <c r="AR570" s="107"/>
      <c r="AS570" s="107"/>
      <c r="AT570" s="107"/>
      <c r="AU570" s="107"/>
      <c r="AV570" s="107"/>
      <c r="AW570" s="107"/>
      <c r="AX570" s="107"/>
      <c r="AY570" s="107"/>
      <c r="AZ570" s="107"/>
      <c r="BA570" s="107"/>
      <c r="BB570" s="107"/>
      <c r="BC570" s="107"/>
      <c r="BD570" s="107"/>
      <c r="BE570" s="107"/>
      <c r="BF570" s="107"/>
      <c r="BG570" s="107"/>
      <c r="BH570" s="107"/>
    </row>
    <row r="571" spans="1:60" x14ac:dyDescent="0.25">
      <c r="A571" s="96"/>
      <c r="B571" s="97"/>
      <c r="C571" s="97"/>
      <c r="D571" s="97"/>
      <c r="E571" s="98"/>
      <c r="F571" s="99" t="str">
        <f>IF(H571&lt;&gt;"",H571-Accueil!N$6+1/60/24,"")</f>
        <v/>
      </c>
      <c r="G571" s="97"/>
      <c r="H571" s="99"/>
      <c r="I571" s="99"/>
      <c r="J571" s="100"/>
      <c r="K571" s="101"/>
      <c r="L571" s="102"/>
      <c r="M571" s="103"/>
      <c r="N571" s="104"/>
      <c r="O571" s="97"/>
      <c r="P571" s="97"/>
      <c r="Q571" s="97"/>
      <c r="R571" s="105"/>
      <c r="S571" s="97"/>
      <c r="T571" s="97"/>
      <c r="U571" s="97" t="str">
        <f t="shared" si="11"/>
        <v/>
      </c>
      <c r="V571" s="97"/>
      <c r="W571" s="97"/>
      <c r="X571" s="97"/>
      <c r="Y571" s="97"/>
      <c r="Z571" s="97"/>
      <c r="AA571" s="97"/>
      <c r="AB571" s="97"/>
      <c r="AC571" s="97"/>
      <c r="AD571" s="97"/>
      <c r="AE571" s="97"/>
      <c r="AF571" s="97"/>
      <c r="AG571" s="97"/>
      <c r="AH571" s="97"/>
      <c r="AI571" s="97"/>
      <c r="AJ571" s="97"/>
      <c r="AK571" s="97"/>
      <c r="AL571" s="97"/>
      <c r="AM571" s="97"/>
      <c r="AN571" s="97"/>
      <c r="AO571" s="97"/>
      <c r="AP571" s="97"/>
      <c r="AQ571" s="97"/>
      <c r="AR571" s="97"/>
      <c r="AS571" s="97"/>
      <c r="AT571" s="97"/>
      <c r="AU571" s="97"/>
      <c r="AV571" s="97"/>
      <c r="AW571" s="97"/>
      <c r="AX571" s="97"/>
      <c r="AY571" s="97"/>
      <c r="AZ571" s="97"/>
      <c r="BA571" s="97"/>
      <c r="BB571" s="97"/>
      <c r="BC571" s="97"/>
      <c r="BD571" s="97"/>
      <c r="BE571" s="97"/>
      <c r="BF571" s="97"/>
      <c r="BG571" s="97"/>
      <c r="BH571" s="97"/>
    </row>
    <row r="572" spans="1:60" x14ac:dyDescent="0.25">
      <c r="A572" s="106"/>
      <c r="B572" s="107"/>
      <c r="C572" s="107"/>
      <c r="D572" s="107"/>
      <c r="E572" s="108"/>
      <c r="F572" s="109" t="str">
        <f>IF(H572&lt;&gt;"",H572-Accueil!N$6+1/60/24,"")</f>
        <v/>
      </c>
      <c r="G572" s="107"/>
      <c r="H572" s="109"/>
      <c r="I572" s="110"/>
      <c r="J572" s="110"/>
      <c r="K572" s="111"/>
      <c r="L572" s="112"/>
      <c r="M572" s="113"/>
      <c r="N572" s="114"/>
      <c r="O572" s="107"/>
      <c r="P572" s="107"/>
      <c r="Q572" s="115"/>
      <c r="R572" s="116"/>
      <c r="S572" s="107"/>
      <c r="T572" s="107"/>
      <c r="U572" s="107" t="str">
        <f t="shared" si="11"/>
        <v/>
      </c>
      <c r="V572" s="107"/>
      <c r="W572" s="107"/>
      <c r="X572" s="107"/>
      <c r="Y572" s="107"/>
      <c r="Z572" s="107"/>
      <c r="AA572" s="107"/>
      <c r="AB572" s="107"/>
      <c r="AC572" s="107"/>
      <c r="AD572" s="107"/>
      <c r="AE572" s="107"/>
      <c r="AF572" s="107"/>
      <c r="AG572" s="107"/>
      <c r="AH572" s="107"/>
      <c r="AI572" s="107"/>
      <c r="AJ572" s="107"/>
      <c r="AK572" s="107"/>
      <c r="AL572" s="107"/>
      <c r="AM572" s="107"/>
      <c r="AN572" s="107"/>
      <c r="AO572" s="107"/>
      <c r="AP572" s="107"/>
      <c r="AQ572" s="107"/>
      <c r="AR572" s="107"/>
      <c r="AS572" s="107"/>
      <c r="AT572" s="107"/>
      <c r="AU572" s="107"/>
      <c r="AV572" s="107"/>
      <c r="AW572" s="107"/>
      <c r="AX572" s="107"/>
      <c r="AY572" s="107"/>
      <c r="AZ572" s="107"/>
      <c r="BA572" s="107"/>
      <c r="BB572" s="107"/>
      <c r="BC572" s="107"/>
      <c r="BD572" s="107"/>
      <c r="BE572" s="107"/>
      <c r="BF572" s="107"/>
      <c r="BG572" s="107"/>
      <c r="BH572" s="107"/>
    </row>
    <row r="573" spans="1:60" x14ac:dyDescent="0.25">
      <c r="A573" s="96"/>
      <c r="B573" s="97"/>
      <c r="C573" s="97"/>
      <c r="D573" s="97"/>
      <c r="E573" s="98"/>
      <c r="F573" s="99" t="str">
        <f>IF(H573&lt;&gt;"",H573-Accueil!N$6+1/60/24,"")</f>
        <v/>
      </c>
      <c r="G573" s="97"/>
      <c r="H573" s="99"/>
      <c r="I573" s="99"/>
      <c r="J573" s="100"/>
      <c r="K573" s="101"/>
      <c r="L573" s="102"/>
      <c r="M573" s="103"/>
      <c r="N573" s="104"/>
      <c r="O573" s="97"/>
      <c r="P573" s="97"/>
      <c r="Q573" s="97"/>
      <c r="R573" s="105"/>
      <c r="S573" s="97"/>
      <c r="T573" s="97"/>
      <c r="U573" s="97" t="str">
        <f t="shared" si="11"/>
        <v/>
      </c>
      <c r="V573" s="97"/>
      <c r="W573" s="97"/>
      <c r="X573" s="97"/>
      <c r="Y573" s="97"/>
      <c r="Z573" s="97"/>
      <c r="AA573" s="97"/>
      <c r="AB573" s="97"/>
      <c r="AC573" s="97"/>
      <c r="AD573" s="97"/>
      <c r="AE573" s="97"/>
      <c r="AF573" s="97"/>
      <c r="AG573" s="97"/>
      <c r="AH573" s="97"/>
      <c r="AI573" s="97"/>
      <c r="AJ573" s="97"/>
      <c r="AK573" s="97"/>
      <c r="AL573" s="97"/>
      <c r="AM573" s="97"/>
      <c r="AN573" s="97"/>
      <c r="AO573" s="97"/>
      <c r="AP573" s="97"/>
      <c r="AQ573" s="97"/>
      <c r="AR573" s="97"/>
      <c r="AS573" s="97"/>
      <c r="AT573" s="97"/>
      <c r="AU573" s="97"/>
      <c r="AV573" s="97"/>
      <c r="AW573" s="97"/>
      <c r="AX573" s="97"/>
      <c r="AY573" s="97"/>
      <c r="AZ573" s="97"/>
      <c r="BA573" s="97"/>
      <c r="BB573" s="97"/>
      <c r="BC573" s="97"/>
      <c r="BD573" s="97"/>
      <c r="BE573" s="97"/>
      <c r="BF573" s="97"/>
      <c r="BG573" s="97"/>
      <c r="BH573" s="97"/>
    </row>
    <row r="574" spans="1:60" x14ac:dyDescent="0.25">
      <c r="A574" s="106"/>
      <c r="B574" s="107"/>
      <c r="C574" s="107"/>
      <c r="D574" s="107"/>
      <c r="E574" s="108"/>
      <c r="F574" s="109" t="str">
        <f>IF(H574&lt;&gt;"",H574-Accueil!N$6+1/60/24,"")</f>
        <v/>
      </c>
      <c r="G574" s="107"/>
      <c r="H574" s="109"/>
      <c r="I574" s="110"/>
      <c r="J574" s="110"/>
      <c r="K574" s="111"/>
      <c r="L574" s="112"/>
      <c r="M574" s="113"/>
      <c r="N574" s="114"/>
      <c r="O574" s="107"/>
      <c r="P574" s="107"/>
      <c r="Q574" s="115"/>
      <c r="R574" s="116"/>
      <c r="S574" s="107"/>
      <c r="T574" s="107"/>
      <c r="U574" s="107" t="str">
        <f t="shared" si="11"/>
        <v/>
      </c>
      <c r="V574" s="107"/>
      <c r="W574" s="107"/>
      <c r="X574" s="107"/>
      <c r="Y574" s="107"/>
      <c r="Z574" s="107"/>
      <c r="AA574" s="107"/>
      <c r="AB574" s="107"/>
      <c r="AC574" s="107"/>
      <c r="AD574" s="107"/>
      <c r="AE574" s="107"/>
      <c r="AF574" s="107"/>
      <c r="AG574" s="107"/>
      <c r="AH574" s="107"/>
      <c r="AI574" s="107"/>
      <c r="AJ574" s="107"/>
      <c r="AK574" s="107"/>
      <c r="AL574" s="107"/>
      <c r="AM574" s="107"/>
      <c r="AN574" s="107"/>
      <c r="AO574" s="107"/>
      <c r="AP574" s="107"/>
      <c r="AQ574" s="107"/>
      <c r="AR574" s="107"/>
      <c r="AS574" s="107"/>
      <c r="AT574" s="107"/>
      <c r="AU574" s="107"/>
      <c r="AV574" s="107"/>
      <c r="AW574" s="107"/>
      <c r="AX574" s="107"/>
      <c r="AY574" s="107"/>
      <c r="AZ574" s="107"/>
      <c r="BA574" s="107"/>
      <c r="BB574" s="107"/>
      <c r="BC574" s="107"/>
      <c r="BD574" s="107"/>
      <c r="BE574" s="107"/>
      <c r="BF574" s="107"/>
      <c r="BG574" s="107"/>
      <c r="BH574" s="107"/>
    </row>
    <row r="575" spans="1:60" x14ac:dyDescent="0.25">
      <c r="A575" s="96"/>
      <c r="B575" s="97"/>
      <c r="C575" s="97"/>
      <c r="D575" s="97"/>
      <c r="E575" s="98"/>
      <c r="F575" s="99" t="str">
        <f>IF(H575&lt;&gt;"",H575-Accueil!N$6+1/60/24,"")</f>
        <v/>
      </c>
      <c r="G575" s="97"/>
      <c r="H575" s="99"/>
      <c r="I575" s="99"/>
      <c r="J575" s="100"/>
      <c r="K575" s="101"/>
      <c r="L575" s="102"/>
      <c r="M575" s="103"/>
      <c r="N575" s="104"/>
      <c r="O575" s="97"/>
      <c r="P575" s="97"/>
      <c r="Q575" s="97"/>
      <c r="R575" s="105"/>
      <c r="S575" s="97"/>
      <c r="T575" s="97"/>
      <c r="U575" s="97" t="str">
        <f t="shared" si="11"/>
        <v/>
      </c>
      <c r="V575" s="97"/>
      <c r="W575" s="97"/>
      <c r="X575" s="97"/>
      <c r="Y575" s="97"/>
      <c r="Z575" s="97"/>
      <c r="AA575" s="97"/>
      <c r="AB575" s="97"/>
      <c r="AC575" s="97"/>
      <c r="AD575" s="97"/>
      <c r="AE575" s="97"/>
      <c r="AF575" s="97"/>
      <c r="AG575" s="97"/>
      <c r="AH575" s="97"/>
      <c r="AI575" s="97"/>
      <c r="AJ575" s="97"/>
      <c r="AK575" s="97"/>
      <c r="AL575" s="97"/>
      <c r="AM575" s="97"/>
      <c r="AN575" s="97"/>
      <c r="AO575" s="97"/>
      <c r="AP575" s="97"/>
      <c r="AQ575" s="97"/>
      <c r="AR575" s="97"/>
      <c r="AS575" s="97"/>
      <c r="AT575" s="97"/>
      <c r="AU575" s="97"/>
      <c r="AV575" s="97"/>
      <c r="AW575" s="97"/>
      <c r="AX575" s="97"/>
      <c r="AY575" s="97"/>
      <c r="AZ575" s="97"/>
      <c r="BA575" s="97"/>
      <c r="BB575" s="97"/>
      <c r="BC575" s="97"/>
      <c r="BD575" s="97"/>
      <c r="BE575" s="97"/>
      <c r="BF575" s="97"/>
      <c r="BG575" s="97"/>
      <c r="BH575" s="97"/>
    </row>
    <row r="576" spans="1:60" x14ac:dyDescent="0.25">
      <c r="A576" s="106"/>
      <c r="B576" s="107"/>
      <c r="C576" s="107"/>
      <c r="D576" s="107"/>
      <c r="E576" s="108"/>
      <c r="F576" s="109" t="str">
        <f>IF(H576&lt;&gt;"",H576-Accueil!N$6+1/60/24,"")</f>
        <v/>
      </c>
      <c r="G576" s="107"/>
      <c r="H576" s="109"/>
      <c r="I576" s="110"/>
      <c r="J576" s="110"/>
      <c r="K576" s="111"/>
      <c r="L576" s="112"/>
      <c r="M576" s="113"/>
      <c r="N576" s="114"/>
      <c r="O576" s="107"/>
      <c r="P576" s="107"/>
      <c r="Q576" s="115"/>
      <c r="R576" s="116"/>
      <c r="S576" s="107"/>
      <c r="T576" s="107"/>
      <c r="U576" s="107" t="str">
        <f t="shared" si="11"/>
        <v/>
      </c>
      <c r="V576" s="107"/>
      <c r="W576" s="107"/>
      <c r="X576" s="107"/>
      <c r="Y576" s="107"/>
      <c r="Z576" s="107"/>
      <c r="AA576" s="107"/>
      <c r="AB576" s="107"/>
      <c r="AC576" s="107"/>
      <c r="AD576" s="107"/>
      <c r="AE576" s="107"/>
      <c r="AF576" s="107"/>
      <c r="AG576" s="107"/>
      <c r="AH576" s="107"/>
      <c r="AI576" s="107"/>
      <c r="AJ576" s="107"/>
      <c r="AK576" s="107"/>
      <c r="AL576" s="107"/>
      <c r="AM576" s="107"/>
      <c r="AN576" s="107"/>
      <c r="AO576" s="107"/>
      <c r="AP576" s="107"/>
      <c r="AQ576" s="107"/>
      <c r="AR576" s="107"/>
      <c r="AS576" s="107"/>
      <c r="AT576" s="107"/>
      <c r="AU576" s="107"/>
      <c r="AV576" s="107"/>
      <c r="AW576" s="107"/>
      <c r="AX576" s="107"/>
      <c r="AY576" s="107"/>
      <c r="AZ576" s="107"/>
      <c r="BA576" s="107"/>
      <c r="BB576" s="107"/>
      <c r="BC576" s="107"/>
      <c r="BD576" s="107"/>
      <c r="BE576" s="107"/>
      <c r="BF576" s="107"/>
      <c r="BG576" s="107"/>
      <c r="BH576" s="107"/>
    </row>
    <row r="577" spans="1:60" x14ac:dyDescent="0.25">
      <c r="A577" s="96"/>
      <c r="B577" s="97"/>
      <c r="C577" s="97"/>
      <c r="D577" s="97"/>
      <c r="E577" s="98"/>
      <c r="F577" s="99" t="str">
        <f>IF(H577&lt;&gt;"",H577-Accueil!N$6+1/60/24,"")</f>
        <v/>
      </c>
      <c r="G577" s="97"/>
      <c r="H577" s="99"/>
      <c r="I577" s="99"/>
      <c r="J577" s="100"/>
      <c r="K577" s="101"/>
      <c r="L577" s="102"/>
      <c r="M577" s="103"/>
      <c r="N577" s="104"/>
      <c r="O577" s="97"/>
      <c r="P577" s="97"/>
      <c r="Q577" s="97"/>
      <c r="R577" s="105"/>
      <c r="S577" s="97"/>
      <c r="T577" s="97"/>
      <c r="U577" s="97" t="str">
        <f t="shared" si="11"/>
        <v/>
      </c>
      <c r="V577" s="97"/>
      <c r="W577" s="97"/>
      <c r="X577" s="97"/>
      <c r="Y577" s="97"/>
      <c r="Z577" s="97"/>
      <c r="AA577" s="97"/>
      <c r="AB577" s="97"/>
      <c r="AC577" s="97"/>
      <c r="AD577" s="97"/>
      <c r="AE577" s="97"/>
      <c r="AF577" s="97"/>
      <c r="AG577" s="97"/>
      <c r="AH577" s="97"/>
      <c r="AI577" s="97"/>
      <c r="AJ577" s="97"/>
      <c r="AK577" s="97"/>
      <c r="AL577" s="97"/>
      <c r="AM577" s="97"/>
      <c r="AN577" s="97"/>
      <c r="AO577" s="97"/>
      <c r="AP577" s="97"/>
      <c r="AQ577" s="97"/>
      <c r="AR577" s="97"/>
      <c r="AS577" s="97"/>
      <c r="AT577" s="97"/>
      <c r="AU577" s="97"/>
      <c r="AV577" s="97"/>
      <c r="AW577" s="97"/>
      <c r="AX577" s="97"/>
      <c r="AY577" s="97"/>
      <c r="AZ577" s="97"/>
      <c r="BA577" s="97"/>
      <c r="BB577" s="97"/>
      <c r="BC577" s="97"/>
      <c r="BD577" s="97"/>
      <c r="BE577" s="97"/>
      <c r="BF577" s="97"/>
      <c r="BG577" s="97"/>
      <c r="BH577" s="97"/>
    </row>
    <row r="578" spans="1:60" x14ac:dyDescent="0.25">
      <c r="A578" s="106"/>
      <c r="B578" s="107"/>
      <c r="C578" s="107"/>
      <c r="D578" s="107"/>
      <c r="E578" s="108"/>
      <c r="F578" s="109" t="str">
        <f>IF(H578&lt;&gt;"",H578-Accueil!N$6+1/60/24,"")</f>
        <v/>
      </c>
      <c r="G578" s="107"/>
      <c r="H578" s="109"/>
      <c r="I578" s="110"/>
      <c r="J578" s="110"/>
      <c r="K578" s="111"/>
      <c r="L578" s="112"/>
      <c r="M578" s="113"/>
      <c r="N578" s="114"/>
      <c r="O578" s="107"/>
      <c r="P578" s="107"/>
      <c r="Q578" s="115"/>
      <c r="R578" s="116"/>
      <c r="S578" s="107"/>
      <c r="T578" s="107"/>
      <c r="U578" s="107" t="str">
        <f t="shared" si="11"/>
        <v/>
      </c>
      <c r="V578" s="107"/>
      <c r="W578" s="107"/>
      <c r="X578" s="107"/>
      <c r="Y578" s="107"/>
      <c r="Z578" s="107"/>
      <c r="AA578" s="107"/>
      <c r="AB578" s="107"/>
      <c r="AC578" s="107"/>
      <c r="AD578" s="107"/>
      <c r="AE578" s="107"/>
      <c r="AF578" s="107"/>
      <c r="AG578" s="107"/>
      <c r="AH578" s="107"/>
      <c r="AI578" s="107"/>
      <c r="AJ578" s="107"/>
      <c r="AK578" s="107"/>
      <c r="AL578" s="107"/>
      <c r="AM578" s="107"/>
      <c r="AN578" s="107"/>
      <c r="AO578" s="107"/>
      <c r="AP578" s="107"/>
      <c r="AQ578" s="107"/>
      <c r="AR578" s="107"/>
      <c r="AS578" s="107"/>
      <c r="AT578" s="107"/>
      <c r="AU578" s="107"/>
      <c r="AV578" s="107"/>
      <c r="AW578" s="107"/>
      <c r="AX578" s="107"/>
      <c r="AY578" s="107"/>
      <c r="AZ578" s="107"/>
      <c r="BA578" s="107"/>
      <c r="BB578" s="107"/>
      <c r="BC578" s="107"/>
      <c r="BD578" s="107"/>
      <c r="BE578" s="107"/>
      <c r="BF578" s="107"/>
      <c r="BG578" s="107"/>
      <c r="BH578" s="107"/>
    </row>
    <row r="579" spans="1:60" x14ac:dyDescent="0.25">
      <c r="A579" s="96"/>
      <c r="B579" s="97"/>
      <c r="C579" s="97"/>
      <c r="D579" s="97"/>
      <c r="E579" s="98"/>
      <c r="F579" s="99" t="str">
        <f>IF(H579&lt;&gt;"",H579-Accueil!N$6+1/60/24,"")</f>
        <v/>
      </c>
      <c r="G579" s="97"/>
      <c r="H579" s="99"/>
      <c r="I579" s="99"/>
      <c r="J579" s="100"/>
      <c r="K579" s="101"/>
      <c r="L579" s="102"/>
      <c r="M579" s="103"/>
      <c r="N579" s="104"/>
      <c r="O579" s="97"/>
      <c r="P579" s="97"/>
      <c r="Q579" s="97"/>
      <c r="R579" s="105"/>
      <c r="S579" s="97"/>
      <c r="T579" s="97"/>
      <c r="U579" s="97" t="str">
        <f t="shared" ref="U579:U642" si="12">IF(B579="","",IF(I579="",0,1))</f>
        <v/>
      </c>
      <c r="V579" s="97"/>
      <c r="W579" s="97"/>
      <c r="X579" s="97"/>
      <c r="Y579" s="97"/>
      <c r="Z579" s="97"/>
      <c r="AA579" s="97"/>
      <c r="AB579" s="97"/>
      <c r="AC579" s="97"/>
      <c r="AD579" s="97"/>
      <c r="AE579" s="97"/>
      <c r="AF579" s="97"/>
      <c r="AG579" s="97"/>
      <c r="AH579" s="97"/>
      <c r="AI579" s="97"/>
      <c r="AJ579" s="97"/>
      <c r="AK579" s="97"/>
      <c r="AL579" s="97"/>
      <c r="AM579" s="97"/>
      <c r="AN579" s="97"/>
      <c r="AO579" s="97"/>
      <c r="AP579" s="97"/>
      <c r="AQ579" s="97"/>
      <c r="AR579" s="97"/>
      <c r="AS579" s="97"/>
      <c r="AT579" s="97"/>
      <c r="AU579" s="97"/>
      <c r="AV579" s="97"/>
      <c r="AW579" s="97"/>
      <c r="AX579" s="97"/>
      <c r="AY579" s="97"/>
      <c r="AZ579" s="97"/>
      <c r="BA579" s="97"/>
      <c r="BB579" s="97"/>
      <c r="BC579" s="97"/>
      <c r="BD579" s="97"/>
      <c r="BE579" s="97"/>
      <c r="BF579" s="97"/>
      <c r="BG579" s="97"/>
      <c r="BH579" s="97"/>
    </row>
    <row r="580" spans="1:60" x14ac:dyDescent="0.25">
      <c r="A580" s="106"/>
      <c r="B580" s="107"/>
      <c r="C580" s="107"/>
      <c r="D580" s="107"/>
      <c r="E580" s="108"/>
      <c r="F580" s="109" t="str">
        <f>IF(H580&lt;&gt;"",H580-Accueil!N$6+1/60/24,"")</f>
        <v/>
      </c>
      <c r="G580" s="107"/>
      <c r="H580" s="109"/>
      <c r="I580" s="110"/>
      <c r="J580" s="110"/>
      <c r="K580" s="111"/>
      <c r="L580" s="112"/>
      <c r="M580" s="113"/>
      <c r="N580" s="114"/>
      <c r="O580" s="107"/>
      <c r="P580" s="107"/>
      <c r="Q580" s="115"/>
      <c r="R580" s="116"/>
      <c r="S580" s="107"/>
      <c r="T580" s="107"/>
      <c r="U580" s="107" t="str">
        <f t="shared" si="12"/>
        <v/>
      </c>
      <c r="V580" s="107"/>
      <c r="W580" s="107"/>
      <c r="X580" s="107"/>
      <c r="Y580" s="107"/>
      <c r="Z580" s="107"/>
      <c r="AA580" s="107"/>
      <c r="AB580" s="107"/>
      <c r="AC580" s="107"/>
      <c r="AD580" s="107"/>
      <c r="AE580" s="107"/>
      <c r="AF580" s="107"/>
      <c r="AG580" s="107"/>
      <c r="AH580" s="107"/>
      <c r="AI580" s="107"/>
      <c r="AJ580" s="107"/>
      <c r="AK580" s="107"/>
      <c r="AL580" s="107"/>
      <c r="AM580" s="107"/>
      <c r="AN580" s="107"/>
      <c r="AO580" s="107"/>
      <c r="AP580" s="107"/>
      <c r="AQ580" s="107"/>
      <c r="AR580" s="107"/>
      <c r="AS580" s="107"/>
      <c r="AT580" s="107"/>
      <c r="AU580" s="107"/>
      <c r="AV580" s="107"/>
      <c r="AW580" s="107"/>
      <c r="AX580" s="107"/>
      <c r="AY580" s="107"/>
      <c r="AZ580" s="107"/>
      <c r="BA580" s="107"/>
      <c r="BB580" s="107"/>
      <c r="BC580" s="107"/>
      <c r="BD580" s="107"/>
      <c r="BE580" s="107"/>
      <c r="BF580" s="107"/>
      <c r="BG580" s="107"/>
      <c r="BH580" s="107"/>
    </row>
    <row r="581" spans="1:60" x14ac:dyDescent="0.25">
      <c r="A581" s="96"/>
      <c r="B581" s="97"/>
      <c r="C581" s="97"/>
      <c r="D581" s="97"/>
      <c r="E581" s="98"/>
      <c r="F581" s="99" t="str">
        <f>IF(H581&lt;&gt;"",H581-Accueil!N$6+1/60/24,"")</f>
        <v/>
      </c>
      <c r="G581" s="97"/>
      <c r="H581" s="99"/>
      <c r="I581" s="99"/>
      <c r="J581" s="100"/>
      <c r="K581" s="101"/>
      <c r="L581" s="102"/>
      <c r="M581" s="103"/>
      <c r="N581" s="104"/>
      <c r="O581" s="97"/>
      <c r="P581" s="97"/>
      <c r="Q581" s="97"/>
      <c r="R581" s="105"/>
      <c r="S581" s="97"/>
      <c r="T581" s="97"/>
      <c r="U581" s="97" t="str">
        <f t="shared" si="12"/>
        <v/>
      </c>
      <c r="V581" s="97"/>
      <c r="W581" s="97"/>
      <c r="X581" s="97"/>
      <c r="Y581" s="97"/>
      <c r="Z581" s="97"/>
      <c r="AA581" s="97"/>
      <c r="AB581" s="97"/>
      <c r="AC581" s="97"/>
      <c r="AD581" s="97"/>
      <c r="AE581" s="97"/>
      <c r="AF581" s="97"/>
      <c r="AG581" s="97"/>
      <c r="AH581" s="97"/>
      <c r="AI581" s="97"/>
      <c r="AJ581" s="97"/>
      <c r="AK581" s="97"/>
      <c r="AL581" s="97"/>
      <c r="AM581" s="97"/>
      <c r="AN581" s="97"/>
      <c r="AO581" s="97"/>
      <c r="AP581" s="97"/>
      <c r="AQ581" s="97"/>
      <c r="AR581" s="97"/>
      <c r="AS581" s="97"/>
      <c r="AT581" s="97"/>
      <c r="AU581" s="97"/>
      <c r="AV581" s="97"/>
      <c r="AW581" s="97"/>
      <c r="AX581" s="97"/>
      <c r="AY581" s="97"/>
      <c r="AZ581" s="97"/>
      <c r="BA581" s="97"/>
      <c r="BB581" s="97"/>
      <c r="BC581" s="97"/>
      <c r="BD581" s="97"/>
      <c r="BE581" s="97"/>
      <c r="BF581" s="97"/>
      <c r="BG581" s="97"/>
      <c r="BH581" s="97"/>
    </row>
    <row r="582" spans="1:60" x14ac:dyDescent="0.25">
      <c r="A582" s="106"/>
      <c r="B582" s="107"/>
      <c r="C582" s="107"/>
      <c r="D582" s="107"/>
      <c r="E582" s="108"/>
      <c r="F582" s="109" t="str">
        <f>IF(H582&lt;&gt;"",H582-Accueil!N$6+1/60/24,"")</f>
        <v/>
      </c>
      <c r="G582" s="107"/>
      <c r="H582" s="109"/>
      <c r="I582" s="110"/>
      <c r="J582" s="110"/>
      <c r="K582" s="111"/>
      <c r="L582" s="112"/>
      <c r="M582" s="113"/>
      <c r="N582" s="114"/>
      <c r="O582" s="107"/>
      <c r="P582" s="107"/>
      <c r="Q582" s="115"/>
      <c r="R582" s="116"/>
      <c r="S582" s="107"/>
      <c r="T582" s="107"/>
      <c r="U582" s="107" t="str">
        <f t="shared" si="12"/>
        <v/>
      </c>
      <c r="V582" s="107"/>
      <c r="W582" s="107"/>
      <c r="X582" s="107"/>
      <c r="Y582" s="107"/>
      <c r="Z582" s="107"/>
      <c r="AA582" s="107"/>
      <c r="AB582" s="107"/>
      <c r="AC582" s="107"/>
      <c r="AD582" s="107"/>
      <c r="AE582" s="107"/>
      <c r="AF582" s="107"/>
      <c r="AG582" s="107"/>
      <c r="AH582" s="107"/>
      <c r="AI582" s="107"/>
      <c r="AJ582" s="107"/>
      <c r="AK582" s="107"/>
      <c r="AL582" s="107"/>
      <c r="AM582" s="107"/>
      <c r="AN582" s="107"/>
      <c r="AO582" s="107"/>
      <c r="AP582" s="107"/>
      <c r="AQ582" s="107"/>
      <c r="AR582" s="107"/>
      <c r="AS582" s="107"/>
      <c r="AT582" s="107"/>
      <c r="AU582" s="107"/>
      <c r="AV582" s="107"/>
      <c r="AW582" s="107"/>
      <c r="AX582" s="107"/>
      <c r="AY582" s="107"/>
      <c r="AZ582" s="107"/>
      <c r="BA582" s="107"/>
      <c r="BB582" s="107"/>
      <c r="BC582" s="107"/>
      <c r="BD582" s="107"/>
      <c r="BE582" s="107"/>
      <c r="BF582" s="107"/>
      <c r="BG582" s="107"/>
      <c r="BH582" s="107"/>
    </row>
    <row r="583" spans="1:60" x14ac:dyDescent="0.25">
      <c r="A583" s="96"/>
      <c r="B583" s="97"/>
      <c r="C583" s="97"/>
      <c r="D583" s="97"/>
      <c r="E583" s="98"/>
      <c r="F583" s="99" t="str">
        <f>IF(H583&lt;&gt;"",H583-Accueil!N$6+1/60/24,"")</f>
        <v/>
      </c>
      <c r="G583" s="97"/>
      <c r="H583" s="99"/>
      <c r="I583" s="99"/>
      <c r="J583" s="100"/>
      <c r="K583" s="101"/>
      <c r="L583" s="102"/>
      <c r="M583" s="103"/>
      <c r="N583" s="104"/>
      <c r="O583" s="97"/>
      <c r="P583" s="97"/>
      <c r="Q583" s="97"/>
      <c r="R583" s="105"/>
      <c r="S583" s="97"/>
      <c r="T583" s="97"/>
      <c r="U583" s="97" t="str">
        <f t="shared" si="12"/>
        <v/>
      </c>
      <c r="V583" s="97"/>
      <c r="W583" s="97"/>
      <c r="X583" s="97"/>
      <c r="Y583" s="97"/>
      <c r="Z583" s="97"/>
      <c r="AA583" s="97"/>
      <c r="AB583" s="97"/>
      <c r="AC583" s="97"/>
      <c r="AD583" s="97"/>
      <c r="AE583" s="97"/>
      <c r="AF583" s="97"/>
      <c r="AG583" s="97"/>
      <c r="AH583" s="97"/>
      <c r="AI583" s="97"/>
      <c r="AJ583" s="97"/>
      <c r="AK583" s="97"/>
      <c r="AL583" s="97"/>
      <c r="AM583" s="97"/>
      <c r="AN583" s="97"/>
      <c r="AO583" s="97"/>
      <c r="AP583" s="97"/>
      <c r="AQ583" s="97"/>
      <c r="AR583" s="97"/>
      <c r="AS583" s="97"/>
      <c r="AT583" s="97"/>
      <c r="AU583" s="97"/>
      <c r="AV583" s="97"/>
      <c r="AW583" s="97"/>
      <c r="AX583" s="97"/>
      <c r="AY583" s="97"/>
      <c r="AZ583" s="97"/>
      <c r="BA583" s="97"/>
      <c r="BB583" s="97"/>
      <c r="BC583" s="97"/>
      <c r="BD583" s="97"/>
      <c r="BE583" s="97"/>
      <c r="BF583" s="97"/>
      <c r="BG583" s="97"/>
      <c r="BH583" s="97"/>
    </row>
    <row r="584" spans="1:60" x14ac:dyDescent="0.25">
      <c r="A584" s="106"/>
      <c r="B584" s="107"/>
      <c r="C584" s="107"/>
      <c r="D584" s="107"/>
      <c r="E584" s="108"/>
      <c r="F584" s="109" t="str">
        <f>IF(H584&lt;&gt;"",H584-Accueil!N$6+1/60/24,"")</f>
        <v/>
      </c>
      <c r="G584" s="107"/>
      <c r="H584" s="109"/>
      <c r="I584" s="110"/>
      <c r="J584" s="110"/>
      <c r="K584" s="111"/>
      <c r="L584" s="112"/>
      <c r="M584" s="113"/>
      <c r="N584" s="114"/>
      <c r="O584" s="107"/>
      <c r="P584" s="107"/>
      <c r="Q584" s="115"/>
      <c r="R584" s="116"/>
      <c r="S584" s="107"/>
      <c r="T584" s="107"/>
      <c r="U584" s="107" t="str">
        <f t="shared" si="12"/>
        <v/>
      </c>
      <c r="V584" s="107"/>
      <c r="W584" s="107"/>
      <c r="X584" s="107"/>
      <c r="Y584" s="107"/>
      <c r="Z584" s="107"/>
      <c r="AA584" s="107"/>
      <c r="AB584" s="107"/>
      <c r="AC584" s="107"/>
      <c r="AD584" s="107"/>
      <c r="AE584" s="107"/>
      <c r="AF584" s="107"/>
      <c r="AG584" s="107"/>
      <c r="AH584" s="107"/>
      <c r="AI584" s="107"/>
      <c r="AJ584" s="107"/>
      <c r="AK584" s="107"/>
      <c r="AL584" s="107"/>
      <c r="AM584" s="107"/>
      <c r="AN584" s="107"/>
      <c r="AO584" s="107"/>
      <c r="AP584" s="107"/>
      <c r="AQ584" s="107"/>
      <c r="AR584" s="107"/>
      <c r="AS584" s="107"/>
      <c r="AT584" s="107"/>
      <c r="AU584" s="107"/>
      <c r="AV584" s="107"/>
      <c r="AW584" s="107"/>
      <c r="AX584" s="107"/>
      <c r="AY584" s="107"/>
      <c r="AZ584" s="107"/>
      <c r="BA584" s="107"/>
      <c r="BB584" s="107"/>
      <c r="BC584" s="107"/>
      <c r="BD584" s="107"/>
      <c r="BE584" s="107"/>
      <c r="BF584" s="107"/>
      <c r="BG584" s="107"/>
      <c r="BH584" s="107"/>
    </row>
    <row r="585" spans="1:60" x14ac:dyDescent="0.25">
      <c r="A585" s="96"/>
      <c r="B585" s="97"/>
      <c r="C585" s="97"/>
      <c r="D585" s="97"/>
      <c r="E585" s="98"/>
      <c r="F585" s="99" t="str">
        <f>IF(H585&lt;&gt;"",H585-Accueil!N$6+1/60/24,"")</f>
        <v/>
      </c>
      <c r="G585" s="97"/>
      <c r="H585" s="99"/>
      <c r="I585" s="99"/>
      <c r="J585" s="100"/>
      <c r="K585" s="101"/>
      <c r="L585" s="102"/>
      <c r="M585" s="103"/>
      <c r="N585" s="104"/>
      <c r="O585" s="97"/>
      <c r="P585" s="97"/>
      <c r="Q585" s="97"/>
      <c r="R585" s="105"/>
      <c r="S585" s="97"/>
      <c r="T585" s="97"/>
      <c r="U585" s="97" t="str">
        <f t="shared" si="12"/>
        <v/>
      </c>
      <c r="V585" s="97"/>
      <c r="W585" s="97"/>
      <c r="X585" s="97"/>
      <c r="Y585" s="97"/>
      <c r="Z585" s="97"/>
      <c r="AA585" s="97"/>
      <c r="AB585" s="97"/>
      <c r="AC585" s="97"/>
      <c r="AD585" s="97"/>
      <c r="AE585" s="97"/>
      <c r="AF585" s="97"/>
      <c r="AG585" s="97"/>
      <c r="AH585" s="97"/>
      <c r="AI585" s="97"/>
      <c r="AJ585" s="97"/>
      <c r="AK585" s="97"/>
      <c r="AL585" s="97"/>
      <c r="AM585" s="97"/>
      <c r="AN585" s="97"/>
      <c r="AO585" s="97"/>
      <c r="AP585" s="97"/>
      <c r="AQ585" s="97"/>
      <c r="AR585" s="97"/>
      <c r="AS585" s="97"/>
      <c r="AT585" s="97"/>
      <c r="AU585" s="97"/>
      <c r="AV585" s="97"/>
      <c r="AW585" s="97"/>
      <c r="AX585" s="97"/>
      <c r="AY585" s="97"/>
      <c r="AZ585" s="97"/>
      <c r="BA585" s="97"/>
      <c r="BB585" s="97"/>
      <c r="BC585" s="97"/>
      <c r="BD585" s="97"/>
      <c r="BE585" s="97"/>
      <c r="BF585" s="97"/>
      <c r="BG585" s="97"/>
      <c r="BH585" s="97"/>
    </row>
    <row r="586" spans="1:60" x14ac:dyDescent="0.25">
      <c r="A586" s="106"/>
      <c r="B586" s="107"/>
      <c r="C586" s="107"/>
      <c r="D586" s="107"/>
      <c r="E586" s="108"/>
      <c r="F586" s="109" t="str">
        <f>IF(H586&lt;&gt;"",H586-Accueil!N$6+1/60/24,"")</f>
        <v/>
      </c>
      <c r="G586" s="107"/>
      <c r="H586" s="109"/>
      <c r="I586" s="110"/>
      <c r="J586" s="110"/>
      <c r="K586" s="111"/>
      <c r="L586" s="112"/>
      <c r="M586" s="113"/>
      <c r="N586" s="114"/>
      <c r="O586" s="107"/>
      <c r="P586" s="107"/>
      <c r="Q586" s="115"/>
      <c r="R586" s="116"/>
      <c r="S586" s="107"/>
      <c r="T586" s="107"/>
      <c r="U586" s="107" t="str">
        <f t="shared" si="12"/>
        <v/>
      </c>
      <c r="V586" s="107"/>
      <c r="W586" s="107"/>
      <c r="X586" s="107"/>
      <c r="Y586" s="107"/>
      <c r="Z586" s="107"/>
      <c r="AA586" s="107"/>
      <c r="AB586" s="107"/>
      <c r="AC586" s="107"/>
      <c r="AD586" s="107"/>
      <c r="AE586" s="107"/>
      <c r="AF586" s="107"/>
      <c r="AG586" s="107"/>
      <c r="AH586" s="107"/>
      <c r="AI586" s="107"/>
      <c r="AJ586" s="107"/>
      <c r="AK586" s="107"/>
      <c r="AL586" s="107"/>
      <c r="AM586" s="107"/>
      <c r="AN586" s="107"/>
      <c r="AO586" s="107"/>
      <c r="AP586" s="107"/>
      <c r="AQ586" s="107"/>
      <c r="AR586" s="107"/>
      <c r="AS586" s="107"/>
      <c r="AT586" s="107"/>
      <c r="AU586" s="107"/>
      <c r="AV586" s="107"/>
      <c r="AW586" s="107"/>
      <c r="AX586" s="107"/>
      <c r="AY586" s="107"/>
      <c r="AZ586" s="107"/>
      <c r="BA586" s="107"/>
      <c r="BB586" s="107"/>
      <c r="BC586" s="107"/>
      <c r="BD586" s="107"/>
      <c r="BE586" s="107"/>
      <c r="BF586" s="107"/>
      <c r="BG586" s="107"/>
      <c r="BH586" s="107"/>
    </row>
    <row r="587" spans="1:60" x14ac:dyDescent="0.25">
      <c r="A587" s="96"/>
      <c r="B587" s="97"/>
      <c r="C587" s="97"/>
      <c r="D587" s="97"/>
      <c r="E587" s="98"/>
      <c r="F587" s="99" t="str">
        <f>IF(H587&lt;&gt;"",H587-Accueil!N$6+1/60/24,"")</f>
        <v/>
      </c>
      <c r="G587" s="97"/>
      <c r="H587" s="99"/>
      <c r="I587" s="99"/>
      <c r="J587" s="100"/>
      <c r="K587" s="101"/>
      <c r="L587" s="102"/>
      <c r="M587" s="103"/>
      <c r="N587" s="104"/>
      <c r="O587" s="97"/>
      <c r="P587" s="97"/>
      <c r="Q587" s="97"/>
      <c r="R587" s="105"/>
      <c r="S587" s="97"/>
      <c r="T587" s="97"/>
      <c r="U587" s="97" t="str">
        <f t="shared" si="12"/>
        <v/>
      </c>
      <c r="V587" s="97"/>
      <c r="W587" s="97"/>
      <c r="X587" s="97"/>
      <c r="Y587" s="97"/>
      <c r="Z587" s="97"/>
      <c r="AA587" s="97"/>
      <c r="AB587" s="97"/>
      <c r="AC587" s="97"/>
      <c r="AD587" s="97"/>
      <c r="AE587" s="97"/>
      <c r="AF587" s="97"/>
      <c r="AG587" s="97"/>
      <c r="AH587" s="97"/>
      <c r="AI587" s="97"/>
      <c r="AJ587" s="97"/>
      <c r="AK587" s="97"/>
      <c r="AL587" s="97"/>
      <c r="AM587" s="97"/>
      <c r="AN587" s="97"/>
      <c r="AO587" s="97"/>
      <c r="AP587" s="97"/>
      <c r="AQ587" s="97"/>
      <c r="AR587" s="97"/>
      <c r="AS587" s="97"/>
      <c r="AT587" s="97"/>
      <c r="AU587" s="97"/>
      <c r="AV587" s="97"/>
      <c r="AW587" s="97"/>
      <c r="AX587" s="97"/>
      <c r="AY587" s="97"/>
      <c r="AZ587" s="97"/>
      <c r="BA587" s="97"/>
      <c r="BB587" s="97"/>
      <c r="BC587" s="97"/>
      <c r="BD587" s="97"/>
      <c r="BE587" s="97"/>
      <c r="BF587" s="97"/>
      <c r="BG587" s="97"/>
      <c r="BH587" s="97"/>
    </row>
    <row r="588" spans="1:60" x14ac:dyDescent="0.25">
      <c r="A588" s="106"/>
      <c r="B588" s="107"/>
      <c r="C588" s="107"/>
      <c r="D588" s="107"/>
      <c r="E588" s="108"/>
      <c r="F588" s="109" t="str">
        <f>IF(H588&lt;&gt;"",H588-Accueil!N$6+1/60/24,"")</f>
        <v/>
      </c>
      <c r="G588" s="107"/>
      <c r="H588" s="109"/>
      <c r="I588" s="110"/>
      <c r="J588" s="110"/>
      <c r="K588" s="111"/>
      <c r="L588" s="112"/>
      <c r="M588" s="113"/>
      <c r="N588" s="114"/>
      <c r="O588" s="107"/>
      <c r="P588" s="107"/>
      <c r="Q588" s="115"/>
      <c r="R588" s="116"/>
      <c r="S588" s="107"/>
      <c r="T588" s="107"/>
      <c r="U588" s="107" t="str">
        <f t="shared" si="12"/>
        <v/>
      </c>
      <c r="V588" s="107"/>
      <c r="W588" s="107"/>
      <c r="X588" s="107"/>
      <c r="Y588" s="107"/>
      <c r="Z588" s="107"/>
      <c r="AA588" s="107"/>
      <c r="AB588" s="107"/>
      <c r="AC588" s="107"/>
      <c r="AD588" s="107"/>
      <c r="AE588" s="107"/>
      <c r="AF588" s="107"/>
      <c r="AG588" s="107"/>
      <c r="AH588" s="107"/>
      <c r="AI588" s="107"/>
      <c r="AJ588" s="107"/>
      <c r="AK588" s="107"/>
      <c r="AL588" s="107"/>
      <c r="AM588" s="107"/>
      <c r="AN588" s="107"/>
      <c r="AO588" s="107"/>
      <c r="AP588" s="107"/>
      <c r="AQ588" s="107"/>
      <c r="AR588" s="107"/>
      <c r="AS588" s="107"/>
      <c r="AT588" s="107"/>
      <c r="AU588" s="107"/>
      <c r="AV588" s="107"/>
      <c r="AW588" s="107"/>
      <c r="AX588" s="107"/>
      <c r="AY588" s="107"/>
      <c r="AZ588" s="107"/>
      <c r="BA588" s="107"/>
      <c r="BB588" s="107"/>
      <c r="BC588" s="107"/>
      <c r="BD588" s="107"/>
      <c r="BE588" s="107"/>
      <c r="BF588" s="107"/>
      <c r="BG588" s="107"/>
      <c r="BH588" s="107"/>
    </row>
    <row r="589" spans="1:60" x14ac:dyDescent="0.25">
      <c r="A589" s="96"/>
      <c r="B589" s="97"/>
      <c r="C589" s="97"/>
      <c r="D589" s="97"/>
      <c r="E589" s="98"/>
      <c r="F589" s="99" t="str">
        <f>IF(H589&lt;&gt;"",H589-Accueil!N$6+1/60/24,"")</f>
        <v/>
      </c>
      <c r="G589" s="97"/>
      <c r="H589" s="99"/>
      <c r="I589" s="99"/>
      <c r="J589" s="100"/>
      <c r="K589" s="101"/>
      <c r="L589" s="102"/>
      <c r="M589" s="103"/>
      <c r="N589" s="104"/>
      <c r="O589" s="97"/>
      <c r="P589" s="97"/>
      <c r="Q589" s="97"/>
      <c r="R589" s="105"/>
      <c r="S589" s="97"/>
      <c r="T589" s="97"/>
      <c r="U589" s="97" t="str">
        <f t="shared" si="12"/>
        <v/>
      </c>
      <c r="V589" s="97"/>
      <c r="W589" s="97"/>
      <c r="X589" s="97"/>
      <c r="Y589" s="97"/>
      <c r="Z589" s="97"/>
      <c r="AA589" s="97"/>
      <c r="AB589" s="97"/>
      <c r="AC589" s="97"/>
      <c r="AD589" s="97"/>
      <c r="AE589" s="97"/>
      <c r="AF589" s="97"/>
      <c r="AG589" s="97"/>
      <c r="AH589" s="97"/>
      <c r="AI589" s="97"/>
      <c r="AJ589" s="97"/>
      <c r="AK589" s="97"/>
      <c r="AL589" s="97"/>
      <c r="AM589" s="97"/>
      <c r="AN589" s="97"/>
      <c r="AO589" s="97"/>
      <c r="AP589" s="97"/>
      <c r="AQ589" s="97"/>
      <c r="AR589" s="97"/>
      <c r="AS589" s="97"/>
      <c r="AT589" s="97"/>
      <c r="AU589" s="97"/>
      <c r="AV589" s="97"/>
      <c r="AW589" s="97"/>
      <c r="AX589" s="97"/>
      <c r="AY589" s="97"/>
      <c r="AZ589" s="97"/>
      <c r="BA589" s="97"/>
      <c r="BB589" s="97"/>
      <c r="BC589" s="97"/>
      <c r="BD589" s="97"/>
      <c r="BE589" s="97"/>
      <c r="BF589" s="97"/>
      <c r="BG589" s="97"/>
      <c r="BH589" s="97"/>
    </row>
    <row r="590" spans="1:60" x14ac:dyDescent="0.25">
      <c r="A590" s="106"/>
      <c r="B590" s="107"/>
      <c r="C590" s="107"/>
      <c r="D590" s="107"/>
      <c r="E590" s="108"/>
      <c r="F590" s="109" t="str">
        <f>IF(H590&lt;&gt;"",H590-Accueil!N$6+1/60/24,"")</f>
        <v/>
      </c>
      <c r="G590" s="107"/>
      <c r="H590" s="109"/>
      <c r="I590" s="110"/>
      <c r="J590" s="110"/>
      <c r="K590" s="111"/>
      <c r="L590" s="112"/>
      <c r="M590" s="113"/>
      <c r="N590" s="114"/>
      <c r="O590" s="107"/>
      <c r="P590" s="107"/>
      <c r="Q590" s="115"/>
      <c r="R590" s="116"/>
      <c r="S590" s="107"/>
      <c r="T590" s="107"/>
      <c r="U590" s="107" t="str">
        <f t="shared" si="12"/>
        <v/>
      </c>
      <c r="V590" s="107"/>
      <c r="W590" s="107"/>
      <c r="X590" s="107"/>
      <c r="Y590" s="107"/>
      <c r="Z590" s="107"/>
      <c r="AA590" s="107"/>
      <c r="AB590" s="107"/>
      <c r="AC590" s="107"/>
      <c r="AD590" s="107"/>
      <c r="AE590" s="107"/>
      <c r="AF590" s="107"/>
      <c r="AG590" s="107"/>
      <c r="AH590" s="107"/>
      <c r="AI590" s="107"/>
      <c r="AJ590" s="107"/>
      <c r="AK590" s="107"/>
      <c r="AL590" s="107"/>
      <c r="AM590" s="107"/>
      <c r="AN590" s="107"/>
      <c r="AO590" s="107"/>
      <c r="AP590" s="107"/>
      <c r="AQ590" s="107"/>
      <c r="AR590" s="107"/>
      <c r="AS590" s="107"/>
      <c r="AT590" s="107"/>
      <c r="AU590" s="107"/>
      <c r="AV590" s="107"/>
      <c r="AW590" s="107"/>
      <c r="AX590" s="107"/>
      <c r="AY590" s="107"/>
      <c r="AZ590" s="107"/>
      <c r="BA590" s="107"/>
      <c r="BB590" s="107"/>
      <c r="BC590" s="107"/>
      <c r="BD590" s="107"/>
      <c r="BE590" s="107"/>
      <c r="BF590" s="107"/>
      <c r="BG590" s="107"/>
      <c r="BH590" s="107"/>
    </row>
    <row r="591" spans="1:60" x14ac:dyDescent="0.25">
      <c r="A591" s="96"/>
      <c r="B591" s="97"/>
      <c r="C591" s="97"/>
      <c r="D591" s="97"/>
      <c r="E591" s="98"/>
      <c r="F591" s="99" t="str">
        <f>IF(H591&lt;&gt;"",H591-Accueil!N$6+1/60/24,"")</f>
        <v/>
      </c>
      <c r="G591" s="97"/>
      <c r="H591" s="99"/>
      <c r="I591" s="99"/>
      <c r="J591" s="100"/>
      <c r="K591" s="101"/>
      <c r="L591" s="102"/>
      <c r="M591" s="103"/>
      <c r="N591" s="104"/>
      <c r="O591" s="97"/>
      <c r="P591" s="97"/>
      <c r="Q591" s="97"/>
      <c r="R591" s="105"/>
      <c r="S591" s="97"/>
      <c r="T591" s="97"/>
      <c r="U591" s="97" t="str">
        <f t="shared" si="12"/>
        <v/>
      </c>
      <c r="V591" s="97"/>
      <c r="W591" s="97"/>
      <c r="X591" s="97"/>
      <c r="Y591" s="97"/>
      <c r="Z591" s="97"/>
      <c r="AA591" s="97"/>
      <c r="AB591" s="97"/>
      <c r="AC591" s="97"/>
      <c r="AD591" s="97"/>
      <c r="AE591" s="97"/>
      <c r="AF591" s="97"/>
      <c r="AG591" s="97"/>
      <c r="AH591" s="97"/>
      <c r="AI591" s="97"/>
      <c r="AJ591" s="97"/>
      <c r="AK591" s="97"/>
      <c r="AL591" s="97"/>
      <c r="AM591" s="97"/>
      <c r="AN591" s="97"/>
      <c r="AO591" s="97"/>
      <c r="AP591" s="97"/>
      <c r="AQ591" s="97"/>
      <c r="AR591" s="97"/>
      <c r="AS591" s="97"/>
      <c r="AT591" s="97"/>
      <c r="AU591" s="97"/>
      <c r="AV591" s="97"/>
      <c r="AW591" s="97"/>
      <c r="AX591" s="97"/>
      <c r="AY591" s="97"/>
      <c r="AZ591" s="97"/>
      <c r="BA591" s="97"/>
      <c r="BB591" s="97"/>
      <c r="BC591" s="97"/>
      <c r="BD591" s="97"/>
      <c r="BE591" s="97"/>
      <c r="BF591" s="97"/>
      <c r="BG591" s="97"/>
      <c r="BH591" s="97"/>
    </row>
    <row r="592" spans="1:60" x14ac:dyDescent="0.25">
      <c r="A592" s="106"/>
      <c r="B592" s="107"/>
      <c r="C592" s="107"/>
      <c r="D592" s="107"/>
      <c r="E592" s="108"/>
      <c r="F592" s="109" t="str">
        <f>IF(H592&lt;&gt;"",H592-Accueil!N$6+1/60/24,"")</f>
        <v/>
      </c>
      <c r="G592" s="107"/>
      <c r="H592" s="109"/>
      <c r="I592" s="110"/>
      <c r="J592" s="110"/>
      <c r="K592" s="111"/>
      <c r="L592" s="112"/>
      <c r="M592" s="113"/>
      <c r="N592" s="114"/>
      <c r="O592" s="107"/>
      <c r="P592" s="107"/>
      <c r="Q592" s="115"/>
      <c r="R592" s="116"/>
      <c r="S592" s="107"/>
      <c r="T592" s="107"/>
      <c r="U592" s="107" t="str">
        <f t="shared" si="12"/>
        <v/>
      </c>
      <c r="V592" s="107"/>
      <c r="W592" s="107"/>
      <c r="X592" s="107"/>
      <c r="Y592" s="107"/>
      <c r="Z592" s="107"/>
      <c r="AA592" s="107"/>
      <c r="AB592" s="107"/>
      <c r="AC592" s="107"/>
      <c r="AD592" s="107"/>
      <c r="AE592" s="107"/>
      <c r="AF592" s="107"/>
      <c r="AG592" s="107"/>
      <c r="AH592" s="107"/>
      <c r="AI592" s="107"/>
      <c r="AJ592" s="107"/>
      <c r="AK592" s="107"/>
      <c r="AL592" s="107"/>
      <c r="AM592" s="107"/>
      <c r="AN592" s="107"/>
      <c r="AO592" s="107"/>
      <c r="AP592" s="107"/>
      <c r="AQ592" s="107"/>
      <c r="AR592" s="107"/>
      <c r="AS592" s="107"/>
      <c r="AT592" s="107"/>
      <c r="AU592" s="107"/>
      <c r="AV592" s="107"/>
      <c r="AW592" s="107"/>
      <c r="AX592" s="107"/>
      <c r="AY592" s="107"/>
      <c r="AZ592" s="107"/>
      <c r="BA592" s="107"/>
      <c r="BB592" s="107"/>
      <c r="BC592" s="107"/>
      <c r="BD592" s="107"/>
      <c r="BE592" s="107"/>
      <c r="BF592" s="107"/>
      <c r="BG592" s="107"/>
      <c r="BH592" s="107"/>
    </row>
    <row r="593" spans="1:60" x14ac:dyDescent="0.25">
      <c r="A593" s="96"/>
      <c r="B593" s="97"/>
      <c r="C593" s="97"/>
      <c r="D593" s="97"/>
      <c r="E593" s="98"/>
      <c r="F593" s="99" t="str">
        <f>IF(H593&lt;&gt;"",H593-Accueil!N$6+1/60/24,"")</f>
        <v/>
      </c>
      <c r="G593" s="97"/>
      <c r="H593" s="99"/>
      <c r="I593" s="99"/>
      <c r="J593" s="100"/>
      <c r="K593" s="101"/>
      <c r="L593" s="102"/>
      <c r="M593" s="103"/>
      <c r="N593" s="104"/>
      <c r="O593" s="97"/>
      <c r="P593" s="97"/>
      <c r="Q593" s="97"/>
      <c r="R593" s="105"/>
      <c r="S593" s="97"/>
      <c r="T593" s="97"/>
      <c r="U593" s="97" t="str">
        <f t="shared" si="12"/>
        <v/>
      </c>
      <c r="V593" s="97"/>
      <c r="W593" s="97"/>
      <c r="X593" s="97"/>
      <c r="Y593" s="97"/>
      <c r="Z593" s="97"/>
      <c r="AA593" s="97"/>
      <c r="AB593" s="97"/>
      <c r="AC593" s="97"/>
      <c r="AD593" s="97"/>
      <c r="AE593" s="97"/>
      <c r="AF593" s="97"/>
      <c r="AG593" s="97"/>
      <c r="AH593" s="97"/>
      <c r="AI593" s="97"/>
      <c r="AJ593" s="97"/>
      <c r="AK593" s="97"/>
      <c r="AL593" s="97"/>
      <c r="AM593" s="97"/>
      <c r="AN593" s="97"/>
      <c r="AO593" s="97"/>
      <c r="AP593" s="97"/>
      <c r="AQ593" s="97"/>
      <c r="AR593" s="97"/>
      <c r="AS593" s="97"/>
      <c r="AT593" s="97"/>
      <c r="AU593" s="97"/>
      <c r="AV593" s="97"/>
      <c r="AW593" s="97"/>
      <c r="AX593" s="97"/>
      <c r="AY593" s="97"/>
      <c r="AZ593" s="97"/>
      <c r="BA593" s="97"/>
      <c r="BB593" s="97"/>
      <c r="BC593" s="97"/>
      <c r="BD593" s="97"/>
      <c r="BE593" s="97"/>
      <c r="BF593" s="97"/>
      <c r="BG593" s="97"/>
      <c r="BH593" s="97"/>
    </row>
    <row r="594" spans="1:60" x14ac:dyDescent="0.25">
      <c r="A594" s="106"/>
      <c r="B594" s="107"/>
      <c r="C594" s="107"/>
      <c r="D594" s="107"/>
      <c r="E594" s="108"/>
      <c r="F594" s="109" t="str">
        <f>IF(H594&lt;&gt;"",H594-Accueil!N$6+1/60/24,"")</f>
        <v/>
      </c>
      <c r="G594" s="107"/>
      <c r="H594" s="109"/>
      <c r="I594" s="110"/>
      <c r="J594" s="110"/>
      <c r="K594" s="111"/>
      <c r="L594" s="112"/>
      <c r="M594" s="113"/>
      <c r="N594" s="114"/>
      <c r="O594" s="107"/>
      <c r="P594" s="107"/>
      <c r="Q594" s="115"/>
      <c r="R594" s="116"/>
      <c r="S594" s="107"/>
      <c r="T594" s="107"/>
      <c r="U594" s="107" t="str">
        <f t="shared" si="12"/>
        <v/>
      </c>
      <c r="V594" s="107"/>
      <c r="W594" s="107"/>
      <c r="X594" s="107"/>
      <c r="Y594" s="107"/>
      <c r="Z594" s="107"/>
      <c r="AA594" s="107"/>
      <c r="AB594" s="107"/>
      <c r="AC594" s="107"/>
      <c r="AD594" s="107"/>
      <c r="AE594" s="107"/>
      <c r="AF594" s="107"/>
      <c r="AG594" s="107"/>
      <c r="AH594" s="107"/>
      <c r="AI594" s="107"/>
      <c r="AJ594" s="107"/>
      <c r="AK594" s="107"/>
      <c r="AL594" s="107"/>
      <c r="AM594" s="107"/>
      <c r="AN594" s="107"/>
      <c r="AO594" s="107"/>
      <c r="AP594" s="107"/>
      <c r="AQ594" s="107"/>
      <c r="AR594" s="107"/>
      <c r="AS594" s="107"/>
      <c r="AT594" s="107"/>
      <c r="AU594" s="107"/>
      <c r="AV594" s="107"/>
      <c r="AW594" s="107"/>
      <c r="AX594" s="107"/>
      <c r="AY594" s="107"/>
      <c r="AZ594" s="107"/>
      <c r="BA594" s="107"/>
      <c r="BB594" s="107"/>
      <c r="BC594" s="107"/>
      <c r="BD594" s="107"/>
      <c r="BE594" s="107"/>
      <c r="BF594" s="107"/>
      <c r="BG594" s="107"/>
      <c r="BH594" s="107"/>
    </row>
    <row r="595" spans="1:60" x14ac:dyDescent="0.25">
      <c r="A595" s="96"/>
      <c r="B595" s="97"/>
      <c r="C595" s="97"/>
      <c r="D595" s="97"/>
      <c r="E595" s="98"/>
      <c r="F595" s="99" t="str">
        <f>IF(H595&lt;&gt;"",H595-Accueil!N$6+1/60/24,"")</f>
        <v/>
      </c>
      <c r="G595" s="97"/>
      <c r="H595" s="99"/>
      <c r="I595" s="99"/>
      <c r="J595" s="100"/>
      <c r="K595" s="101"/>
      <c r="L595" s="102"/>
      <c r="M595" s="103"/>
      <c r="N595" s="104"/>
      <c r="O595" s="97"/>
      <c r="P595" s="97"/>
      <c r="Q595" s="97"/>
      <c r="R595" s="105"/>
      <c r="S595" s="97"/>
      <c r="T595" s="97"/>
      <c r="U595" s="97" t="str">
        <f t="shared" si="12"/>
        <v/>
      </c>
      <c r="V595" s="97"/>
      <c r="W595" s="97"/>
      <c r="X595" s="97"/>
      <c r="Y595" s="97"/>
      <c r="Z595" s="97"/>
      <c r="AA595" s="97"/>
      <c r="AB595" s="97"/>
      <c r="AC595" s="97"/>
      <c r="AD595" s="97"/>
      <c r="AE595" s="97"/>
      <c r="AF595" s="97"/>
      <c r="AG595" s="97"/>
      <c r="AH595" s="97"/>
      <c r="AI595" s="97"/>
      <c r="AJ595" s="97"/>
      <c r="AK595" s="97"/>
      <c r="AL595" s="97"/>
      <c r="AM595" s="97"/>
      <c r="AN595" s="97"/>
      <c r="AO595" s="97"/>
      <c r="AP595" s="97"/>
      <c r="AQ595" s="97"/>
      <c r="AR595" s="97"/>
      <c r="AS595" s="97"/>
      <c r="AT595" s="97"/>
      <c r="AU595" s="97"/>
      <c r="AV595" s="97"/>
      <c r="AW595" s="97"/>
      <c r="AX595" s="97"/>
      <c r="AY595" s="97"/>
      <c r="AZ595" s="97"/>
      <c r="BA595" s="97"/>
      <c r="BB595" s="97"/>
      <c r="BC595" s="97"/>
      <c r="BD595" s="97"/>
      <c r="BE595" s="97"/>
      <c r="BF595" s="97"/>
      <c r="BG595" s="97"/>
      <c r="BH595" s="97"/>
    </row>
    <row r="596" spans="1:60" x14ac:dyDescent="0.25">
      <c r="A596" s="106"/>
      <c r="B596" s="107"/>
      <c r="C596" s="107"/>
      <c r="D596" s="107"/>
      <c r="E596" s="108"/>
      <c r="F596" s="109" t="str">
        <f>IF(H596&lt;&gt;"",H596-Accueil!N$6+1/60/24,"")</f>
        <v/>
      </c>
      <c r="G596" s="107"/>
      <c r="H596" s="109"/>
      <c r="I596" s="110"/>
      <c r="J596" s="110"/>
      <c r="K596" s="111"/>
      <c r="L596" s="112"/>
      <c r="M596" s="113"/>
      <c r="N596" s="114"/>
      <c r="O596" s="107"/>
      <c r="P596" s="107"/>
      <c r="Q596" s="115"/>
      <c r="R596" s="116"/>
      <c r="S596" s="107"/>
      <c r="T596" s="107"/>
      <c r="U596" s="107" t="str">
        <f t="shared" si="12"/>
        <v/>
      </c>
      <c r="V596" s="107"/>
      <c r="W596" s="107"/>
      <c r="X596" s="107"/>
      <c r="Y596" s="107"/>
      <c r="Z596" s="107"/>
      <c r="AA596" s="107"/>
      <c r="AB596" s="107"/>
      <c r="AC596" s="107"/>
      <c r="AD596" s="107"/>
      <c r="AE596" s="107"/>
      <c r="AF596" s="107"/>
      <c r="AG596" s="107"/>
      <c r="AH596" s="107"/>
      <c r="AI596" s="107"/>
      <c r="AJ596" s="107"/>
      <c r="AK596" s="107"/>
      <c r="AL596" s="107"/>
      <c r="AM596" s="107"/>
      <c r="AN596" s="107"/>
      <c r="AO596" s="107"/>
      <c r="AP596" s="107"/>
      <c r="AQ596" s="107"/>
      <c r="AR596" s="107"/>
      <c r="AS596" s="107"/>
      <c r="AT596" s="107"/>
      <c r="AU596" s="107"/>
      <c r="AV596" s="107"/>
      <c r="AW596" s="107"/>
      <c r="AX596" s="107"/>
      <c r="AY596" s="107"/>
      <c r="AZ596" s="107"/>
      <c r="BA596" s="107"/>
      <c r="BB596" s="107"/>
      <c r="BC596" s="107"/>
      <c r="BD596" s="107"/>
      <c r="BE596" s="107"/>
      <c r="BF596" s="107"/>
      <c r="BG596" s="107"/>
      <c r="BH596" s="107"/>
    </row>
    <row r="597" spans="1:60" x14ac:dyDescent="0.25">
      <c r="A597" s="96"/>
      <c r="B597" s="97"/>
      <c r="C597" s="97"/>
      <c r="D597" s="97"/>
      <c r="E597" s="98"/>
      <c r="F597" s="99" t="str">
        <f>IF(H597&lt;&gt;"",H597-Accueil!N$6+1/60/24,"")</f>
        <v/>
      </c>
      <c r="G597" s="97"/>
      <c r="H597" s="99"/>
      <c r="I597" s="99"/>
      <c r="J597" s="100"/>
      <c r="K597" s="101"/>
      <c r="L597" s="102"/>
      <c r="M597" s="103"/>
      <c r="N597" s="104"/>
      <c r="O597" s="97"/>
      <c r="P597" s="97"/>
      <c r="Q597" s="97"/>
      <c r="R597" s="105"/>
      <c r="S597" s="97"/>
      <c r="T597" s="97"/>
      <c r="U597" s="97" t="str">
        <f t="shared" si="12"/>
        <v/>
      </c>
      <c r="V597" s="97"/>
      <c r="W597" s="97"/>
      <c r="X597" s="97"/>
      <c r="Y597" s="97"/>
      <c r="Z597" s="97"/>
      <c r="AA597" s="97"/>
      <c r="AB597" s="97"/>
      <c r="AC597" s="97"/>
      <c r="AD597" s="97"/>
      <c r="AE597" s="97"/>
      <c r="AF597" s="97"/>
      <c r="AG597" s="97"/>
      <c r="AH597" s="97"/>
      <c r="AI597" s="97"/>
      <c r="AJ597" s="97"/>
      <c r="AK597" s="97"/>
      <c r="AL597" s="97"/>
      <c r="AM597" s="97"/>
      <c r="AN597" s="97"/>
      <c r="AO597" s="97"/>
      <c r="AP597" s="97"/>
      <c r="AQ597" s="97"/>
      <c r="AR597" s="97"/>
      <c r="AS597" s="97"/>
      <c r="AT597" s="97"/>
      <c r="AU597" s="97"/>
      <c r="AV597" s="97"/>
      <c r="AW597" s="97"/>
      <c r="AX597" s="97"/>
      <c r="AY597" s="97"/>
      <c r="AZ597" s="97"/>
      <c r="BA597" s="97"/>
      <c r="BB597" s="97"/>
      <c r="BC597" s="97"/>
      <c r="BD597" s="97"/>
      <c r="BE597" s="97"/>
      <c r="BF597" s="97"/>
      <c r="BG597" s="97"/>
      <c r="BH597" s="97"/>
    </row>
    <row r="598" spans="1:60" x14ac:dyDescent="0.25">
      <c r="A598" s="106"/>
      <c r="B598" s="107"/>
      <c r="C598" s="107"/>
      <c r="D598" s="107"/>
      <c r="E598" s="108"/>
      <c r="F598" s="109" t="str">
        <f>IF(H598&lt;&gt;"",H598-Accueil!N$6+1/60/24,"")</f>
        <v/>
      </c>
      <c r="G598" s="107"/>
      <c r="H598" s="109"/>
      <c r="I598" s="110"/>
      <c r="J598" s="110"/>
      <c r="K598" s="111"/>
      <c r="L598" s="112"/>
      <c r="M598" s="113"/>
      <c r="N598" s="114"/>
      <c r="O598" s="107"/>
      <c r="P598" s="107"/>
      <c r="Q598" s="115"/>
      <c r="R598" s="116"/>
      <c r="S598" s="107"/>
      <c r="T598" s="107"/>
      <c r="U598" s="107" t="str">
        <f t="shared" si="12"/>
        <v/>
      </c>
      <c r="V598" s="107"/>
      <c r="W598" s="107"/>
      <c r="X598" s="107"/>
      <c r="Y598" s="107"/>
      <c r="Z598" s="107"/>
      <c r="AA598" s="107"/>
      <c r="AB598" s="107"/>
      <c r="AC598" s="107"/>
      <c r="AD598" s="107"/>
      <c r="AE598" s="107"/>
      <c r="AF598" s="107"/>
      <c r="AG598" s="107"/>
      <c r="AH598" s="107"/>
      <c r="AI598" s="107"/>
      <c r="AJ598" s="107"/>
      <c r="AK598" s="107"/>
      <c r="AL598" s="107"/>
      <c r="AM598" s="107"/>
      <c r="AN598" s="107"/>
      <c r="AO598" s="107"/>
      <c r="AP598" s="107"/>
      <c r="AQ598" s="107"/>
      <c r="AR598" s="107"/>
      <c r="AS598" s="107"/>
      <c r="AT598" s="107"/>
      <c r="AU598" s="107"/>
      <c r="AV598" s="107"/>
      <c r="AW598" s="107"/>
      <c r="AX598" s="107"/>
      <c r="AY598" s="107"/>
      <c r="AZ598" s="107"/>
      <c r="BA598" s="107"/>
      <c r="BB598" s="107"/>
      <c r="BC598" s="107"/>
      <c r="BD598" s="107"/>
      <c r="BE598" s="107"/>
      <c r="BF598" s="107"/>
      <c r="BG598" s="107"/>
      <c r="BH598" s="107"/>
    </row>
    <row r="599" spans="1:60" x14ac:dyDescent="0.25">
      <c r="A599" s="96"/>
      <c r="B599" s="97"/>
      <c r="C599" s="97"/>
      <c r="D599" s="97"/>
      <c r="E599" s="98"/>
      <c r="F599" s="99" t="str">
        <f>IF(H599&lt;&gt;"",H599-Accueil!N$6+1/60/24,"")</f>
        <v/>
      </c>
      <c r="G599" s="97"/>
      <c r="H599" s="99"/>
      <c r="I599" s="99"/>
      <c r="J599" s="100"/>
      <c r="K599" s="101"/>
      <c r="L599" s="102"/>
      <c r="M599" s="103"/>
      <c r="N599" s="104"/>
      <c r="O599" s="97"/>
      <c r="P599" s="97"/>
      <c r="Q599" s="97"/>
      <c r="R599" s="105"/>
      <c r="S599" s="97"/>
      <c r="T599" s="97"/>
      <c r="U599" s="97" t="str">
        <f t="shared" si="12"/>
        <v/>
      </c>
      <c r="V599" s="97"/>
      <c r="W599" s="97"/>
      <c r="X599" s="97"/>
      <c r="Y599" s="97"/>
      <c r="Z599" s="97"/>
      <c r="AA599" s="97"/>
      <c r="AB599" s="97"/>
      <c r="AC599" s="97"/>
      <c r="AD599" s="97"/>
      <c r="AE599" s="97"/>
      <c r="AF599" s="97"/>
      <c r="AG599" s="97"/>
      <c r="AH599" s="97"/>
      <c r="AI599" s="97"/>
      <c r="AJ599" s="97"/>
      <c r="AK599" s="97"/>
      <c r="AL599" s="97"/>
      <c r="AM599" s="97"/>
      <c r="AN599" s="97"/>
      <c r="AO599" s="97"/>
      <c r="AP599" s="97"/>
      <c r="AQ599" s="97"/>
      <c r="AR599" s="97"/>
      <c r="AS599" s="97"/>
      <c r="AT599" s="97"/>
      <c r="AU599" s="97"/>
      <c r="AV599" s="97"/>
      <c r="AW599" s="97"/>
      <c r="AX599" s="97"/>
      <c r="AY599" s="97"/>
      <c r="AZ599" s="97"/>
      <c r="BA599" s="97"/>
      <c r="BB599" s="97"/>
      <c r="BC599" s="97"/>
      <c r="BD599" s="97"/>
      <c r="BE599" s="97"/>
      <c r="BF599" s="97"/>
      <c r="BG599" s="97"/>
      <c r="BH599" s="97"/>
    </row>
    <row r="600" spans="1:60" x14ac:dyDescent="0.25">
      <c r="A600" s="106"/>
      <c r="B600" s="107"/>
      <c r="C600" s="107"/>
      <c r="D600" s="107"/>
      <c r="E600" s="108"/>
      <c r="F600" s="109" t="str">
        <f>IF(H600&lt;&gt;"",H600-Accueil!N$6+1/60/24,"")</f>
        <v/>
      </c>
      <c r="G600" s="107"/>
      <c r="H600" s="109"/>
      <c r="I600" s="110"/>
      <c r="J600" s="110"/>
      <c r="K600" s="111"/>
      <c r="L600" s="112"/>
      <c r="M600" s="113"/>
      <c r="N600" s="114"/>
      <c r="O600" s="107"/>
      <c r="P600" s="107"/>
      <c r="Q600" s="115"/>
      <c r="R600" s="116"/>
      <c r="S600" s="107"/>
      <c r="T600" s="107"/>
      <c r="U600" s="107" t="str">
        <f t="shared" si="12"/>
        <v/>
      </c>
      <c r="V600" s="107"/>
      <c r="W600" s="107"/>
      <c r="X600" s="107"/>
      <c r="Y600" s="107"/>
      <c r="Z600" s="107"/>
      <c r="AA600" s="107"/>
      <c r="AB600" s="107"/>
      <c r="AC600" s="107"/>
      <c r="AD600" s="107"/>
      <c r="AE600" s="107"/>
      <c r="AF600" s="107"/>
      <c r="AG600" s="107"/>
      <c r="AH600" s="107"/>
      <c r="AI600" s="107"/>
      <c r="AJ600" s="107"/>
      <c r="AK600" s="107"/>
      <c r="AL600" s="107"/>
      <c r="AM600" s="107"/>
      <c r="AN600" s="107"/>
      <c r="AO600" s="107"/>
      <c r="AP600" s="107"/>
      <c r="AQ600" s="107"/>
      <c r="AR600" s="107"/>
      <c r="AS600" s="107"/>
      <c r="AT600" s="107"/>
      <c r="AU600" s="107"/>
      <c r="AV600" s="107"/>
      <c r="AW600" s="107"/>
      <c r="AX600" s="107"/>
      <c r="AY600" s="107"/>
      <c r="AZ600" s="107"/>
      <c r="BA600" s="107"/>
      <c r="BB600" s="107"/>
      <c r="BC600" s="107"/>
      <c r="BD600" s="107"/>
      <c r="BE600" s="107"/>
      <c r="BF600" s="107"/>
      <c r="BG600" s="107"/>
      <c r="BH600" s="107"/>
    </row>
    <row r="601" spans="1:60" x14ac:dyDescent="0.25">
      <c r="A601" s="96"/>
      <c r="B601" s="97"/>
      <c r="C601" s="97"/>
      <c r="D601" s="97"/>
      <c r="E601" s="98"/>
      <c r="F601" s="99" t="str">
        <f>IF(H601&lt;&gt;"",H601-Accueil!N$6+1/60/24,"")</f>
        <v/>
      </c>
      <c r="G601" s="97"/>
      <c r="H601" s="99"/>
      <c r="I601" s="99"/>
      <c r="J601" s="100"/>
      <c r="K601" s="101"/>
      <c r="L601" s="102"/>
      <c r="M601" s="103"/>
      <c r="N601" s="104"/>
      <c r="O601" s="97"/>
      <c r="P601" s="97"/>
      <c r="Q601" s="97"/>
      <c r="R601" s="105"/>
      <c r="S601" s="97"/>
      <c r="T601" s="97"/>
      <c r="U601" s="97" t="str">
        <f t="shared" si="12"/>
        <v/>
      </c>
      <c r="V601" s="97"/>
      <c r="W601" s="97"/>
      <c r="X601" s="97"/>
      <c r="Y601" s="97"/>
      <c r="Z601" s="97"/>
      <c r="AA601" s="97"/>
      <c r="AB601" s="97"/>
      <c r="AC601" s="97"/>
      <c r="AD601" s="97"/>
      <c r="AE601" s="97"/>
      <c r="AF601" s="97"/>
      <c r="AG601" s="97"/>
      <c r="AH601" s="97"/>
      <c r="AI601" s="97"/>
      <c r="AJ601" s="97"/>
      <c r="AK601" s="97"/>
      <c r="AL601" s="97"/>
      <c r="AM601" s="97"/>
      <c r="AN601" s="97"/>
      <c r="AO601" s="97"/>
      <c r="AP601" s="97"/>
      <c r="AQ601" s="97"/>
      <c r="AR601" s="97"/>
      <c r="AS601" s="97"/>
      <c r="AT601" s="97"/>
      <c r="AU601" s="97"/>
      <c r="AV601" s="97"/>
      <c r="AW601" s="97"/>
      <c r="AX601" s="97"/>
      <c r="AY601" s="97"/>
      <c r="AZ601" s="97"/>
      <c r="BA601" s="97"/>
      <c r="BB601" s="97"/>
      <c r="BC601" s="97"/>
      <c r="BD601" s="97"/>
      <c r="BE601" s="97"/>
      <c r="BF601" s="97"/>
      <c r="BG601" s="97"/>
      <c r="BH601" s="97"/>
    </row>
    <row r="602" spans="1:60" x14ac:dyDescent="0.25">
      <c r="A602" s="106"/>
      <c r="B602" s="107"/>
      <c r="C602" s="107"/>
      <c r="D602" s="107"/>
      <c r="E602" s="108"/>
      <c r="F602" s="109" t="str">
        <f>IF(H602&lt;&gt;"",H602-Accueil!N$6+1/60/24,"")</f>
        <v/>
      </c>
      <c r="G602" s="107"/>
      <c r="H602" s="109"/>
      <c r="I602" s="110"/>
      <c r="J602" s="110"/>
      <c r="K602" s="111"/>
      <c r="L602" s="112"/>
      <c r="M602" s="113"/>
      <c r="N602" s="114"/>
      <c r="O602" s="107"/>
      <c r="P602" s="107"/>
      <c r="Q602" s="115"/>
      <c r="R602" s="116"/>
      <c r="S602" s="107"/>
      <c r="T602" s="107"/>
      <c r="U602" s="107" t="str">
        <f t="shared" si="12"/>
        <v/>
      </c>
      <c r="V602" s="107"/>
      <c r="W602" s="107"/>
      <c r="X602" s="107"/>
      <c r="Y602" s="107"/>
      <c r="Z602" s="107"/>
      <c r="AA602" s="107"/>
      <c r="AB602" s="107"/>
      <c r="AC602" s="107"/>
      <c r="AD602" s="107"/>
      <c r="AE602" s="107"/>
      <c r="AF602" s="107"/>
      <c r="AG602" s="107"/>
      <c r="AH602" s="107"/>
      <c r="AI602" s="107"/>
      <c r="AJ602" s="107"/>
      <c r="AK602" s="107"/>
      <c r="AL602" s="107"/>
      <c r="AM602" s="107"/>
      <c r="AN602" s="107"/>
      <c r="AO602" s="107"/>
      <c r="AP602" s="107"/>
      <c r="AQ602" s="107"/>
      <c r="AR602" s="107"/>
      <c r="AS602" s="107"/>
      <c r="AT602" s="107"/>
      <c r="AU602" s="107"/>
      <c r="AV602" s="107"/>
      <c r="AW602" s="107"/>
      <c r="AX602" s="107"/>
      <c r="AY602" s="107"/>
      <c r="AZ602" s="107"/>
      <c r="BA602" s="107"/>
      <c r="BB602" s="107"/>
      <c r="BC602" s="107"/>
      <c r="BD602" s="107"/>
      <c r="BE602" s="107"/>
      <c r="BF602" s="107"/>
      <c r="BG602" s="107"/>
      <c r="BH602" s="107"/>
    </row>
    <row r="603" spans="1:60" x14ac:dyDescent="0.25">
      <c r="A603" s="96"/>
      <c r="B603" s="97"/>
      <c r="C603" s="97"/>
      <c r="D603" s="97"/>
      <c r="E603" s="98"/>
      <c r="F603" s="99" t="str">
        <f>IF(H603&lt;&gt;"",H603-Accueil!N$6+1/60/24,"")</f>
        <v/>
      </c>
      <c r="G603" s="97"/>
      <c r="H603" s="99"/>
      <c r="I603" s="99"/>
      <c r="J603" s="100"/>
      <c r="K603" s="101"/>
      <c r="L603" s="102"/>
      <c r="M603" s="103"/>
      <c r="N603" s="104"/>
      <c r="O603" s="97"/>
      <c r="P603" s="97"/>
      <c r="Q603" s="97"/>
      <c r="R603" s="105"/>
      <c r="S603" s="97"/>
      <c r="T603" s="97"/>
      <c r="U603" s="97" t="str">
        <f t="shared" si="12"/>
        <v/>
      </c>
      <c r="V603" s="97"/>
      <c r="W603" s="97"/>
      <c r="X603" s="97"/>
      <c r="Y603" s="97"/>
      <c r="Z603" s="97"/>
      <c r="AA603" s="97"/>
      <c r="AB603" s="97"/>
      <c r="AC603" s="97"/>
      <c r="AD603" s="97"/>
      <c r="AE603" s="97"/>
      <c r="AF603" s="97"/>
      <c r="AG603" s="97"/>
      <c r="AH603" s="97"/>
      <c r="AI603" s="97"/>
      <c r="AJ603" s="97"/>
      <c r="AK603" s="97"/>
      <c r="AL603" s="97"/>
      <c r="AM603" s="97"/>
      <c r="AN603" s="97"/>
      <c r="AO603" s="97"/>
      <c r="AP603" s="97"/>
      <c r="AQ603" s="97"/>
      <c r="AR603" s="97"/>
      <c r="AS603" s="97"/>
      <c r="AT603" s="97"/>
      <c r="AU603" s="97"/>
      <c r="AV603" s="97"/>
      <c r="AW603" s="97"/>
      <c r="AX603" s="97"/>
      <c r="AY603" s="97"/>
      <c r="AZ603" s="97"/>
      <c r="BA603" s="97"/>
      <c r="BB603" s="97"/>
      <c r="BC603" s="97"/>
      <c r="BD603" s="97"/>
      <c r="BE603" s="97"/>
      <c r="BF603" s="97"/>
      <c r="BG603" s="97"/>
      <c r="BH603" s="97"/>
    </row>
    <row r="604" spans="1:60" x14ac:dyDescent="0.25">
      <c r="A604" s="106"/>
      <c r="B604" s="107"/>
      <c r="C604" s="107"/>
      <c r="D604" s="107"/>
      <c r="E604" s="108"/>
      <c r="F604" s="109" t="str">
        <f>IF(H604&lt;&gt;"",H604-Accueil!N$6+1/60/24,"")</f>
        <v/>
      </c>
      <c r="G604" s="107"/>
      <c r="H604" s="109"/>
      <c r="I604" s="110"/>
      <c r="J604" s="110"/>
      <c r="K604" s="111"/>
      <c r="L604" s="112"/>
      <c r="M604" s="113"/>
      <c r="N604" s="114"/>
      <c r="O604" s="107"/>
      <c r="P604" s="107"/>
      <c r="Q604" s="115"/>
      <c r="R604" s="116"/>
      <c r="S604" s="107"/>
      <c r="T604" s="107"/>
      <c r="U604" s="107" t="str">
        <f t="shared" si="12"/>
        <v/>
      </c>
      <c r="V604" s="107"/>
      <c r="W604" s="107"/>
      <c r="X604" s="107"/>
      <c r="Y604" s="107"/>
      <c r="Z604" s="107"/>
      <c r="AA604" s="107"/>
      <c r="AB604" s="107"/>
      <c r="AC604" s="107"/>
      <c r="AD604" s="107"/>
      <c r="AE604" s="107"/>
      <c r="AF604" s="107"/>
      <c r="AG604" s="107"/>
      <c r="AH604" s="107"/>
      <c r="AI604" s="107"/>
      <c r="AJ604" s="107"/>
      <c r="AK604" s="107"/>
      <c r="AL604" s="107"/>
      <c r="AM604" s="107"/>
      <c r="AN604" s="107"/>
      <c r="AO604" s="107"/>
      <c r="AP604" s="107"/>
      <c r="AQ604" s="107"/>
      <c r="AR604" s="107"/>
      <c r="AS604" s="107"/>
      <c r="AT604" s="107"/>
      <c r="AU604" s="107"/>
      <c r="AV604" s="107"/>
      <c r="AW604" s="107"/>
      <c r="AX604" s="107"/>
      <c r="AY604" s="107"/>
      <c r="AZ604" s="107"/>
      <c r="BA604" s="107"/>
      <c r="BB604" s="107"/>
      <c r="BC604" s="107"/>
      <c r="BD604" s="107"/>
      <c r="BE604" s="107"/>
      <c r="BF604" s="107"/>
      <c r="BG604" s="107"/>
      <c r="BH604" s="107"/>
    </row>
    <row r="605" spans="1:60" x14ac:dyDescent="0.25">
      <c r="A605" s="96"/>
      <c r="B605" s="97"/>
      <c r="C605" s="97"/>
      <c r="D605" s="97"/>
      <c r="E605" s="98"/>
      <c r="F605" s="99" t="str">
        <f>IF(H605&lt;&gt;"",H605-Accueil!N$6+1/60/24,"")</f>
        <v/>
      </c>
      <c r="G605" s="97"/>
      <c r="H605" s="99"/>
      <c r="I605" s="99"/>
      <c r="J605" s="100"/>
      <c r="K605" s="101"/>
      <c r="L605" s="102"/>
      <c r="M605" s="103"/>
      <c r="N605" s="104"/>
      <c r="O605" s="97"/>
      <c r="P605" s="97"/>
      <c r="Q605" s="97"/>
      <c r="R605" s="105"/>
      <c r="S605" s="97"/>
      <c r="T605" s="97"/>
      <c r="U605" s="97" t="str">
        <f t="shared" si="12"/>
        <v/>
      </c>
      <c r="V605" s="97"/>
      <c r="W605" s="97"/>
      <c r="X605" s="97"/>
      <c r="Y605" s="97"/>
      <c r="Z605" s="97"/>
      <c r="AA605" s="97"/>
      <c r="AB605" s="97"/>
      <c r="AC605" s="97"/>
      <c r="AD605" s="97"/>
      <c r="AE605" s="97"/>
      <c r="AF605" s="97"/>
      <c r="AG605" s="97"/>
      <c r="AH605" s="97"/>
      <c r="AI605" s="97"/>
      <c r="AJ605" s="97"/>
      <c r="AK605" s="97"/>
      <c r="AL605" s="97"/>
      <c r="AM605" s="97"/>
      <c r="AN605" s="97"/>
      <c r="AO605" s="97"/>
      <c r="AP605" s="97"/>
      <c r="AQ605" s="97"/>
      <c r="AR605" s="97"/>
      <c r="AS605" s="97"/>
      <c r="AT605" s="97"/>
      <c r="AU605" s="97"/>
      <c r="AV605" s="97"/>
      <c r="AW605" s="97"/>
      <c r="AX605" s="97"/>
      <c r="AY605" s="97"/>
      <c r="AZ605" s="97"/>
      <c r="BA605" s="97"/>
      <c r="BB605" s="97"/>
      <c r="BC605" s="97"/>
      <c r="BD605" s="97"/>
      <c r="BE605" s="97"/>
      <c r="BF605" s="97"/>
      <c r="BG605" s="97"/>
      <c r="BH605" s="97"/>
    </row>
    <row r="606" spans="1:60" x14ac:dyDescent="0.25">
      <c r="A606" s="106"/>
      <c r="B606" s="107"/>
      <c r="C606" s="107"/>
      <c r="D606" s="107"/>
      <c r="E606" s="108"/>
      <c r="F606" s="109" t="str">
        <f>IF(H606&lt;&gt;"",H606-Accueil!N$6+1/60/24,"")</f>
        <v/>
      </c>
      <c r="G606" s="107"/>
      <c r="H606" s="109"/>
      <c r="I606" s="110"/>
      <c r="J606" s="110"/>
      <c r="K606" s="111"/>
      <c r="L606" s="112"/>
      <c r="M606" s="113"/>
      <c r="N606" s="114"/>
      <c r="O606" s="107"/>
      <c r="P606" s="107"/>
      <c r="Q606" s="115"/>
      <c r="R606" s="116"/>
      <c r="S606" s="107"/>
      <c r="T606" s="107"/>
      <c r="U606" s="107" t="str">
        <f t="shared" si="12"/>
        <v/>
      </c>
      <c r="V606" s="107"/>
      <c r="W606" s="107"/>
      <c r="X606" s="107"/>
      <c r="Y606" s="107"/>
      <c r="Z606" s="107"/>
      <c r="AA606" s="107"/>
      <c r="AB606" s="107"/>
      <c r="AC606" s="107"/>
      <c r="AD606" s="107"/>
      <c r="AE606" s="107"/>
      <c r="AF606" s="107"/>
      <c r="AG606" s="107"/>
      <c r="AH606" s="107"/>
      <c r="AI606" s="107"/>
      <c r="AJ606" s="107"/>
      <c r="AK606" s="107"/>
      <c r="AL606" s="107"/>
      <c r="AM606" s="107"/>
      <c r="AN606" s="107"/>
      <c r="AO606" s="107"/>
      <c r="AP606" s="107"/>
      <c r="AQ606" s="107"/>
      <c r="AR606" s="107"/>
      <c r="AS606" s="107"/>
      <c r="AT606" s="107"/>
      <c r="AU606" s="107"/>
      <c r="AV606" s="107"/>
      <c r="AW606" s="107"/>
      <c r="AX606" s="107"/>
      <c r="AY606" s="107"/>
      <c r="AZ606" s="107"/>
      <c r="BA606" s="107"/>
      <c r="BB606" s="107"/>
      <c r="BC606" s="107"/>
      <c r="BD606" s="107"/>
      <c r="BE606" s="107"/>
      <c r="BF606" s="107"/>
      <c r="BG606" s="107"/>
      <c r="BH606" s="107"/>
    </row>
    <row r="607" spans="1:60" x14ac:dyDescent="0.25">
      <c r="A607" s="96"/>
      <c r="B607" s="97"/>
      <c r="C607" s="97"/>
      <c r="D607" s="97"/>
      <c r="E607" s="98"/>
      <c r="F607" s="99" t="str">
        <f>IF(H607&lt;&gt;"",H607-Accueil!N$6+1/60/24,"")</f>
        <v/>
      </c>
      <c r="G607" s="97"/>
      <c r="H607" s="99"/>
      <c r="I607" s="99"/>
      <c r="J607" s="100"/>
      <c r="K607" s="101"/>
      <c r="L607" s="102"/>
      <c r="M607" s="103"/>
      <c r="N607" s="104"/>
      <c r="O607" s="97"/>
      <c r="P607" s="97"/>
      <c r="Q607" s="97"/>
      <c r="R607" s="105"/>
      <c r="S607" s="97"/>
      <c r="T607" s="97"/>
      <c r="U607" s="97" t="str">
        <f t="shared" si="12"/>
        <v/>
      </c>
      <c r="V607" s="97"/>
      <c r="W607" s="97"/>
      <c r="X607" s="97"/>
      <c r="Y607" s="97"/>
      <c r="Z607" s="97"/>
      <c r="AA607" s="97"/>
      <c r="AB607" s="97"/>
      <c r="AC607" s="97"/>
      <c r="AD607" s="97"/>
      <c r="AE607" s="97"/>
      <c r="AF607" s="97"/>
      <c r="AG607" s="97"/>
      <c r="AH607" s="97"/>
      <c r="AI607" s="97"/>
      <c r="AJ607" s="97"/>
      <c r="AK607" s="97"/>
      <c r="AL607" s="97"/>
      <c r="AM607" s="97"/>
      <c r="AN607" s="97"/>
      <c r="AO607" s="97"/>
      <c r="AP607" s="97"/>
      <c r="AQ607" s="97"/>
      <c r="AR607" s="97"/>
      <c r="AS607" s="97"/>
      <c r="AT607" s="97"/>
      <c r="AU607" s="97"/>
      <c r="AV607" s="97"/>
      <c r="AW607" s="97"/>
      <c r="AX607" s="97"/>
      <c r="AY607" s="97"/>
      <c r="AZ607" s="97"/>
      <c r="BA607" s="97"/>
      <c r="BB607" s="97"/>
      <c r="BC607" s="97"/>
      <c r="BD607" s="97"/>
      <c r="BE607" s="97"/>
      <c r="BF607" s="97"/>
      <c r="BG607" s="97"/>
      <c r="BH607" s="97"/>
    </row>
    <row r="608" spans="1:60" x14ac:dyDescent="0.25">
      <c r="A608" s="106"/>
      <c r="B608" s="107"/>
      <c r="C608" s="107"/>
      <c r="D608" s="107"/>
      <c r="E608" s="108"/>
      <c r="F608" s="109" t="str">
        <f>IF(H608&lt;&gt;"",H608-Accueil!N$6+1/60/24,"")</f>
        <v/>
      </c>
      <c r="G608" s="107"/>
      <c r="H608" s="109"/>
      <c r="I608" s="110"/>
      <c r="J608" s="110"/>
      <c r="K608" s="111"/>
      <c r="L608" s="112"/>
      <c r="M608" s="113"/>
      <c r="N608" s="114"/>
      <c r="O608" s="107"/>
      <c r="P608" s="107"/>
      <c r="Q608" s="115"/>
      <c r="R608" s="116"/>
      <c r="S608" s="107"/>
      <c r="T608" s="107"/>
      <c r="U608" s="107" t="str">
        <f t="shared" si="12"/>
        <v/>
      </c>
      <c r="V608" s="107"/>
      <c r="W608" s="107"/>
      <c r="X608" s="107"/>
      <c r="Y608" s="107"/>
      <c r="Z608" s="107"/>
      <c r="AA608" s="107"/>
      <c r="AB608" s="107"/>
      <c r="AC608" s="107"/>
      <c r="AD608" s="107"/>
      <c r="AE608" s="107"/>
      <c r="AF608" s="107"/>
      <c r="AG608" s="107"/>
      <c r="AH608" s="107"/>
      <c r="AI608" s="107"/>
      <c r="AJ608" s="107"/>
      <c r="AK608" s="107"/>
      <c r="AL608" s="107"/>
      <c r="AM608" s="107"/>
      <c r="AN608" s="107"/>
      <c r="AO608" s="107"/>
      <c r="AP608" s="107"/>
      <c r="AQ608" s="107"/>
      <c r="AR608" s="107"/>
      <c r="AS608" s="107"/>
      <c r="AT608" s="107"/>
      <c r="AU608" s="107"/>
      <c r="AV608" s="107"/>
      <c r="AW608" s="107"/>
      <c r="AX608" s="107"/>
      <c r="AY608" s="107"/>
      <c r="AZ608" s="107"/>
      <c r="BA608" s="107"/>
      <c r="BB608" s="107"/>
      <c r="BC608" s="107"/>
      <c r="BD608" s="107"/>
      <c r="BE608" s="107"/>
      <c r="BF608" s="107"/>
      <c r="BG608" s="107"/>
      <c r="BH608" s="107"/>
    </row>
    <row r="609" spans="1:60" x14ac:dyDescent="0.25">
      <c r="A609" s="96"/>
      <c r="B609" s="97"/>
      <c r="C609" s="97"/>
      <c r="D609" s="97"/>
      <c r="E609" s="98"/>
      <c r="F609" s="99" t="str">
        <f>IF(H609&lt;&gt;"",H609-Accueil!N$6+1/60/24,"")</f>
        <v/>
      </c>
      <c r="G609" s="97"/>
      <c r="H609" s="99"/>
      <c r="I609" s="99"/>
      <c r="J609" s="100"/>
      <c r="K609" s="101"/>
      <c r="L609" s="102"/>
      <c r="M609" s="103"/>
      <c r="N609" s="104"/>
      <c r="O609" s="97"/>
      <c r="P609" s="97"/>
      <c r="Q609" s="97"/>
      <c r="R609" s="105"/>
      <c r="S609" s="97"/>
      <c r="T609" s="97"/>
      <c r="U609" s="97" t="str">
        <f t="shared" si="12"/>
        <v/>
      </c>
      <c r="V609" s="97"/>
      <c r="W609" s="97"/>
      <c r="X609" s="97"/>
      <c r="Y609" s="97"/>
      <c r="Z609" s="97"/>
      <c r="AA609" s="97"/>
      <c r="AB609" s="97"/>
      <c r="AC609" s="97"/>
      <c r="AD609" s="97"/>
      <c r="AE609" s="97"/>
      <c r="AF609" s="97"/>
      <c r="AG609" s="97"/>
      <c r="AH609" s="97"/>
      <c r="AI609" s="97"/>
      <c r="AJ609" s="97"/>
      <c r="AK609" s="97"/>
      <c r="AL609" s="97"/>
      <c r="AM609" s="97"/>
      <c r="AN609" s="97"/>
      <c r="AO609" s="97"/>
      <c r="AP609" s="97"/>
      <c r="AQ609" s="97"/>
      <c r="AR609" s="97"/>
      <c r="AS609" s="97"/>
      <c r="AT609" s="97"/>
      <c r="AU609" s="97"/>
      <c r="AV609" s="97"/>
      <c r="AW609" s="97"/>
      <c r="AX609" s="97"/>
      <c r="AY609" s="97"/>
      <c r="AZ609" s="97"/>
      <c r="BA609" s="97"/>
      <c r="BB609" s="97"/>
      <c r="BC609" s="97"/>
      <c r="BD609" s="97"/>
      <c r="BE609" s="97"/>
      <c r="BF609" s="97"/>
      <c r="BG609" s="97"/>
      <c r="BH609" s="97"/>
    </row>
    <row r="610" spans="1:60" x14ac:dyDescent="0.25">
      <c r="A610" s="106"/>
      <c r="B610" s="107"/>
      <c r="C610" s="107"/>
      <c r="D610" s="107"/>
      <c r="E610" s="108"/>
      <c r="F610" s="109" t="str">
        <f>IF(H610&lt;&gt;"",H610-Accueil!N$6+1/60/24,"")</f>
        <v/>
      </c>
      <c r="G610" s="107"/>
      <c r="H610" s="109"/>
      <c r="I610" s="110"/>
      <c r="J610" s="110"/>
      <c r="K610" s="111"/>
      <c r="L610" s="112"/>
      <c r="M610" s="113"/>
      <c r="N610" s="114"/>
      <c r="O610" s="107"/>
      <c r="P610" s="107"/>
      <c r="Q610" s="115"/>
      <c r="R610" s="116"/>
      <c r="S610" s="107"/>
      <c r="T610" s="107"/>
      <c r="U610" s="107" t="str">
        <f t="shared" si="12"/>
        <v/>
      </c>
      <c r="V610" s="107"/>
      <c r="W610" s="107"/>
      <c r="X610" s="107"/>
      <c r="Y610" s="107"/>
      <c r="Z610" s="107"/>
      <c r="AA610" s="107"/>
      <c r="AB610" s="107"/>
      <c r="AC610" s="107"/>
      <c r="AD610" s="107"/>
      <c r="AE610" s="107"/>
      <c r="AF610" s="107"/>
      <c r="AG610" s="107"/>
      <c r="AH610" s="107"/>
      <c r="AI610" s="107"/>
      <c r="AJ610" s="107"/>
      <c r="AK610" s="107"/>
      <c r="AL610" s="107"/>
      <c r="AM610" s="107"/>
      <c r="AN610" s="107"/>
      <c r="AO610" s="107"/>
      <c r="AP610" s="107"/>
      <c r="AQ610" s="107"/>
      <c r="AR610" s="107"/>
      <c r="AS610" s="107"/>
      <c r="AT610" s="107"/>
      <c r="AU610" s="107"/>
      <c r="AV610" s="107"/>
      <c r="AW610" s="107"/>
      <c r="AX610" s="107"/>
      <c r="AY610" s="107"/>
      <c r="AZ610" s="107"/>
      <c r="BA610" s="107"/>
      <c r="BB610" s="107"/>
      <c r="BC610" s="107"/>
      <c r="BD610" s="107"/>
      <c r="BE610" s="107"/>
      <c r="BF610" s="107"/>
      <c r="BG610" s="107"/>
      <c r="BH610" s="107"/>
    </row>
    <row r="611" spans="1:60" x14ac:dyDescent="0.25">
      <c r="A611" s="96"/>
      <c r="B611" s="97"/>
      <c r="C611" s="97"/>
      <c r="D611" s="97"/>
      <c r="E611" s="98"/>
      <c r="F611" s="99" t="str">
        <f>IF(H611&lt;&gt;"",H611-Accueil!N$6+1/60/24,"")</f>
        <v/>
      </c>
      <c r="G611" s="97"/>
      <c r="H611" s="99"/>
      <c r="I611" s="99"/>
      <c r="J611" s="100"/>
      <c r="K611" s="101"/>
      <c r="L611" s="102"/>
      <c r="M611" s="103"/>
      <c r="N611" s="104"/>
      <c r="O611" s="97"/>
      <c r="P611" s="97"/>
      <c r="Q611" s="97"/>
      <c r="R611" s="105"/>
      <c r="S611" s="97"/>
      <c r="T611" s="97"/>
      <c r="U611" s="97" t="str">
        <f t="shared" si="12"/>
        <v/>
      </c>
      <c r="V611" s="97"/>
      <c r="W611" s="97"/>
      <c r="X611" s="97"/>
      <c r="Y611" s="97"/>
      <c r="Z611" s="97"/>
      <c r="AA611" s="97"/>
      <c r="AB611" s="97"/>
      <c r="AC611" s="97"/>
      <c r="AD611" s="97"/>
      <c r="AE611" s="97"/>
      <c r="AF611" s="97"/>
      <c r="AG611" s="97"/>
      <c r="AH611" s="97"/>
      <c r="AI611" s="97"/>
      <c r="AJ611" s="97"/>
      <c r="AK611" s="97"/>
      <c r="AL611" s="97"/>
      <c r="AM611" s="97"/>
      <c r="AN611" s="97"/>
      <c r="AO611" s="97"/>
      <c r="AP611" s="97"/>
      <c r="AQ611" s="97"/>
      <c r="AR611" s="97"/>
      <c r="AS611" s="97"/>
      <c r="AT611" s="97"/>
      <c r="AU611" s="97"/>
      <c r="AV611" s="97"/>
      <c r="AW611" s="97"/>
      <c r="AX611" s="97"/>
      <c r="AY611" s="97"/>
      <c r="AZ611" s="97"/>
      <c r="BA611" s="97"/>
      <c r="BB611" s="97"/>
      <c r="BC611" s="97"/>
      <c r="BD611" s="97"/>
      <c r="BE611" s="97"/>
      <c r="BF611" s="97"/>
      <c r="BG611" s="97"/>
      <c r="BH611" s="97"/>
    </row>
    <row r="612" spans="1:60" x14ac:dyDescent="0.25">
      <c r="A612" s="106"/>
      <c r="B612" s="107"/>
      <c r="C612" s="107"/>
      <c r="D612" s="107"/>
      <c r="E612" s="108"/>
      <c r="F612" s="109" t="str">
        <f>IF(H612&lt;&gt;"",H612-Accueil!N$6+1/60/24,"")</f>
        <v/>
      </c>
      <c r="G612" s="107"/>
      <c r="H612" s="109"/>
      <c r="I612" s="110"/>
      <c r="J612" s="110"/>
      <c r="K612" s="111"/>
      <c r="L612" s="112"/>
      <c r="M612" s="113"/>
      <c r="N612" s="114"/>
      <c r="O612" s="107"/>
      <c r="P612" s="107"/>
      <c r="Q612" s="115"/>
      <c r="R612" s="116"/>
      <c r="S612" s="107"/>
      <c r="T612" s="107"/>
      <c r="U612" s="107" t="str">
        <f t="shared" si="12"/>
        <v/>
      </c>
      <c r="V612" s="107"/>
      <c r="W612" s="107"/>
      <c r="X612" s="107"/>
      <c r="Y612" s="107"/>
      <c r="Z612" s="107"/>
      <c r="AA612" s="107"/>
      <c r="AB612" s="107"/>
      <c r="AC612" s="107"/>
      <c r="AD612" s="107"/>
      <c r="AE612" s="107"/>
      <c r="AF612" s="107"/>
      <c r="AG612" s="107"/>
      <c r="AH612" s="107"/>
      <c r="AI612" s="107"/>
      <c r="AJ612" s="107"/>
      <c r="AK612" s="107"/>
      <c r="AL612" s="107"/>
      <c r="AM612" s="107"/>
      <c r="AN612" s="107"/>
      <c r="AO612" s="107"/>
      <c r="AP612" s="107"/>
      <c r="AQ612" s="107"/>
      <c r="AR612" s="107"/>
      <c r="AS612" s="107"/>
      <c r="AT612" s="107"/>
      <c r="AU612" s="107"/>
      <c r="AV612" s="107"/>
      <c r="AW612" s="107"/>
      <c r="AX612" s="107"/>
      <c r="AY612" s="107"/>
      <c r="AZ612" s="107"/>
      <c r="BA612" s="107"/>
      <c r="BB612" s="107"/>
      <c r="BC612" s="107"/>
      <c r="BD612" s="107"/>
      <c r="BE612" s="107"/>
      <c r="BF612" s="107"/>
      <c r="BG612" s="107"/>
      <c r="BH612" s="107"/>
    </row>
    <row r="613" spans="1:60" x14ac:dyDescent="0.25">
      <c r="A613" s="96"/>
      <c r="B613" s="97"/>
      <c r="C613" s="97"/>
      <c r="D613" s="97"/>
      <c r="E613" s="98"/>
      <c r="F613" s="99" t="str">
        <f>IF(H613&lt;&gt;"",H613-Accueil!N$6+1/60/24,"")</f>
        <v/>
      </c>
      <c r="G613" s="97"/>
      <c r="H613" s="99"/>
      <c r="I613" s="99"/>
      <c r="J613" s="100"/>
      <c r="K613" s="101"/>
      <c r="L613" s="102"/>
      <c r="M613" s="103"/>
      <c r="N613" s="104"/>
      <c r="O613" s="97"/>
      <c r="P613" s="97"/>
      <c r="Q613" s="97"/>
      <c r="R613" s="105"/>
      <c r="S613" s="97"/>
      <c r="T613" s="97"/>
      <c r="U613" s="97" t="str">
        <f t="shared" si="12"/>
        <v/>
      </c>
      <c r="V613" s="97"/>
      <c r="W613" s="97"/>
      <c r="X613" s="97"/>
      <c r="Y613" s="97"/>
      <c r="Z613" s="97"/>
      <c r="AA613" s="97"/>
      <c r="AB613" s="97"/>
      <c r="AC613" s="97"/>
      <c r="AD613" s="97"/>
      <c r="AE613" s="97"/>
      <c r="AF613" s="97"/>
      <c r="AG613" s="97"/>
      <c r="AH613" s="97"/>
      <c r="AI613" s="97"/>
      <c r="AJ613" s="97"/>
      <c r="AK613" s="97"/>
      <c r="AL613" s="97"/>
      <c r="AM613" s="97"/>
      <c r="AN613" s="97"/>
      <c r="AO613" s="97"/>
      <c r="AP613" s="97"/>
      <c r="AQ613" s="97"/>
      <c r="AR613" s="97"/>
      <c r="AS613" s="97"/>
      <c r="AT613" s="97"/>
      <c r="AU613" s="97"/>
      <c r="AV613" s="97"/>
      <c r="AW613" s="97"/>
      <c r="AX613" s="97"/>
      <c r="AY613" s="97"/>
      <c r="AZ613" s="97"/>
      <c r="BA613" s="97"/>
      <c r="BB613" s="97"/>
      <c r="BC613" s="97"/>
      <c r="BD613" s="97"/>
      <c r="BE613" s="97"/>
      <c r="BF613" s="97"/>
      <c r="BG613" s="97"/>
      <c r="BH613" s="97"/>
    </row>
    <row r="614" spans="1:60" x14ac:dyDescent="0.25">
      <c r="A614" s="106"/>
      <c r="B614" s="107"/>
      <c r="C614" s="107"/>
      <c r="D614" s="107"/>
      <c r="E614" s="108"/>
      <c r="F614" s="109" t="str">
        <f>IF(H614&lt;&gt;"",H614-Accueil!N$6+1/60/24,"")</f>
        <v/>
      </c>
      <c r="G614" s="107"/>
      <c r="H614" s="109"/>
      <c r="I614" s="110"/>
      <c r="J614" s="110"/>
      <c r="K614" s="111"/>
      <c r="L614" s="112"/>
      <c r="M614" s="113"/>
      <c r="N614" s="114"/>
      <c r="O614" s="107"/>
      <c r="P614" s="107"/>
      <c r="Q614" s="115"/>
      <c r="R614" s="116"/>
      <c r="S614" s="107"/>
      <c r="T614" s="107"/>
      <c r="U614" s="107" t="str">
        <f t="shared" si="12"/>
        <v/>
      </c>
      <c r="V614" s="107"/>
      <c r="W614" s="107"/>
      <c r="X614" s="107"/>
      <c r="Y614" s="107"/>
      <c r="Z614" s="107"/>
      <c r="AA614" s="107"/>
      <c r="AB614" s="107"/>
      <c r="AC614" s="107"/>
      <c r="AD614" s="107"/>
      <c r="AE614" s="107"/>
      <c r="AF614" s="107"/>
      <c r="AG614" s="107"/>
      <c r="AH614" s="107"/>
      <c r="AI614" s="107"/>
      <c r="AJ614" s="107"/>
      <c r="AK614" s="107"/>
      <c r="AL614" s="107"/>
      <c r="AM614" s="107"/>
      <c r="AN614" s="107"/>
      <c r="AO614" s="107"/>
      <c r="AP614" s="107"/>
      <c r="AQ614" s="107"/>
      <c r="AR614" s="107"/>
      <c r="AS614" s="107"/>
      <c r="AT614" s="107"/>
      <c r="AU614" s="107"/>
      <c r="AV614" s="107"/>
      <c r="AW614" s="107"/>
      <c r="AX614" s="107"/>
      <c r="AY614" s="107"/>
      <c r="AZ614" s="107"/>
      <c r="BA614" s="107"/>
      <c r="BB614" s="107"/>
      <c r="BC614" s="107"/>
      <c r="BD614" s="107"/>
      <c r="BE614" s="107"/>
      <c r="BF614" s="107"/>
      <c r="BG614" s="107"/>
      <c r="BH614" s="107"/>
    </row>
    <row r="615" spans="1:60" x14ac:dyDescent="0.25">
      <c r="A615" s="96"/>
      <c r="B615" s="97"/>
      <c r="C615" s="97"/>
      <c r="D615" s="97"/>
      <c r="E615" s="98"/>
      <c r="F615" s="99" t="str">
        <f>IF(H615&lt;&gt;"",H615-Accueil!N$6+1/60/24,"")</f>
        <v/>
      </c>
      <c r="G615" s="97"/>
      <c r="H615" s="99"/>
      <c r="I615" s="99"/>
      <c r="J615" s="100"/>
      <c r="K615" s="101"/>
      <c r="L615" s="102"/>
      <c r="M615" s="103"/>
      <c r="N615" s="104"/>
      <c r="O615" s="97"/>
      <c r="P615" s="97"/>
      <c r="Q615" s="97"/>
      <c r="R615" s="105"/>
      <c r="S615" s="97"/>
      <c r="T615" s="97"/>
      <c r="U615" s="97" t="str">
        <f t="shared" si="12"/>
        <v/>
      </c>
      <c r="V615" s="97"/>
      <c r="W615" s="97"/>
      <c r="X615" s="97"/>
      <c r="Y615" s="97"/>
      <c r="Z615" s="97"/>
      <c r="AA615" s="97"/>
      <c r="AB615" s="97"/>
      <c r="AC615" s="97"/>
      <c r="AD615" s="97"/>
      <c r="AE615" s="97"/>
      <c r="AF615" s="97"/>
      <c r="AG615" s="97"/>
      <c r="AH615" s="97"/>
      <c r="AI615" s="97"/>
      <c r="AJ615" s="97"/>
      <c r="AK615" s="97"/>
      <c r="AL615" s="97"/>
      <c r="AM615" s="97"/>
      <c r="AN615" s="97"/>
      <c r="AO615" s="97"/>
      <c r="AP615" s="97"/>
      <c r="AQ615" s="97"/>
      <c r="AR615" s="97"/>
      <c r="AS615" s="97"/>
      <c r="AT615" s="97"/>
      <c r="AU615" s="97"/>
      <c r="AV615" s="97"/>
      <c r="AW615" s="97"/>
      <c r="AX615" s="97"/>
      <c r="AY615" s="97"/>
      <c r="AZ615" s="97"/>
      <c r="BA615" s="97"/>
      <c r="BB615" s="97"/>
      <c r="BC615" s="97"/>
      <c r="BD615" s="97"/>
      <c r="BE615" s="97"/>
      <c r="BF615" s="97"/>
      <c r="BG615" s="97"/>
      <c r="BH615" s="97"/>
    </row>
    <row r="616" spans="1:60" x14ac:dyDescent="0.25">
      <c r="A616" s="106"/>
      <c r="B616" s="107"/>
      <c r="C616" s="107"/>
      <c r="D616" s="107"/>
      <c r="E616" s="108"/>
      <c r="F616" s="109" t="str">
        <f>IF(H616&lt;&gt;"",H616-Accueil!N$6+1/60/24,"")</f>
        <v/>
      </c>
      <c r="G616" s="107"/>
      <c r="H616" s="109"/>
      <c r="I616" s="110"/>
      <c r="J616" s="110"/>
      <c r="K616" s="111"/>
      <c r="L616" s="112"/>
      <c r="M616" s="113"/>
      <c r="N616" s="114"/>
      <c r="O616" s="107"/>
      <c r="P616" s="107"/>
      <c r="Q616" s="115"/>
      <c r="R616" s="116"/>
      <c r="S616" s="107"/>
      <c r="T616" s="107"/>
      <c r="U616" s="107" t="str">
        <f t="shared" si="12"/>
        <v/>
      </c>
      <c r="V616" s="107"/>
      <c r="W616" s="107"/>
      <c r="X616" s="107"/>
      <c r="Y616" s="107"/>
      <c r="Z616" s="107"/>
      <c r="AA616" s="107"/>
      <c r="AB616" s="107"/>
      <c r="AC616" s="107"/>
      <c r="AD616" s="107"/>
      <c r="AE616" s="107"/>
      <c r="AF616" s="107"/>
      <c r="AG616" s="107"/>
      <c r="AH616" s="107"/>
      <c r="AI616" s="107"/>
      <c r="AJ616" s="107"/>
      <c r="AK616" s="107"/>
      <c r="AL616" s="107"/>
      <c r="AM616" s="107"/>
      <c r="AN616" s="107"/>
      <c r="AO616" s="107"/>
      <c r="AP616" s="107"/>
      <c r="AQ616" s="107"/>
      <c r="AR616" s="107"/>
      <c r="AS616" s="107"/>
      <c r="AT616" s="107"/>
      <c r="AU616" s="107"/>
      <c r="AV616" s="107"/>
      <c r="AW616" s="107"/>
      <c r="AX616" s="107"/>
      <c r="AY616" s="107"/>
      <c r="AZ616" s="107"/>
      <c r="BA616" s="107"/>
      <c r="BB616" s="107"/>
      <c r="BC616" s="107"/>
      <c r="BD616" s="107"/>
      <c r="BE616" s="107"/>
      <c r="BF616" s="107"/>
      <c r="BG616" s="107"/>
      <c r="BH616" s="107"/>
    </row>
    <row r="617" spans="1:60" x14ac:dyDescent="0.25">
      <c r="A617" s="96"/>
      <c r="B617" s="97"/>
      <c r="C617" s="97"/>
      <c r="D617" s="97"/>
      <c r="E617" s="98"/>
      <c r="F617" s="99" t="str">
        <f>IF(H617&lt;&gt;"",H617-Accueil!N$6+1/60/24,"")</f>
        <v/>
      </c>
      <c r="G617" s="97"/>
      <c r="H617" s="99"/>
      <c r="I617" s="99"/>
      <c r="J617" s="100"/>
      <c r="K617" s="101"/>
      <c r="L617" s="102"/>
      <c r="M617" s="103"/>
      <c r="N617" s="104"/>
      <c r="O617" s="97"/>
      <c r="P617" s="97"/>
      <c r="Q617" s="97"/>
      <c r="R617" s="105"/>
      <c r="S617" s="97"/>
      <c r="T617" s="97"/>
      <c r="U617" s="97" t="str">
        <f t="shared" si="12"/>
        <v/>
      </c>
      <c r="V617" s="97"/>
      <c r="W617" s="97"/>
      <c r="X617" s="97"/>
      <c r="Y617" s="97"/>
      <c r="Z617" s="97"/>
      <c r="AA617" s="97"/>
      <c r="AB617" s="97"/>
      <c r="AC617" s="97"/>
      <c r="AD617" s="97"/>
      <c r="AE617" s="97"/>
      <c r="AF617" s="97"/>
      <c r="AG617" s="97"/>
      <c r="AH617" s="97"/>
      <c r="AI617" s="97"/>
      <c r="AJ617" s="97"/>
      <c r="AK617" s="97"/>
      <c r="AL617" s="97"/>
      <c r="AM617" s="97"/>
      <c r="AN617" s="97"/>
      <c r="AO617" s="97"/>
      <c r="AP617" s="97"/>
      <c r="AQ617" s="97"/>
      <c r="AR617" s="97"/>
      <c r="AS617" s="97"/>
      <c r="AT617" s="97"/>
      <c r="AU617" s="97"/>
      <c r="AV617" s="97"/>
      <c r="AW617" s="97"/>
      <c r="AX617" s="97"/>
      <c r="AY617" s="97"/>
      <c r="AZ617" s="97"/>
      <c r="BA617" s="97"/>
      <c r="BB617" s="97"/>
      <c r="BC617" s="97"/>
      <c r="BD617" s="97"/>
      <c r="BE617" s="97"/>
      <c r="BF617" s="97"/>
      <c r="BG617" s="97"/>
      <c r="BH617" s="97"/>
    </row>
    <row r="618" spans="1:60" x14ac:dyDescent="0.25">
      <c r="A618" s="106"/>
      <c r="B618" s="107"/>
      <c r="C618" s="107"/>
      <c r="D618" s="107"/>
      <c r="E618" s="108"/>
      <c r="F618" s="109" t="str">
        <f>IF(H618&lt;&gt;"",H618-Accueil!N$6+1/60/24,"")</f>
        <v/>
      </c>
      <c r="G618" s="107"/>
      <c r="H618" s="109"/>
      <c r="I618" s="110"/>
      <c r="J618" s="110"/>
      <c r="K618" s="111"/>
      <c r="L618" s="112"/>
      <c r="M618" s="113"/>
      <c r="N618" s="114"/>
      <c r="O618" s="107"/>
      <c r="P618" s="107"/>
      <c r="Q618" s="115"/>
      <c r="R618" s="116"/>
      <c r="S618" s="107"/>
      <c r="T618" s="107"/>
      <c r="U618" s="107" t="str">
        <f t="shared" si="12"/>
        <v/>
      </c>
      <c r="V618" s="107"/>
      <c r="W618" s="107"/>
      <c r="X618" s="107"/>
      <c r="Y618" s="107"/>
      <c r="Z618" s="107"/>
      <c r="AA618" s="107"/>
      <c r="AB618" s="107"/>
      <c r="AC618" s="107"/>
      <c r="AD618" s="107"/>
      <c r="AE618" s="107"/>
      <c r="AF618" s="107"/>
      <c r="AG618" s="107"/>
      <c r="AH618" s="107"/>
      <c r="AI618" s="107"/>
      <c r="AJ618" s="107"/>
      <c r="AK618" s="107"/>
      <c r="AL618" s="107"/>
      <c r="AM618" s="107"/>
      <c r="AN618" s="107"/>
      <c r="AO618" s="107"/>
      <c r="AP618" s="107"/>
      <c r="AQ618" s="107"/>
      <c r="AR618" s="107"/>
      <c r="AS618" s="107"/>
      <c r="AT618" s="107"/>
      <c r="AU618" s="107"/>
      <c r="AV618" s="107"/>
      <c r="AW618" s="107"/>
      <c r="AX618" s="107"/>
      <c r="AY618" s="107"/>
      <c r="AZ618" s="107"/>
      <c r="BA618" s="107"/>
      <c r="BB618" s="107"/>
      <c r="BC618" s="107"/>
      <c r="BD618" s="107"/>
      <c r="BE618" s="107"/>
      <c r="BF618" s="107"/>
      <c r="BG618" s="107"/>
      <c r="BH618" s="107"/>
    </row>
    <row r="619" spans="1:60" x14ac:dyDescent="0.25">
      <c r="A619" s="96"/>
      <c r="B619" s="97"/>
      <c r="C619" s="97"/>
      <c r="D619" s="97"/>
      <c r="E619" s="98"/>
      <c r="F619" s="99" t="str">
        <f>IF(H619&lt;&gt;"",H619-Accueil!N$6+1/60/24,"")</f>
        <v/>
      </c>
      <c r="G619" s="97"/>
      <c r="H619" s="99"/>
      <c r="I619" s="99"/>
      <c r="J619" s="100"/>
      <c r="K619" s="101"/>
      <c r="L619" s="102"/>
      <c r="M619" s="103"/>
      <c r="N619" s="104"/>
      <c r="O619" s="97"/>
      <c r="P619" s="97"/>
      <c r="Q619" s="97"/>
      <c r="R619" s="105"/>
      <c r="S619" s="97"/>
      <c r="T619" s="97"/>
      <c r="U619" s="97" t="str">
        <f t="shared" si="12"/>
        <v/>
      </c>
      <c r="V619" s="97"/>
      <c r="W619" s="97"/>
      <c r="X619" s="97"/>
      <c r="Y619" s="97"/>
      <c r="Z619" s="97"/>
      <c r="AA619" s="97"/>
      <c r="AB619" s="97"/>
      <c r="AC619" s="97"/>
      <c r="AD619" s="97"/>
      <c r="AE619" s="97"/>
      <c r="AF619" s="97"/>
      <c r="AG619" s="97"/>
      <c r="AH619" s="97"/>
      <c r="AI619" s="97"/>
      <c r="AJ619" s="97"/>
      <c r="AK619" s="97"/>
      <c r="AL619" s="97"/>
      <c r="AM619" s="97"/>
      <c r="AN619" s="97"/>
      <c r="AO619" s="97"/>
      <c r="AP619" s="97"/>
      <c r="AQ619" s="97"/>
      <c r="AR619" s="97"/>
      <c r="AS619" s="97"/>
      <c r="AT619" s="97"/>
      <c r="AU619" s="97"/>
      <c r="AV619" s="97"/>
      <c r="AW619" s="97"/>
      <c r="AX619" s="97"/>
      <c r="AY619" s="97"/>
      <c r="AZ619" s="97"/>
      <c r="BA619" s="97"/>
      <c r="BB619" s="97"/>
      <c r="BC619" s="97"/>
      <c r="BD619" s="97"/>
      <c r="BE619" s="97"/>
      <c r="BF619" s="97"/>
      <c r="BG619" s="97"/>
      <c r="BH619" s="97"/>
    </row>
    <row r="620" spans="1:60" x14ac:dyDescent="0.25">
      <c r="A620" s="106"/>
      <c r="B620" s="107"/>
      <c r="C620" s="107"/>
      <c r="D620" s="107"/>
      <c r="E620" s="108"/>
      <c r="F620" s="109" t="str">
        <f>IF(H620&lt;&gt;"",H620-Accueil!N$6+1/60/24,"")</f>
        <v/>
      </c>
      <c r="G620" s="107"/>
      <c r="H620" s="109"/>
      <c r="I620" s="110"/>
      <c r="J620" s="110"/>
      <c r="K620" s="111"/>
      <c r="L620" s="112"/>
      <c r="M620" s="113"/>
      <c r="N620" s="114"/>
      <c r="O620" s="107"/>
      <c r="P620" s="107"/>
      <c r="Q620" s="115"/>
      <c r="R620" s="116"/>
      <c r="S620" s="107"/>
      <c r="T620" s="107"/>
      <c r="U620" s="107" t="str">
        <f t="shared" si="12"/>
        <v/>
      </c>
      <c r="V620" s="107"/>
      <c r="W620" s="107"/>
      <c r="X620" s="107"/>
      <c r="Y620" s="107"/>
      <c r="Z620" s="107"/>
      <c r="AA620" s="107"/>
      <c r="AB620" s="107"/>
      <c r="AC620" s="107"/>
      <c r="AD620" s="107"/>
      <c r="AE620" s="107"/>
      <c r="AF620" s="107"/>
      <c r="AG620" s="107"/>
      <c r="AH620" s="107"/>
      <c r="AI620" s="107"/>
      <c r="AJ620" s="107"/>
      <c r="AK620" s="107"/>
      <c r="AL620" s="107"/>
      <c r="AM620" s="107"/>
      <c r="AN620" s="107"/>
      <c r="AO620" s="107"/>
      <c r="AP620" s="107"/>
      <c r="AQ620" s="107"/>
      <c r="AR620" s="107"/>
      <c r="AS620" s="107"/>
      <c r="AT620" s="107"/>
      <c r="AU620" s="107"/>
      <c r="AV620" s="107"/>
      <c r="AW620" s="107"/>
      <c r="AX620" s="107"/>
      <c r="AY620" s="107"/>
      <c r="AZ620" s="107"/>
      <c r="BA620" s="107"/>
      <c r="BB620" s="107"/>
      <c r="BC620" s="107"/>
      <c r="BD620" s="107"/>
      <c r="BE620" s="107"/>
      <c r="BF620" s="107"/>
      <c r="BG620" s="107"/>
      <c r="BH620" s="107"/>
    </row>
    <row r="621" spans="1:60" x14ac:dyDescent="0.25">
      <c r="A621" s="96"/>
      <c r="B621" s="97"/>
      <c r="C621" s="97"/>
      <c r="D621" s="97"/>
      <c r="E621" s="98"/>
      <c r="F621" s="99" t="str">
        <f>IF(H621&lt;&gt;"",H621-Accueil!N$6+1/60/24,"")</f>
        <v/>
      </c>
      <c r="G621" s="97"/>
      <c r="H621" s="99"/>
      <c r="I621" s="99"/>
      <c r="J621" s="100"/>
      <c r="K621" s="101"/>
      <c r="L621" s="102"/>
      <c r="M621" s="103"/>
      <c r="N621" s="104"/>
      <c r="O621" s="97"/>
      <c r="P621" s="97"/>
      <c r="Q621" s="97"/>
      <c r="R621" s="105"/>
      <c r="S621" s="97"/>
      <c r="T621" s="97"/>
      <c r="U621" s="97" t="str">
        <f t="shared" si="12"/>
        <v/>
      </c>
      <c r="V621" s="97"/>
      <c r="W621" s="97"/>
      <c r="X621" s="97"/>
      <c r="Y621" s="97"/>
      <c r="Z621" s="97"/>
      <c r="AA621" s="97"/>
      <c r="AB621" s="97"/>
      <c r="AC621" s="97"/>
      <c r="AD621" s="97"/>
      <c r="AE621" s="97"/>
      <c r="AF621" s="97"/>
      <c r="AG621" s="97"/>
      <c r="AH621" s="97"/>
      <c r="AI621" s="97"/>
      <c r="AJ621" s="97"/>
      <c r="AK621" s="97"/>
      <c r="AL621" s="97"/>
      <c r="AM621" s="97"/>
      <c r="AN621" s="97"/>
      <c r="AO621" s="97"/>
      <c r="AP621" s="97"/>
      <c r="AQ621" s="97"/>
      <c r="AR621" s="97"/>
      <c r="AS621" s="97"/>
      <c r="AT621" s="97"/>
      <c r="AU621" s="97"/>
      <c r="AV621" s="97"/>
      <c r="AW621" s="97"/>
      <c r="AX621" s="97"/>
      <c r="AY621" s="97"/>
      <c r="AZ621" s="97"/>
      <c r="BA621" s="97"/>
      <c r="BB621" s="97"/>
      <c r="BC621" s="97"/>
      <c r="BD621" s="97"/>
      <c r="BE621" s="97"/>
      <c r="BF621" s="97"/>
      <c r="BG621" s="97"/>
      <c r="BH621" s="97"/>
    </row>
    <row r="622" spans="1:60" x14ac:dyDescent="0.25">
      <c r="A622" s="106"/>
      <c r="B622" s="107"/>
      <c r="C622" s="107"/>
      <c r="D622" s="107"/>
      <c r="E622" s="108"/>
      <c r="F622" s="109" t="str">
        <f>IF(H622&lt;&gt;"",H622-Accueil!N$6+1/60/24,"")</f>
        <v/>
      </c>
      <c r="G622" s="107"/>
      <c r="H622" s="109"/>
      <c r="I622" s="110"/>
      <c r="J622" s="110"/>
      <c r="K622" s="111"/>
      <c r="L622" s="112"/>
      <c r="M622" s="113"/>
      <c r="N622" s="114"/>
      <c r="O622" s="107"/>
      <c r="P622" s="107"/>
      <c r="Q622" s="115"/>
      <c r="R622" s="116"/>
      <c r="S622" s="107"/>
      <c r="T622" s="107"/>
      <c r="U622" s="107" t="str">
        <f t="shared" si="12"/>
        <v/>
      </c>
      <c r="V622" s="107"/>
      <c r="W622" s="107"/>
      <c r="X622" s="107"/>
      <c r="Y622" s="107"/>
      <c r="Z622" s="107"/>
      <c r="AA622" s="107"/>
      <c r="AB622" s="107"/>
      <c r="AC622" s="107"/>
      <c r="AD622" s="107"/>
      <c r="AE622" s="107"/>
      <c r="AF622" s="107"/>
      <c r="AG622" s="107"/>
      <c r="AH622" s="107"/>
      <c r="AI622" s="107"/>
      <c r="AJ622" s="107"/>
      <c r="AK622" s="107"/>
      <c r="AL622" s="107"/>
      <c r="AM622" s="107"/>
      <c r="AN622" s="107"/>
      <c r="AO622" s="107"/>
      <c r="AP622" s="107"/>
      <c r="AQ622" s="107"/>
      <c r="AR622" s="107"/>
      <c r="AS622" s="107"/>
      <c r="AT622" s="107"/>
      <c r="AU622" s="107"/>
      <c r="AV622" s="107"/>
      <c r="AW622" s="107"/>
      <c r="AX622" s="107"/>
      <c r="AY622" s="107"/>
      <c r="AZ622" s="107"/>
      <c r="BA622" s="107"/>
      <c r="BB622" s="107"/>
      <c r="BC622" s="107"/>
      <c r="BD622" s="107"/>
      <c r="BE622" s="107"/>
      <c r="BF622" s="107"/>
      <c r="BG622" s="107"/>
      <c r="BH622" s="107"/>
    </row>
    <row r="623" spans="1:60" x14ac:dyDescent="0.25">
      <c r="A623" s="96"/>
      <c r="B623" s="97"/>
      <c r="C623" s="97"/>
      <c r="D623" s="97"/>
      <c r="E623" s="98"/>
      <c r="F623" s="99" t="str">
        <f>IF(H623&lt;&gt;"",H623-Accueil!N$6+1/60/24,"")</f>
        <v/>
      </c>
      <c r="G623" s="97"/>
      <c r="H623" s="99"/>
      <c r="I623" s="99"/>
      <c r="J623" s="100"/>
      <c r="K623" s="101"/>
      <c r="L623" s="102"/>
      <c r="M623" s="103"/>
      <c r="N623" s="104"/>
      <c r="O623" s="97"/>
      <c r="P623" s="97"/>
      <c r="Q623" s="97"/>
      <c r="R623" s="105"/>
      <c r="S623" s="97"/>
      <c r="T623" s="97"/>
      <c r="U623" s="97" t="str">
        <f t="shared" si="12"/>
        <v/>
      </c>
      <c r="V623" s="97"/>
      <c r="W623" s="97"/>
      <c r="X623" s="97"/>
      <c r="Y623" s="97"/>
      <c r="Z623" s="97"/>
      <c r="AA623" s="97"/>
      <c r="AB623" s="97"/>
      <c r="AC623" s="97"/>
      <c r="AD623" s="97"/>
      <c r="AE623" s="97"/>
      <c r="AF623" s="97"/>
      <c r="AG623" s="97"/>
      <c r="AH623" s="97"/>
      <c r="AI623" s="97"/>
      <c r="AJ623" s="97"/>
      <c r="AK623" s="97"/>
      <c r="AL623" s="97"/>
      <c r="AM623" s="97"/>
      <c r="AN623" s="97"/>
      <c r="AO623" s="97"/>
      <c r="AP623" s="97"/>
      <c r="AQ623" s="97"/>
      <c r="AR623" s="97"/>
      <c r="AS623" s="97"/>
      <c r="AT623" s="97"/>
      <c r="AU623" s="97"/>
      <c r="AV623" s="97"/>
      <c r="AW623" s="97"/>
      <c r="AX623" s="97"/>
      <c r="AY623" s="97"/>
      <c r="AZ623" s="97"/>
      <c r="BA623" s="97"/>
      <c r="BB623" s="97"/>
      <c r="BC623" s="97"/>
      <c r="BD623" s="97"/>
      <c r="BE623" s="97"/>
      <c r="BF623" s="97"/>
      <c r="BG623" s="97"/>
      <c r="BH623" s="97"/>
    </row>
    <row r="624" spans="1:60" x14ac:dyDescent="0.25">
      <c r="A624" s="106"/>
      <c r="B624" s="107"/>
      <c r="C624" s="107"/>
      <c r="D624" s="107"/>
      <c r="E624" s="108"/>
      <c r="F624" s="109" t="str">
        <f>IF(H624&lt;&gt;"",H624-Accueil!N$6+1/60/24,"")</f>
        <v/>
      </c>
      <c r="G624" s="107"/>
      <c r="H624" s="109"/>
      <c r="I624" s="110"/>
      <c r="J624" s="110"/>
      <c r="K624" s="111"/>
      <c r="L624" s="112"/>
      <c r="M624" s="113"/>
      <c r="N624" s="114"/>
      <c r="O624" s="107"/>
      <c r="P624" s="107"/>
      <c r="Q624" s="115"/>
      <c r="R624" s="116"/>
      <c r="S624" s="107"/>
      <c r="T624" s="107"/>
      <c r="U624" s="107" t="str">
        <f t="shared" si="12"/>
        <v/>
      </c>
      <c r="V624" s="107"/>
      <c r="W624" s="107"/>
      <c r="X624" s="107"/>
      <c r="Y624" s="107"/>
      <c r="Z624" s="107"/>
      <c r="AA624" s="107"/>
      <c r="AB624" s="107"/>
      <c r="AC624" s="107"/>
      <c r="AD624" s="107"/>
      <c r="AE624" s="107"/>
      <c r="AF624" s="107"/>
      <c r="AG624" s="107"/>
      <c r="AH624" s="107"/>
      <c r="AI624" s="107"/>
      <c r="AJ624" s="107"/>
      <c r="AK624" s="107"/>
      <c r="AL624" s="107"/>
      <c r="AM624" s="107"/>
      <c r="AN624" s="107"/>
      <c r="AO624" s="107"/>
      <c r="AP624" s="107"/>
      <c r="AQ624" s="107"/>
      <c r="AR624" s="107"/>
      <c r="AS624" s="107"/>
      <c r="AT624" s="107"/>
      <c r="AU624" s="107"/>
      <c r="AV624" s="107"/>
      <c r="AW624" s="107"/>
      <c r="AX624" s="107"/>
      <c r="AY624" s="107"/>
      <c r="AZ624" s="107"/>
      <c r="BA624" s="107"/>
      <c r="BB624" s="107"/>
      <c r="BC624" s="107"/>
      <c r="BD624" s="107"/>
      <c r="BE624" s="107"/>
      <c r="BF624" s="107"/>
      <c r="BG624" s="107"/>
      <c r="BH624" s="107"/>
    </row>
    <row r="625" spans="1:60" x14ac:dyDescent="0.25">
      <c r="A625" s="96"/>
      <c r="B625" s="97"/>
      <c r="C625" s="97"/>
      <c r="D625" s="97"/>
      <c r="E625" s="98"/>
      <c r="F625" s="99" t="str">
        <f>IF(H625&lt;&gt;"",H625-Accueil!N$6+1/60/24,"")</f>
        <v/>
      </c>
      <c r="G625" s="97"/>
      <c r="H625" s="99"/>
      <c r="I625" s="99"/>
      <c r="J625" s="100"/>
      <c r="K625" s="101"/>
      <c r="L625" s="102"/>
      <c r="M625" s="103"/>
      <c r="N625" s="104"/>
      <c r="O625" s="97"/>
      <c r="P625" s="97"/>
      <c r="Q625" s="97"/>
      <c r="R625" s="105"/>
      <c r="S625" s="97"/>
      <c r="T625" s="97"/>
      <c r="U625" s="97" t="str">
        <f t="shared" si="12"/>
        <v/>
      </c>
      <c r="V625" s="97"/>
      <c r="W625" s="97"/>
      <c r="X625" s="97"/>
      <c r="Y625" s="97"/>
      <c r="Z625" s="97"/>
      <c r="AA625" s="97"/>
      <c r="AB625" s="97"/>
      <c r="AC625" s="97"/>
      <c r="AD625" s="97"/>
      <c r="AE625" s="97"/>
      <c r="AF625" s="97"/>
      <c r="AG625" s="97"/>
      <c r="AH625" s="97"/>
      <c r="AI625" s="97"/>
      <c r="AJ625" s="97"/>
      <c r="AK625" s="97"/>
      <c r="AL625" s="97"/>
      <c r="AM625" s="97"/>
      <c r="AN625" s="97"/>
      <c r="AO625" s="97"/>
      <c r="AP625" s="97"/>
      <c r="AQ625" s="97"/>
      <c r="AR625" s="97"/>
      <c r="AS625" s="97"/>
      <c r="AT625" s="97"/>
      <c r="AU625" s="97"/>
      <c r="AV625" s="97"/>
      <c r="AW625" s="97"/>
      <c r="AX625" s="97"/>
      <c r="AY625" s="97"/>
      <c r="AZ625" s="97"/>
      <c r="BA625" s="97"/>
      <c r="BB625" s="97"/>
      <c r="BC625" s="97"/>
      <c r="BD625" s="97"/>
      <c r="BE625" s="97"/>
      <c r="BF625" s="97"/>
      <c r="BG625" s="97"/>
      <c r="BH625" s="97"/>
    </row>
    <row r="626" spans="1:60" x14ac:dyDescent="0.25">
      <c r="A626" s="106"/>
      <c r="B626" s="107"/>
      <c r="C626" s="107"/>
      <c r="D626" s="107"/>
      <c r="E626" s="108"/>
      <c r="F626" s="109" t="str">
        <f>IF(H626&lt;&gt;"",H626-Accueil!N$6+1/60/24,"")</f>
        <v/>
      </c>
      <c r="G626" s="107"/>
      <c r="H626" s="109"/>
      <c r="I626" s="110"/>
      <c r="J626" s="110"/>
      <c r="K626" s="111"/>
      <c r="L626" s="112"/>
      <c r="M626" s="113"/>
      <c r="N626" s="114"/>
      <c r="O626" s="107"/>
      <c r="P626" s="107"/>
      <c r="Q626" s="115"/>
      <c r="R626" s="116"/>
      <c r="S626" s="107"/>
      <c r="T626" s="107"/>
      <c r="U626" s="107" t="str">
        <f t="shared" si="12"/>
        <v/>
      </c>
      <c r="V626" s="107"/>
      <c r="W626" s="107"/>
      <c r="X626" s="107"/>
      <c r="Y626" s="107"/>
      <c r="Z626" s="107"/>
      <c r="AA626" s="107"/>
      <c r="AB626" s="107"/>
      <c r="AC626" s="107"/>
      <c r="AD626" s="107"/>
      <c r="AE626" s="107"/>
      <c r="AF626" s="107"/>
      <c r="AG626" s="107"/>
      <c r="AH626" s="107"/>
      <c r="AI626" s="107"/>
      <c r="AJ626" s="107"/>
      <c r="AK626" s="107"/>
      <c r="AL626" s="107"/>
      <c r="AM626" s="107"/>
      <c r="AN626" s="107"/>
      <c r="AO626" s="107"/>
      <c r="AP626" s="107"/>
      <c r="AQ626" s="107"/>
      <c r="AR626" s="107"/>
      <c r="AS626" s="107"/>
      <c r="AT626" s="107"/>
      <c r="AU626" s="107"/>
      <c r="AV626" s="107"/>
      <c r="AW626" s="107"/>
      <c r="AX626" s="107"/>
      <c r="AY626" s="107"/>
      <c r="AZ626" s="107"/>
      <c r="BA626" s="107"/>
      <c r="BB626" s="107"/>
      <c r="BC626" s="107"/>
      <c r="BD626" s="107"/>
      <c r="BE626" s="107"/>
      <c r="BF626" s="107"/>
      <c r="BG626" s="107"/>
      <c r="BH626" s="107"/>
    </row>
    <row r="627" spans="1:60" x14ac:dyDescent="0.25">
      <c r="A627" s="96"/>
      <c r="B627" s="97"/>
      <c r="C627" s="97"/>
      <c r="D627" s="97"/>
      <c r="E627" s="98"/>
      <c r="F627" s="99" t="str">
        <f>IF(H627&lt;&gt;"",H627-Accueil!N$6+1/60/24,"")</f>
        <v/>
      </c>
      <c r="G627" s="97"/>
      <c r="H627" s="99"/>
      <c r="I627" s="99"/>
      <c r="J627" s="100"/>
      <c r="K627" s="101"/>
      <c r="L627" s="102"/>
      <c r="M627" s="103"/>
      <c r="N627" s="104"/>
      <c r="O627" s="97"/>
      <c r="P627" s="97"/>
      <c r="Q627" s="97"/>
      <c r="R627" s="105"/>
      <c r="S627" s="97"/>
      <c r="T627" s="97"/>
      <c r="U627" s="97" t="str">
        <f t="shared" si="12"/>
        <v/>
      </c>
      <c r="V627" s="97"/>
      <c r="W627" s="97"/>
      <c r="X627" s="97"/>
      <c r="Y627" s="97"/>
      <c r="Z627" s="97"/>
      <c r="AA627" s="97"/>
      <c r="AB627" s="97"/>
      <c r="AC627" s="97"/>
      <c r="AD627" s="97"/>
      <c r="AE627" s="97"/>
      <c r="AF627" s="97"/>
      <c r="AG627" s="97"/>
      <c r="AH627" s="97"/>
      <c r="AI627" s="97"/>
      <c r="AJ627" s="97"/>
      <c r="AK627" s="97"/>
      <c r="AL627" s="97"/>
      <c r="AM627" s="97"/>
      <c r="AN627" s="97"/>
      <c r="AO627" s="97"/>
      <c r="AP627" s="97"/>
      <c r="AQ627" s="97"/>
      <c r="AR627" s="97"/>
      <c r="AS627" s="97"/>
      <c r="AT627" s="97"/>
      <c r="AU627" s="97"/>
      <c r="AV627" s="97"/>
      <c r="AW627" s="97"/>
      <c r="AX627" s="97"/>
      <c r="AY627" s="97"/>
      <c r="AZ627" s="97"/>
      <c r="BA627" s="97"/>
      <c r="BB627" s="97"/>
      <c r="BC627" s="97"/>
      <c r="BD627" s="97"/>
      <c r="BE627" s="97"/>
      <c r="BF627" s="97"/>
      <c r="BG627" s="97"/>
      <c r="BH627" s="97"/>
    </row>
    <row r="628" spans="1:60" x14ac:dyDescent="0.25">
      <c r="A628" s="106"/>
      <c r="B628" s="107"/>
      <c r="C628" s="107"/>
      <c r="D628" s="107"/>
      <c r="E628" s="108"/>
      <c r="F628" s="109" t="str">
        <f>IF(H628&lt;&gt;"",H628-Accueil!N$6+1/60/24,"")</f>
        <v/>
      </c>
      <c r="G628" s="107"/>
      <c r="H628" s="109"/>
      <c r="I628" s="110"/>
      <c r="J628" s="110"/>
      <c r="K628" s="111"/>
      <c r="L628" s="112"/>
      <c r="M628" s="113"/>
      <c r="N628" s="114"/>
      <c r="O628" s="107"/>
      <c r="P628" s="107"/>
      <c r="Q628" s="115"/>
      <c r="R628" s="116"/>
      <c r="S628" s="107"/>
      <c r="T628" s="107"/>
      <c r="U628" s="107" t="str">
        <f t="shared" si="12"/>
        <v/>
      </c>
      <c r="V628" s="107"/>
      <c r="W628" s="107"/>
      <c r="X628" s="107"/>
      <c r="Y628" s="107"/>
      <c r="Z628" s="107"/>
      <c r="AA628" s="107"/>
      <c r="AB628" s="107"/>
      <c r="AC628" s="107"/>
      <c r="AD628" s="107"/>
      <c r="AE628" s="107"/>
      <c r="AF628" s="107"/>
      <c r="AG628" s="107"/>
      <c r="AH628" s="107"/>
      <c r="AI628" s="107"/>
      <c r="AJ628" s="107"/>
      <c r="AK628" s="107"/>
      <c r="AL628" s="107"/>
      <c r="AM628" s="107"/>
      <c r="AN628" s="107"/>
      <c r="AO628" s="107"/>
      <c r="AP628" s="107"/>
      <c r="AQ628" s="107"/>
      <c r="AR628" s="107"/>
      <c r="AS628" s="107"/>
      <c r="AT628" s="107"/>
      <c r="AU628" s="107"/>
      <c r="AV628" s="107"/>
      <c r="AW628" s="107"/>
      <c r="AX628" s="107"/>
      <c r="AY628" s="107"/>
      <c r="AZ628" s="107"/>
      <c r="BA628" s="107"/>
      <c r="BB628" s="107"/>
      <c r="BC628" s="107"/>
      <c r="BD628" s="107"/>
      <c r="BE628" s="107"/>
      <c r="BF628" s="107"/>
      <c r="BG628" s="107"/>
      <c r="BH628" s="107"/>
    </row>
    <row r="629" spans="1:60" x14ac:dyDescent="0.25">
      <c r="A629" s="96"/>
      <c r="B629" s="97"/>
      <c r="C629" s="97"/>
      <c r="D629" s="97"/>
      <c r="E629" s="98"/>
      <c r="F629" s="99" t="str">
        <f>IF(H629&lt;&gt;"",H629-Accueil!N$6+1/60/24,"")</f>
        <v/>
      </c>
      <c r="G629" s="97"/>
      <c r="H629" s="99"/>
      <c r="I629" s="99"/>
      <c r="J629" s="100"/>
      <c r="K629" s="101"/>
      <c r="L629" s="102"/>
      <c r="M629" s="103"/>
      <c r="N629" s="104"/>
      <c r="O629" s="97"/>
      <c r="P629" s="97"/>
      <c r="Q629" s="97"/>
      <c r="R629" s="105"/>
      <c r="S629" s="97"/>
      <c r="T629" s="97"/>
      <c r="U629" s="97" t="str">
        <f t="shared" si="12"/>
        <v/>
      </c>
      <c r="V629" s="97"/>
      <c r="W629" s="97"/>
      <c r="X629" s="97"/>
      <c r="Y629" s="97"/>
      <c r="Z629" s="97"/>
      <c r="AA629" s="97"/>
      <c r="AB629" s="97"/>
      <c r="AC629" s="97"/>
      <c r="AD629" s="97"/>
      <c r="AE629" s="97"/>
      <c r="AF629" s="97"/>
      <c r="AG629" s="97"/>
      <c r="AH629" s="97"/>
      <c r="AI629" s="97"/>
      <c r="AJ629" s="97"/>
      <c r="AK629" s="97"/>
      <c r="AL629" s="97"/>
      <c r="AM629" s="97"/>
      <c r="AN629" s="97"/>
      <c r="AO629" s="97"/>
      <c r="AP629" s="97"/>
      <c r="AQ629" s="97"/>
      <c r="AR629" s="97"/>
      <c r="AS629" s="97"/>
      <c r="AT629" s="97"/>
      <c r="AU629" s="97"/>
      <c r="AV629" s="97"/>
      <c r="AW629" s="97"/>
      <c r="AX629" s="97"/>
      <c r="AY629" s="97"/>
      <c r="AZ629" s="97"/>
      <c r="BA629" s="97"/>
      <c r="BB629" s="97"/>
      <c r="BC629" s="97"/>
      <c r="BD629" s="97"/>
      <c r="BE629" s="97"/>
      <c r="BF629" s="97"/>
      <c r="BG629" s="97"/>
      <c r="BH629" s="97"/>
    </row>
    <row r="630" spans="1:60" x14ac:dyDescent="0.25">
      <c r="A630" s="106"/>
      <c r="B630" s="107"/>
      <c r="C630" s="107"/>
      <c r="D630" s="107"/>
      <c r="E630" s="108"/>
      <c r="F630" s="109" t="str">
        <f>IF(H630&lt;&gt;"",H630-Accueil!N$6+1/60/24,"")</f>
        <v/>
      </c>
      <c r="G630" s="107"/>
      <c r="H630" s="109"/>
      <c r="I630" s="110"/>
      <c r="J630" s="110"/>
      <c r="K630" s="111"/>
      <c r="L630" s="112"/>
      <c r="M630" s="113"/>
      <c r="N630" s="114"/>
      <c r="O630" s="107"/>
      <c r="P630" s="107"/>
      <c r="Q630" s="115"/>
      <c r="R630" s="116"/>
      <c r="S630" s="107"/>
      <c r="T630" s="107"/>
      <c r="U630" s="107" t="str">
        <f t="shared" si="12"/>
        <v/>
      </c>
      <c r="V630" s="107"/>
      <c r="W630" s="107"/>
      <c r="X630" s="107"/>
      <c r="Y630" s="107"/>
      <c r="Z630" s="107"/>
      <c r="AA630" s="107"/>
      <c r="AB630" s="107"/>
      <c r="AC630" s="107"/>
      <c r="AD630" s="107"/>
      <c r="AE630" s="107"/>
      <c r="AF630" s="107"/>
      <c r="AG630" s="107"/>
      <c r="AH630" s="107"/>
      <c r="AI630" s="107"/>
      <c r="AJ630" s="107"/>
      <c r="AK630" s="107"/>
      <c r="AL630" s="107"/>
      <c r="AM630" s="107"/>
      <c r="AN630" s="107"/>
      <c r="AO630" s="107"/>
      <c r="AP630" s="107"/>
      <c r="AQ630" s="107"/>
      <c r="AR630" s="107"/>
      <c r="AS630" s="107"/>
      <c r="AT630" s="107"/>
      <c r="AU630" s="107"/>
      <c r="AV630" s="107"/>
      <c r="AW630" s="107"/>
      <c r="AX630" s="107"/>
      <c r="AY630" s="107"/>
      <c r="AZ630" s="107"/>
      <c r="BA630" s="107"/>
      <c r="BB630" s="107"/>
      <c r="BC630" s="107"/>
      <c r="BD630" s="107"/>
      <c r="BE630" s="107"/>
      <c r="BF630" s="107"/>
      <c r="BG630" s="107"/>
      <c r="BH630" s="107"/>
    </row>
    <row r="631" spans="1:60" x14ac:dyDescent="0.25">
      <c r="A631" s="96"/>
      <c r="B631" s="97"/>
      <c r="C631" s="97"/>
      <c r="D631" s="97"/>
      <c r="E631" s="98"/>
      <c r="F631" s="99" t="str">
        <f>IF(H631&lt;&gt;"",H631-Accueil!N$6+1/60/24,"")</f>
        <v/>
      </c>
      <c r="G631" s="97"/>
      <c r="H631" s="99"/>
      <c r="I631" s="99"/>
      <c r="J631" s="100"/>
      <c r="K631" s="101"/>
      <c r="L631" s="102"/>
      <c r="M631" s="103"/>
      <c r="N631" s="104"/>
      <c r="O631" s="97"/>
      <c r="P631" s="97"/>
      <c r="Q631" s="97"/>
      <c r="R631" s="105"/>
      <c r="S631" s="97"/>
      <c r="T631" s="97"/>
      <c r="U631" s="97" t="str">
        <f t="shared" si="12"/>
        <v/>
      </c>
      <c r="V631" s="97"/>
      <c r="W631" s="97"/>
      <c r="X631" s="97"/>
      <c r="Y631" s="97"/>
      <c r="Z631" s="97"/>
      <c r="AA631" s="97"/>
      <c r="AB631" s="97"/>
      <c r="AC631" s="97"/>
      <c r="AD631" s="97"/>
      <c r="AE631" s="97"/>
      <c r="AF631" s="97"/>
      <c r="AG631" s="97"/>
      <c r="AH631" s="97"/>
      <c r="AI631" s="97"/>
      <c r="AJ631" s="97"/>
      <c r="AK631" s="97"/>
      <c r="AL631" s="97"/>
      <c r="AM631" s="97"/>
      <c r="AN631" s="97"/>
      <c r="AO631" s="97"/>
      <c r="AP631" s="97"/>
      <c r="AQ631" s="97"/>
      <c r="AR631" s="97"/>
      <c r="AS631" s="97"/>
      <c r="AT631" s="97"/>
      <c r="AU631" s="97"/>
      <c r="AV631" s="97"/>
      <c r="AW631" s="97"/>
      <c r="AX631" s="97"/>
      <c r="AY631" s="97"/>
      <c r="AZ631" s="97"/>
      <c r="BA631" s="97"/>
      <c r="BB631" s="97"/>
      <c r="BC631" s="97"/>
      <c r="BD631" s="97"/>
      <c r="BE631" s="97"/>
      <c r="BF631" s="97"/>
      <c r="BG631" s="97"/>
      <c r="BH631" s="97"/>
    </row>
    <row r="632" spans="1:60" x14ac:dyDescent="0.25">
      <c r="A632" s="106"/>
      <c r="B632" s="107"/>
      <c r="C632" s="107"/>
      <c r="D632" s="107"/>
      <c r="E632" s="108"/>
      <c r="F632" s="109" t="str">
        <f>IF(H632&lt;&gt;"",H632-Accueil!N$6+1/60/24,"")</f>
        <v/>
      </c>
      <c r="G632" s="107"/>
      <c r="H632" s="109"/>
      <c r="I632" s="110"/>
      <c r="J632" s="110"/>
      <c r="K632" s="111"/>
      <c r="L632" s="112"/>
      <c r="M632" s="113"/>
      <c r="N632" s="114"/>
      <c r="O632" s="107"/>
      <c r="P632" s="107"/>
      <c r="Q632" s="115"/>
      <c r="R632" s="116"/>
      <c r="S632" s="107"/>
      <c r="T632" s="107"/>
      <c r="U632" s="107" t="str">
        <f t="shared" si="12"/>
        <v/>
      </c>
      <c r="V632" s="107"/>
      <c r="W632" s="107"/>
      <c r="X632" s="107"/>
      <c r="Y632" s="107"/>
      <c r="Z632" s="107"/>
      <c r="AA632" s="107"/>
      <c r="AB632" s="107"/>
      <c r="AC632" s="107"/>
      <c r="AD632" s="107"/>
      <c r="AE632" s="107"/>
      <c r="AF632" s="107"/>
      <c r="AG632" s="107"/>
      <c r="AH632" s="107"/>
      <c r="AI632" s="107"/>
      <c r="AJ632" s="107"/>
      <c r="AK632" s="107"/>
      <c r="AL632" s="107"/>
      <c r="AM632" s="107"/>
      <c r="AN632" s="107"/>
      <c r="AO632" s="107"/>
      <c r="AP632" s="107"/>
      <c r="AQ632" s="107"/>
      <c r="AR632" s="107"/>
      <c r="AS632" s="107"/>
      <c r="AT632" s="107"/>
      <c r="AU632" s="107"/>
      <c r="AV632" s="107"/>
      <c r="AW632" s="107"/>
      <c r="AX632" s="107"/>
      <c r="AY632" s="107"/>
      <c r="AZ632" s="107"/>
      <c r="BA632" s="107"/>
      <c r="BB632" s="107"/>
      <c r="BC632" s="107"/>
      <c r="BD632" s="107"/>
      <c r="BE632" s="107"/>
      <c r="BF632" s="107"/>
      <c r="BG632" s="107"/>
      <c r="BH632" s="107"/>
    </row>
    <row r="633" spans="1:60" x14ac:dyDescent="0.25">
      <c r="A633" s="96"/>
      <c r="B633" s="97"/>
      <c r="C633" s="97"/>
      <c r="D633" s="97"/>
      <c r="E633" s="98"/>
      <c r="F633" s="99" t="str">
        <f>IF(H633&lt;&gt;"",H633-Accueil!N$6+1/60/24,"")</f>
        <v/>
      </c>
      <c r="G633" s="97"/>
      <c r="H633" s="99"/>
      <c r="I633" s="99"/>
      <c r="J633" s="100"/>
      <c r="K633" s="101"/>
      <c r="L633" s="102"/>
      <c r="M633" s="103"/>
      <c r="N633" s="104"/>
      <c r="O633" s="97"/>
      <c r="P633" s="97"/>
      <c r="Q633" s="97"/>
      <c r="R633" s="105"/>
      <c r="S633" s="97"/>
      <c r="T633" s="97"/>
      <c r="U633" s="97" t="str">
        <f t="shared" si="12"/>
        <v/>
      </c>
      <c r="V633" s="97"/>
      <c r="W633" s="97"/>
      <c r="X633" s="97"/>
      <c r="Y633" s="97"/>
      <c r="Z633" s="97"/>
      <c r="AA633" s="97"/>
      <c r="AB633" s="97"/>
      <c r="AC633" s="97"/>
      <c r="AD633" s="97"/>
      <c r="AE633" s="97"/>
      <c r="AF633" s="97"/>
      <c r="AG633" s="97"/>
      <c r="AH633" s="97"/>
      <c r="AI633" s="97"/>
      <c r="AJ633" s="97"/>
      <c r="AK633" s="97"/>
      <c r="AL633" s="97"/>
      <c r="AM633" s="97"/>
      <c r="AN633" s="97"/>
      <c r="AO633" s="97"/>
      <c r="AP633" s="97"/>
      <c r="AQ633" s="97"/>
      <c r="AR633" s="97"/>
      <c r="AS633" s="97"/>
      <c r="AT633" s="97"/>
      <c r="AU633" s="97"/>
      <c r="AV633" s="97"/>
      <c r="AW633" s="97"/>
      <c r="AX633" s="97"/>
      <c r="AY633" s="97"/>
      <c r="AZ633" s="97"/>
      <c r="BA633" s="97"/>
      <c r="BB633" s="97"/>
      <c r="BC633" s="97"/>
      <c r="BD633" s="97"/>
      <c r="BE633" s="97"/>
      <c r="BF633" s="97"/>
      <c r="BG633" s="97"/>
      <c r="BH633" s="97"/>
    </row>
    <row r="634" spans="1:60" x14ac:dyDescent="0.25">
      <c r="A634" s="106"/>
      <c r="B634" s="107"/>
      <c r="C634" s="107"/>
      <c r="D634" s="107"/>
      <c r="E634" s="108"/>
      <c r="F634" s="109" t="str">
        <f>IF(H634&lt;&gt;"",H634-Accueil!N$6+1/60/24,"")</f>
        <v/>
      </c>
      <c r="G634" s="107"/>
      <c r="H634" s="109"/>
      <c r="I634" s="110"/>
      <c r="J634" s="110"/>
      <c r="K634" s="111"/>
      <c r="L634" s="112"/>
      <c r="M634" s="113"/>
      <c r="N634" s="114"/>
      <c r="O634" s="107"/>
      <c r="P634" s="107"/>
      <c r="Q634" s="115"/>
      <c r="R634" s="116"/>
      <c r="S634" s="107"/>
      <c r="T634" s="107"/>
      <c r="U634" s="107" t="str">
        <f t="shared" si="12"/>
        <v/>
      </c>
      <c r="V634" s="107"/>
      <c r="W634" s="107"/>
      <c r="X634" s="107"/>
      <c r="Y634" s="107"/>
      <c r="Z634" s="107"/>
      <c r="AA634" s="107"/>
      <c r="AB634" s="107"/>
      <c r="AC634" s="107"/>
      <c r="AD634" s="107"/>
      <c r="AE634" s="107"/>
      <c r="AF634" s="107"/>
      <c r="AG634" s="107"/>
      <c r="AH634" s="107"/>
      <c r="AI634" s="107"/>
      <c r="AJ634" s="107"/>
      <c r="AK634" s="107"/>
      <c r="AL634" s="107"/>
      <c r="AM634" s="107"/>
      <c r="AN634" s="107"/>
      <c r="AO634" s="107"/>
      <c r="AP634" s="107"/>
      <c r="AQ634" s="107"/>
      <c r="AR634" s="107"/>
      <c r="AS634" s="107"/>
      <c r="AT634" s="107"/>
      <c r="AU634" s="107"/>
      <c r="AV634" s="107"/>
      <c r="AW634" s="107"/>
      <c r="AX634" s="107"/>
      <c r="AY634" s="107"/>
      <c r="AZ634" s="107"/>
      <c r="BA634" s="107"/>
      <c r="BB634" s="107"/>
      <c r="BC634" s="107"/>
      <c r="BD634" s="107"/>
      <c r="BE634" s="107"/>
      <c r="BF634" s="107"/>
      <c r="BG634" s="107"/>
      <c r="BH634" s="107"/>
    </row>
    <row r="635" spans="1:60" x14ac:dyDescent="0.25">
      <c r="A635" s="96"/>
      <c r="B635" s="97"/>
      <c r="C635" s="97"/>
      <c r="D635" s="97"/>
      <c r="E635" s="98"/>
      <c r="F635" s="99" t="str">
        <f>IF(H635&lt;&gt;"",H635-Accueil!N$6+1/60/24,"")</f>
        <v/>
      </c>
      <c r="G635" s="97"/>
      <c r="H635" s="99"/>
      <c r="I635" s="99"/>
      <c r="J635" s="100"/>
      <c r="K635" s="101"/>
      <c r="L635" s="102"/>
      <c r="M635" s="103"/>
      <c r="N635" s="104"/>
      <c r="O635" s="97"/>
      <c r="P635" s="97"/>
      <c r="Q635" s="97"/>
      <c r="R635" s="105"/>
      <c r="S635" s="97"/>
      <c r="T635" s="97"/>
      <c r="U635" s="97" t="str">
        <f t="shared" si="12"/>
        <v/>
      </c>
      <c r="V635" s="97"/>
      <c r="W635" s="97"/>
      <c r="X635" s="97"/>
      <c r="Y635" s="97"/>
      <c r="Z635" s="97"/>
      <c r="AA635" s="97"/>
      <c r="AB635" s="97"/>
      <c r="AC635" s="97"/>
      <c r="AD635" s="97"/>
      <c r="AE635" s="97"/>
      <c r="AF635" s="97"/>
      <c r="AG635" s="97"/>
      <c r="AH635" s="97"/>
      <c r="AI635" s="97"/>
      <c r="AJ635" s="97"/>
      <c r="AK635" s="97"/>
      <c r="AL635" s="97"/>
      <c r="AM635" s="97"/>
      <c r="AN635" s="97"/>
      <c r="AO635" s="97"/>
      <c r="AP635" s="97"/>
      <c r="AQ635" s="97"/>
      <c r="AR635" s="97"/>
      <c r="AS635" s="97"/>
      <c r="AT635" s="97"/>
      <c r="AU635" s="97"/>
      <c r="AV635" s="97"/>
      <c r="AW635" s="97"/>
      <c r="AX635" s="97"/>
      <c r="AY635" s="97"/>
      <c r="AZ635" s="97"/>
      <c r="BA635" s="97"/>
      <c r="BB635" s="97"/>
      <c r="BC635" s="97"/>
      <c r="BD635" s="97"/>
      <c r="BE635" s="97"/>
      <c r="BF635" s="97"/>
      <c r="BG635" s="97"/>
      <c r="BH635" s="97"/>
    </row>
    <row r="636" spans="1:60" x14ac:dyDescent="0.25">
      <c r="A636" s="106"/>
      <c r="B636" s="107"/>
      <c r="C636" s="107"/>
      <c r="D636" s="107"/>
      <c r="E636" s="108"/>
      <c r="F636" s="109" t="str">
        <f>IF(H636&lt;&gt;"",H636-Accueil!N$6+1/60/24,"")</f>
        <v/>
      </c>
      <c r="G636" s="107"/>
      <c r="H636" s="109"/>
      <c r="I636" s="110"/>
      <c r="J636" s="110"/>
      <c r="K636" s="111"/>
      <c r="L636" s="112"/>
      <c r="M636" s="113"/>
      <c r="N636" s="114"/>
      <c r="O636" s="107"/>
      <c r="P636" s="107"/>
      <c r="Q636" s="115"/>
      <c r="R636" s="116"/>
      <c r="S636" s="107"/>
      <c r="T636" s="107"/>
      <c r="U636" s="107" t="str">
        <f t="shared" si="12"/>
        <v/>
      </c>
      <c r="V636" s="107"/>
      <c r="W636" s="107"/>
      <c r="X636" s="107"/>
      <c r="Y636" s="107"/>
      <c r="Z636" s="107"/>
      <c r="AA636" s="107"/>
      <c r="AB636" s="107"/>
      <c r="AC636" s="107"/>
      <c r="AD636" s="107"/>
      <c r="AE636" s="107"/>
      <c r="AF636" s="107"/>
      <c r="AG636" s="107"/>
      <c r="AH636" s="107"/>
      <c r="AI636" s="107"/>
      <c r="AJ636" s="107"/>
      <c r="AK636" s="107"/>
      <c r="AL636" s="107"/>
      <c r="AM636" s="107"/>
      <c r="AN636" s="107"/>
      <c r="AO636" s="107"/>
      <c r="AP636" s="107"/>
      <c r="AQ636" s="107"/>
      <c r="AR636" s="107"/>
      <c r="AS636" s="107"/>
      <c r="AT636" s="107"/>
      <c r="AU636" s="107"/>
      <c r="AV636" s="107"/>
      <c r="AW636" s="107"/>
      <c r="AX636" s="107"/>
      <c r="AY636" s="107"/>
      <c r="AZ636" s="107"/>
      <c r="BA636" s="107"/>
      <c r="BB636" s="107"/>
      <c r="BC636" s="107"/>
      <c r="BD636" s="107"/>
      <c r="BE636" s="107"/>
      <c r="BF636" s="107"/>
      <c r="BG636" s="107"/>
      <c r="BH636" s="107"/>
    </row>
    <row r="637" spans="1:60" x14ac:dyDescent="0.25">
      <c r="A637" s="96"/>
      <c r="B637" s="97"/>
      <c r="C637" s="97"/>
      <c r="D637" s="97"/>
      <c r="E637" s="98"/>
      <c r="F637" s="99" t="str">
        <f>IF(H637&lt;&gt;"",H637-Accueil!N$6+1/60/24,"")</f>
        <v/>
      </c>
      <c r="G637" s="97"/>
      <c r="H637" s="99"/>
      <c r="I637" s="99"/>
      <c r="J637" s="100"/>
      <c r="K637" s="101"/>
      <c r="L637" s="102"/>
      <c r="M637" s="103"/>
      <c r="N637" s="104"/>
      <c r="O637" s="97"/>
      <c r="P637" s="97"/>
      <c r="Q637" s="97"/>
      <c r="R637" s="105"/>
      <c r="S637" s="97"/>
      <c r="T637" s="97"/>
      <c r="U637" s="97" t="str">
        <f t="shared" si="12"/>
        <v/>
      </c>
      <c r="V637" s="97"/>
      <c r="W637" s="97"/>
      <c r="X637" s="97"/>
      <c r="Y637" s="97"/>
      <c r="Z637" s="97"/>
      <c r="AA637" s="97"/>
      <c r="AB637" s="97"/>
      <c r="AC637" s="97"/>
      <c r="AD637" s="97"/>
      <c r="AE637" s="97"/>
      <c r="AF637" s="97"/>
      <c r="AG637" s="97"/>
      <c r="AH637" s="97"/>
      <c r="AI637" s="97"/>
      <c r="AJ637" s="97"/>
      <c r="AK637" s="97"/>
      <c r="AL637" s="97"/>
      <c r="AM637" s="97"/>
      <c r="AN637" s="97"/>
      <c r="AO637" s="97"/>
      <c r="AP637" s="97"/>
      <c r="AQ637" s="97"/>
      <c r="AR637" s="97"/>
      <c r="AS637" s="97"/>
      <c r="AT637" s="97"/>
      <c r="AU637" s="97"/>
      <c r="AV637" s="97"/>
      <c r="AW637" s="97"/>
      <c r="AX637" s="97"/>
      <c r="AY637" s="97"/>
      <c r="AZ637" s="97"/>
      <c r="BA637" s="97"/>
      <c r="BB637" s="97"/>
      <c r="BC637" s="97"/>
      <c r="BD637" s="97"/>
      <c r="BE637" s="97"/>
      <c r="BF637" s="97"/>
      <c r="BG637" s="97"/>
      <c r="BH637" s="97"/>
    </row>
    <row r="638" spans="1:60" x14ac:dyDescent="0.25">
      <c r="A638" s="106"/>
      <c r="B638" s="107"/>
      <c r="C638" s="107"/>
      <c r="D638" s="107"/>
      <c r="E638" s="108"/>
      <c r="F638" s="109" t="str">
        <f>IF(H638&lt;&gt;"",H638-Accueil!N$6+1/60/24,"")</f>
        <v/>
      </c>
      <c r="G638" s="107"/>
      <c r="H638" s="109"/>
      <c r="I638" s="110"/>
      <c r="J638" s="110"/>
      <c r="K638" s="111"/>
      <c r="L638" s="112"/>
      <c r="M638" s="113"/>
      <c r="N638" s="114"/>
      <c r="O638" s="107"/>
      <c r="P638" s="107"/>
      <c r="Q638" s="115"/>
      <c r="R638" s="116"/>
      <c r="S638" s="107"/>
      <c r="T638" s="107"/>
      <c r="U638" s="107" t="str">
        <f t="shared" si="12"/>
        <v/>
      </c>
      <c r="V638" s="107"/>
      <c r="W638" s="107"/>
      <c r="X638" s="107"/>
      <c r="Y638" s="107"/>
      <c r="Z638" s="107"/>
      <c r="AA638" s="107"/>
      <c r="AB638" s="107"/>
      <c r="AC638" s="107"/>
      <c r="AD638" s="107"/>
      <c r="AE638" s="107"/>
      <c r="AF638" s="107"/>
      <c r="AG638" s="107"/>
      <c r="AH638" s="107"/>
      <c r="AI638" s="107"/>
      <c r="AJ638" s="107"/>
      <c r="AK638" s="107"/>
      <c r="AL638" s="107"/>
      <c r="AM638" s="107"/>
      <c r="AN638" s="107"/>
      <c r="AO638" s="107"/>
      <c r="AP638" s="107"/>
      <c r="AQ638" s="107"/>
      <c r="AR638" s="107"/>
      <c r="AS638" s="107"/>
      <c r="AT638" s="107"/>
      <c r="AU638" s="107"/>
      <c r="AV638" s="107"/>
      <c r="AW638" s="107"/>
      <c r="AX638" s="107"/>
      <c r="AY638" s="107"/>
      <c r="AZ638" s="107"/>
      <c r="BA638" s="107"/>
      <c r="BB638" s="107"/>
      <c r="BC638" s="107"/>
      <c r="BD638" s="107"/>
      <c r="BE638" s="107"/>
      <c r="BF638" s="107"/>
      <c r="BG638" s="107"/>
      <c r="BH638" s="107"/>
    </row>
    <row r="639" spans="1:60" x14ac:dyDescent="0.25">
      <c r="A639" s="96"/>
      <c r="B639" s="97"/>
      <c r="C639" s="97"/>
      <c r="D639" s="97"/>
      <c r="E639" s="98"/>
      <c r="F639" s="99" t="str">
        <f>IF(H639&lt;&gt;"",H639-Accueil!N$6+1/60/24,"")</f>
        <v/>
      </c>
      <c r="G639" s="97"/>
      <c r="H639" s="99"/>
      <c r="I639" s="99"/>
      <c r="J639" s="100"/>
      <c r="K639" s="101"/>
      <c r="L639" s="102"/>
      <c r="M639" s="103"/>
      <c r="N639" s="104"/>
      <c r="O639" s="97"/>
      <c r="P639" s="97"/>
      <c r="Q639" s="97"/>
      <c r="R639" s="105"/>
      <c r="S639" s="97"/>
      <c r="T639" s="97"/>
      <c r="U639" s="97" t="str">
        <f t="shared" si="12"/>
        <v/>
      </c>
      <c r="V639" s="97"/>
      <c r="W639" s="97"/>
      <c r="X639" s="97"/>
      <c r="Y639" s="97"/>
      <c r="Z639" s="97"/>
      <c r="AA639" s="97"/>
      <c r="AB639" s="97"/>
      <c r="AC639" s="97"/>
      <c r="AD639" s="97"/>
      <c r="AE639" s="97"/>
      <c r="AF639" s="97"/>
      <c r="AG639" s="97"/>
      <c r="AH639" s="97"/>
      <c r="AI639" s="97"/>
      <c r="AJ639" s="97"/>
      <c r="AK639" s="97"/>
      <c r="AL639" s="97"/>
      <c r="AM639" s="97"/>
      <c r="AN639" s="97"/>
      <c r="AO639" s="97"/>
      <c r="AP639" s="97"/>
      <c r="AQ639" s="97"/>
      <c r="AR639" s="97"/>
      <c r="AS639" s="97"/>
      <c r="AT639" s="97"/>
      <c r="AU639" s="97"/>
      <c r="AV639" s="97"/>
      <c r="AW639" s="97"/>
      <c r="AX639" s="97"/>
      <c r="AY639" s="97"/>
      <c r="AZ639" s="97"/>
      <c r="BA639" s="97"/>
      <c r="BB639" s="97"/>
      <c r="BC639" s="97"/>
      <c r="BD639" s="97"/>
      <c r="BE639" s="97"/>
      <c r="BF639" s="97"/>
      <c r="BG639" s="97"/>
      <c r="BH639" s="97"/>
    </row>
    <row r="640" spans="1:60" x14ac:dyDescent="0.25">
      <c r="A640" s="106"/>
      <c r="B640" s="107"/>
      <c r="C640" s="107"/>
      <c r="D640" s="107"/>
      <c r="E640" s="108"/>
      <c r="F640" s="109" t="str">
        <f>IF(H640&lt;&gt;"",H640-Accueil!N$6+1/60/24,"")</f>
        <v/>
      </c>
      <c r="G640" s="107"/>
      <c r="H640" s="109"/>
      <c r="I640" s="110"/>
      <c r="J640" s="110"/>
      <c r="K640" s="111"/>
      <c r="L640" s="112"/>
      <c r="M640" s="113"/>
      <c r="N640" s="114"/>
      <c r="O640" s="107"/>
      <c r="P640" s="107"/>
      <c r="Q640" s="115"/>
      <c r="R640" s="116"/>
      <c r="S640" s="107"/>
      <c r="T640" s="107"/>
      <c r="U640" s="107" t="str">
        <f t="shared" si="12"/>
        <v/>
      </c>
      <c r="V640" s="107"/>
      <c r="W640" s="107"/>
      <c r="X640" s="107"/>
      <c r="Y640" s="107"/>
      <c r="Z640" s="107"/>
      <c r="AA640" s="107"/>
      <c r="AB640" s="107"/>
      <c r="AC640" s="107"/>
      <c r="AD640" s="107"/>
      <c r="AE640" s="107"/>
      <c r="AF640" s="107"/>
      <c r="AG640" s="107"/>
      <c r="AH640" s="107"/>
      <c r="AI640" s="107"/>
      <c r="AJ640" s="107"/>
      <c r="AK640" s="107"/>
      <c r="AL640" s="107"/>
      <c r="AM640" s="107"/>
      <c r="AN640" s="107"/>
      <c r="AO640" s="107"/>
      <c r="AP640" s="107"/>
      <c r="AQ640" s="107"/>
      <c r="AR640" s="107"/>
      <c r="AS640" s="107"/>
      <c r="AT640" s="107"/>
      <c r="AU640" s="107"/>
      <c r="AV640" s="107"/>
      <c r="AW640" s="107"/>
      <c r="AX640" s="107"/>
      <c r="AY640" s="107"/>
      <c r="AZ640" s="107"/>
      <c r="BA640" s="107"/>
      <c r="BB640" s="107"/>
      <c r="BC640" s="107"/>
      <c r="BD640" s="107"/>
      <c r="BE640" s="107"/>
      <c r="BF640" s="107"/>
      <c r="BG640" s="107"/>
      <c r="BH640" s="107"/>
    </row>
    <row r="641" spans="1:60" x14ac:dyDescent="0.25">
      <c r="A641" s="96"/>
      <c r="B641" s="97"/>
      <c r="C641" s="97"/>
      <c r="D641" s="97"/>
      <c r="E641" s="98"/>
      <c r="F641" s="99" t="str">
        <f>IF(H641&lt;&gt;"",H641-Accueil!N$6+1/60/24,"")</f>
        <v/>
      </c>
      <c r="G641" s="97"/>
      <c r="H641" s="99"/>
      <c r="I641" s="99"/>
      <c r="J641" s="100"/>
      <c r="K641" s="101"/>
      <c r="L641" s="102"/>
      <c r="M641" s="103"/>
      <c r="N641" s="104"/>
      <c r="O641" s="97"/>
      <c r="P641" s="97"/>
      <c r="Q641" s="97"/>
      <c r="R641" s="105"/>
      <c r="S641" s="97"/>
      <c r="T641" s="97"/>
      <c r="U641" s="97" t="str">
        <f t="shared" si="12"/>
        <v/>
      </c>
      <c r="V641" s="97"/>
      <c r="W641" s="97"/>
      <c r="X641" s="97"/>
      <c r="Y641" s="97"/>
      <c r="Z641" s="97"/>
      <c r="AA641" s="97"/>
      <c r="AB641" s="97"/>
      <c r="AC641" s="97"/>
      <c r="AD641" s="97"/>
      <c r="AE641" s="97"/>
      <c r="AF641" s="97"/>
      <c r="AG641" s="97"/>
      <c r="AH641" s="97"/>
      <c r="AI641" s="97"/>
      <c r="AJ641" s="97"/>
      <c r="AK641" s="97"/>
      <c r="AL641" s="97"/>
      <c r="AM641" s="97"/>
      <c r="AN641" s="97"/>
      <c r="AO641" s="97"/>
      <c r="AP641" s="97"/>
      <c r="AQ641" s="97"/>
      <c r="AR641" s="97"/>
      <c r="AS641" s="97"/>
      <c r="AT641" s="97"/>
      <c r="AU641" s="97"/>
      <c r="AV641" s="97"/>
      <c r="AW641" s="97"/>
      <c r="AX641" s="97"/>
      <c r="AY641" s="97"/>
      <c r="AZ641" s="97"/>
      <c r="BA641" s="97"/>
      <c r="BB641" s="97"/>
      <c r="BC641" s="97"/>
      <c r="BD641" s="97"/>
      <c r="BE641" s="97"/>
      <c r="BF641" s="97"/>
      <c r="BG641" s="97"/>
      <c r="BH641" s="97"/>
    </row>
    <row r="642" spans="1:60" x14ac:dyDescent="0.25">
      <c r="A642" s="106"/>
      <c r="B642" s="107"/>
      <c r="C642" s="107"/>
      <c r="D642" s="107"/>
      <c r="E642" s="108"/>
      <c r="F642" s="109" t="str">
        <f>IF(H642&lt;&gt;"",H642-Accueil!N$6+1/60/24,"")</f>
        <v/>
      </c>
      <c r="G642" s="107"/>
      <c r="H642" s="109"/>
      <c r="I642" s="110"/>
      <c r="J642" s="110"/>
      <c r="K642" s="111"/>
      <c r="L642" s="112"/>
      <c r="M642" s="113"/>
      <c r="N642" s="114"/>
      <c r="O642" s="107"/>
      <c r="P642" s="107"/>
      <c r="Q642" s="115"/>
      <c r="R642" s="116"/>
      <c r="S642" s="107"/>
      <c r="T642" s="107"/>
      <c r="U642" s="107" t="str">
        <f t="shared" si="12"/>
        <v/>
      </c>
      <c r="V642" s="107"/>
      <c r="W642" s="107"/>
      <c r="X642" s="107"/>
      <c r="Y642" s="107"/>
      <c r="Z642" s="107"/>
      <c r="AA642" s="107"/>
      <c r="AB642" s="107"/>
      <c r="AC642" s="107"/>
      <c r="AD642" s="107"/>
      <c r="AE642" s="107"/>
      <c r="AF642" s="107"/>
      <c r="AG642" s="107"/>
      <c r="AH642" s="107"/>
      <c r="AI642" s="107"/>
      <c r="AJ642" s="107"/>
      <c r="AK642" s="107"/>
      <c r="AL642" s="107"/>
      <c r="AM642" s="107"/>
      <c r="AN642" s="107"/>
      <c r="AO642" s="107"/>
      <c r="AP642" s="107"/>
      <c r="AQ642" s="107"/>
      <c r="AR642" s="107"/>
      <c r="AS642" s="107"/>
      <c r="AT642" s="107"/>
      <c r="AU642" s="107"/>
      <c r="AV642" s="107"/>
      <c r="AW642" s="107"/>
      <c r="AX642" s="107"/>
      <c r="AY642" s="107"/>
      <c r="AZ642" s="107"/>
      <c r="BA642" s="107"/>
      <c r="BB642" s="107"/>
      <c r="BC642" s="107"/>
      <c r="BD642" s="107"/>
      <c r="BE642" s="107"/>
      <c r="BF642" s="107"/>
      <c r="BG642" s="107"/>
      <c r="BH642" s="107"/>
    </row>
    <row r="643" spans="1:60" x14ac:dyDescent="0.25">
      <c r="A643" s="96"/>
      <c r="B643" s="97"/>
      <c r="C643" s="97"/>
      <c r="D643" s="97"/>
      <c r="E643" s="98"/>
      <c r="F643" s="99" t="str">
        <f>IF(H643&lt;&gt;"",H643-Accueil!N$6+1/60/24,"")</f>
        <v/>
      </c>
      <c r="G643" s="97"/>
      <c r="H643" s="99"/>
      <c r="I643" s="99"/>
      <c r="J643" s="100"/>
      <c r="K643" s="101"/>
      <c r="L643" s="102"/>
      <c r="M643" s="103"/>
      <c r="N643" s="104"/>
      <c r="O643" s="97"/>
      <c r="P643" s="97"/>
      <c r="Q643" s="97"/>
      <c r="R643" s="105"/>
      <c r="S643" s="97"/>
      <c r="T643" s="97"/>
      <c r="U643" s="97" t="str">
        <f t="shared" ref="U643:U706" si="13">IF(B643="","",IF(I643="",0,1))</f>
        <v/>
      </c>
      <c r="V643" s="97"/>
      <c r="W643" s="97"/>
      <c r="X643" s="97"/>
      <c r="Y643" s="97"/>
      <c r="Z643" s="97"/>
      <c r="AA643" s="97"/>
      <c r="AB643" s="97"/>
      <c r="AC643" s="97"/>
      <c r="AD643" s="97"/>
      <c r="AE643" s="97"/>
      <c r="AF643" s="97"/>
      <c r="AG643" s="97"/>
      <c r="AH643" s="97"/>
      <c r="AI643" s="97"/>
      <c r="AJ643" s="97"/>
      <c r="AK643" s="97"/>
      <c r="AL643" s="97"/>
      <c r="AM643" s="97"/>
      <c r="AN643" s="97"/>
      <c r="AO643" s="97"/>
      <c r="AP643" s="97"/>
      <c r="AQ643" s="97"/>
      <c r="AR643" s="97"/>
      <c r="AS643" s="97"/>
      <c r="AT643" s="97"/>
      <c r="AU643" s="97"/>
      <c r="AV643" s="97"/>
      <c r="AW643" s="97"/>
      <c r="AX643" s="97"/>
      <c r="AY643" s="97"/>
      <c r="AZ643" s="97"/>
      <c r="BA643" s="97"/>
      <c r="BB643" s="97"/>
      <c r="BC643" s="97"/>
      <c r="BD643" s="97"/>
      <c r="BE643" s="97"/>
      <c r="BF643" s="97"/>
      <c r="BG643" s="97"/>
      <c r="BH643" s="97"/>
    </row>
    <row r="644" spans="1:60" x14ac:dyDescent="0.25">
      <c r="A644" s="106"/>
      <c r="B644" s="107"/>
      <c r="C644" s="107"/>
      <c r="D644" s="107"/>
      <c r="E644" s="108"/>
      <c r="F644" s="109" t="str">
        <f>IF(H644&lt;&gt;"",H644-Accueil!N$6+1/60/24,"")</f>
        <v/>
      </c>
      <c r="G644" s="107"/>
      <c r="H644" s="109"/>
      <c r="I644" s="110"/>
      <c r="J644" s="110"/>
      <c r="K644" s="111"/>
      <c r="L644" s="112"/>
      <c r="M644" s="113"/>
      <c r="N644" s="114"/>
      <c r="O644" s="107"/>
      <c r="P644" s="107"/>
      <c r="Q644" s="115"/>
      <c r="R644" s="116"/>
      <c r="S644" s="107"/>
      <c r="T644" s="107"/>
      <c r="U644" s="107" t="str">
        <f t="shared" si="13"/>
        <v/>
      </c>
      <c r="V644" s="107"/>
      <c r="W644" s="107"/>
      <c r="X644" s="107"/>
      <c r="Y644" s="107"/>
      <c r="Z644" s="107"/>
      <c r="AA644" s="107"/>
      <c r="AB644" s="107"/>
      <c r="AC644" s="107"/>
      <c r="AD644" s="107"/>
      <c r="AE644" s="107"/>
      <c r="AF644" s="107"/>
      <c r="AG644" s="107"/>
      <c r="AH644" s="107"/>
      <c r="AI644" s="107"/>
      <c r="AJ644" s="107"/>
      <c r="AK644" s="107"/>
      <c r="AL644" s="107"/>
      <c r="AM644" s="107"/>
      <c r="AN644" s="107"/>
      <c r="AO644" s="107"/>
      <c r="AP644" s="107"/>
      <c r="AQ644" s="107"/>
      <c r="AR644" s="107"/>
      <c r="AS644" s="107"/>
      <c r="AT644" s="107"/>
      <c r="AU644" s="107"/>
      <c r="AV644" s="107"/>
      <c r="AW644" s="107"/>
      <c r="AX644" s="107"/>
      <c r="AY644" s="107"/>
      <c r="AZ644" s="107"/>
      <c r="BA644" s="107"/>
      <c r="BB644" s="107"/>
      <c r="BC644" s="107"/>
      <c r="BD644" s="107"/>
      <c r="BE644" s="107"/>
      <c r="BF644" s="107"/>
      <c r="BG644" s="107"/>
      <c r="BH644" s="107"/>
    </row>
    <row r="645" spans="1:60" x14ac:dyDescent="0.25">
      <c r="A645" s="96"/>
      <c r="B645" s="97"/>
      <c r="C645" s="97"/>
      <c r="D645" s="97"/>
      <c r="E645" s="98"/>
      <c r="F645" s="99" t="str">
        <f>IF(H645&lt;&gt;"",H645-Accueil!N$6+1/60/24,"")</f>
        <v/>
      </c>
      <c r="G645" s="97"/>
      <c r="H645" s="99"/>
      <c r="I645" s="99"/>
      <c r="J645" s="100"/>
      <c r="K645" s="101"/>
      <c r="L645" s="102"/>
      <c r="M645" s="103"/>
      <c r="N645" s="104"/>
      <c r="O645" s="97"/>
      <c r="P645" s="97"/>
      <c r="Q645" s="97"/>
      <c r="R645" s="105"/>
      <c r="S645" s="97"/>
      <c r="T645" s="97"/>
      <c r="U645" s="97" t="str">
        <f t="shared" si="13"/>
        <v/>
      </c>
      <c r="V645" s="97"/>
      <c r="W645" s="97"/>
      <c r="X645" s="97"/>
      <c r="Y645" s="97"/>
      <c r="Z645" s="97"/>
      <c r="AA645" s="97"/>
      <c r="AB645" s="97"/>
      <c r="AC645" s="97"/>
      <c r="AD645" s="97"/>
      <c r="AE645" s="97"/>
      <c r="AF645" s="97"/>
      <c r="AG645" s="97"/>
      <c r="AH645" s="97"/>
      <c r="AI645" s="97"/>
      <c r="AJ645" s="97"/>
      <c r="AK645" s="97"/>
      <c r="AL645" s="97"/>
      <c r="AM645" s="97"/>
      <c r="AN645" s="97"/>
      <c r="AO645" s="97"/>
      <c r="AP645" s="97"/>
      <c r="AQ645" s="97"/>
      <c r="AR645" s="97"/>
      <c r="AS645" s="97"/>
      <c r="AT645" s="97"/>
      <c r="AU645" s="97"/>
      <c r="AV645" s="97"/>
      <c r="AW645" s="97"/>
      <c r="AX645" s="97"/>
      <c r="AY645" s="97"/>
      <c r="AZ645" s="97"/>
      <c r="BA645" s="97"/>
      <c r="BB645" s="97"/>
      <c r="BC645" s="97"/>
      <c r="BD645" s="97"/>
      <c r="BE645" s="97"/>
      <c r="BF645" s="97"/>
      <c r="BG645" s="97"/>
      <c r="BH645" s="97"/>
    </row>
    <row r="646" spans="1:60" x14ac:dyDescent="0.25">
      <c r="A646" s="106"/>
      <c r="B646" s="107"/>
      <c r="C646" s="107"/>
      <c r="D646" s="107"/>
      <c r="E646" s="108"/>
      <c r="F646" s="109" t="str">
        <f>IF(H646&lt;&gt;"",H646-Accueil!N$6+1/60/24,"")</f>
        <v/>
      </c>
      <c r="G646" s="107"/>
      <c r="H646" s="109"/>
      <c r="I646" s="110"/>
      <c r="J646" s="110"/>
      <c r="K646" s="111"/>
      <c r="L646" s="112"/>
      <c r="M646" s="113"/>
      <c r="N646" s="114"/>
      <c r="O646" s="107"/>
      <c r="P646" s="107"/>
      <c r="Q646" s="115"/>
      <c r="R646" s="116"/>
      <c r="S646" s="107"/>
      <c r="T646" s="107"/>
      <c r="U646" s="107" t="str">
        <f t="shared" si="13"/>
        <v/>
      </c>
      <c r="V646" s="107"/>
      <c r="W646" s="107"/>
      <c r="X646" s="107"/>
      <c r="Y646" s="107"/>
      <c r="Z646" s="107"/>
      <c r="AA646" s="107"/>
      <c r="AB646" s="107"/>
      <c r="AC646" s="107"/>
      <c r="AD646" s="107"/>
      <c r="AE646" s="107"/>
      <c r="AF646" s="107"/>
      <c r="AG646" s="107"/>
      <c r="AH646" s="107"/>
      <c r="AI646" s="107"/>
      <c r="AJ646" s="107"/>
      <c r="AK646" s="107"/>
      <c r="AL646" s="107"/>
      <c r="AM646" s="107"/>
      <c r="AN646" s="107"/>
      <c r="AO646" s="107"/>
      <c r="AP646" s="107"/>
      <c r="AQ646" s="107"/>
      <c r="AR646" s="107"/>
      <c r="AS646" s="107"/>
      <c r="AT646" s="107"/>
      <c r="AU646" s="107"/>
      <c r="AV646" s="107"/>
      <c r="AW646" s="107"/>
      <c r="AX646" s="107"/>
      <c r="AY646" s="107"/>
      <c r="AZ646" s="107"/>
      <c r="BA646" s="107"/>
      <c r="BB646" s="107"/>
      <c r="BC646" s="107"/>
      <c r="BD646" s="107"/>
      <c r="BE646" s="107"/>
      <c r="BF646" s="107"/>
      <c r="BG646" s="107"/>
      <c r="BH646" s="107"/>
    </row>
    <row r="647" spans="1:60" x14ac:dyDescent="0.25">
      <c r="A647" s="96"/>
      <c r="B647" s="97"/>
      <c r="C647" s="97"/>
      <c r="D647" s="97"/>
      <c r="E647" s="98"/>
      <c r="F647" s="99" t="str">
        <f>IF(H647&lt;&gt;"",H647-Accueil!N$6+1/60/24,"")</f>
        <v/>
      </c>
      <c r="G647" s="97"/>
      <c r="H647" s="99"/>
      <c r="I647" s="99"/>
      <c r="J647" s="100"/>
      <c r="K647" s="101"/>
      <c r="L647" s="102"/>
      <c r="M647" s="103"/>
      <c r="N647" s="104"/>
      <c r="O647" s="97"/>
      <c r="P647" s="97"/>
      <c r="Q647" s="97"/>
      <c r="R647" s="105"/>
      <c r="S647" s="97"/>
      <c r="T647" s="97"/>
      <c r="U647" s="97" t="str">
        <f t="shared" si="13"/>
        <v/>
      </c>
      <c r="V647" s="97"/>
      <c r="W647" s="97"/>
      <c r="X647" s="97"/>
      <c r="Y647" s="97"/>
      <c r="Z647" s="97"/>
      <c r="AA647" s="97"/>
      <c r="AB647" s="97"/>
      <c r="AC647" s="97"/>
      <c r="AD647" s="97"/>
      <c r="AE647" s="97"/>
      <c r="AF647" s="97"/>
      <c r="AG647" s="97"/>
      <c r="AH647" s="97"/>
      <c r="AI647" s="97"/>
      <c r="AJ647" s="97"/>
      <c r="AK647" s="97"/>
      <c r="AL647" s="97"/>
      <c r="AM647" s="97"/>
      <c r="AN647" s="97"/>
      <c r="AO647" s="97"/>
      <c r="AP647" s="97"/>
      <c r="AQ647" s="97"/>
      <c r="AR647" s="97"/>
      <c r="AS647" s="97"/>
      <c r="AT647" s="97"/>
      <c r="AU647" s="97"/>
      <c r="AV647" s="97"/>
      <c r="AW647" s="97"/>
      <c r="AX647" s="97"/>
      <c r="AY647" s="97"/>
      <c r="AZ647" s="97"/>
      <c r="BA647" s="97"/>
      <c r="BB647" s="97"/>
      <c r="BC647" s="97"/>
      <c r="BD647" s="97"/>
      <c r="BE647" s="97"/>
      <c r="BF647" s="97"/>
      <c r="BG647" s="97"/>
      <c r="BH647" s="97"/>
    </row>
    <row r="648" spans="1:60" x14ac:dyDescent="0.25">
      <c r="A648" s="106"/>
      <c r="B648" s="107"/>
      <c r="C648" s="107"/>
      <c r="D648" s="107"/>
      <c r="E648" s="108"/>
      <c r="F648" s="109" t="str">
        <f>IF(H648&lt;&gt;"",H648-Accueil!N$6+1/60/24,"")</f>
        <v/>
      </c>
      <c r="G648" s="107"/>
      <c r="H648" s="109"/>
      <c r="I648" s="110"/>
      <c r="J648" s="110"/>
      <c r="K648" s="111"/>
      <c r="L648" s="112"/>
      <c r="M648" s="113"/>
      <c r="N648" s="114"/>
      <c r="O648" s="107"/>
      <c r="P648" s="107"/>
      <c r="Q648" s="115"/>
      <c r="R648" s="116"/>
      <c r="S648" s="107"/>
      <c r="T648" s="107"/>
      <c r="U648" s="107" t="str">
        <f t="shared" si="13"/>
        <v/>
      </c>
      <c r="V648" s="107"/>
      <c r="W648" s="107"/>
      <c r="X648" s="107"/>
      <c r="Y648" s="107"/>
      <c r="Z648" s="107"/>
      <c r="AA648" s="107"/>
      <c r="AB648" s="107"/>
      <c r="AC648" s="107"/>
      <c r="AD648" s="107"/>
      <c r="AE648" s="107"/>
      <c r="AF648" s="107"/>
      <c r="AG648" s="107"/>
      <c r="AH648" s="107"/>
      <c r="AI648" s="107"/>
      <c r="AJ648" s="107"/>
      <c r="AK648" s="107"/>
      <c r="AL648" s="107"/>
      <c r="AM648" s="107"/>
      <c r="AN648" s="107"/>
      <c r="AO648" s="107"/>
      <c r="AP648" s="107"/>
      <c r="AQ648" s="107"/>
      <c r="AR648" s="107"/>
      <c r="AS648" s="107"/>
      <c r="AT648" s="107"/>
      <c r="AU648" s="107"/>
      <c r="AV648" s="107"/>
      <c r="AW648" s="107"/>
      <c r="AX648" s="107"/>
      <c r="AY648" s="107"/>
      <c r="AZ648" s="107"/>
      <c r="BA648" s="107"/>
      <c r="BB648" s="107"/>
      <c r="BC648" s="107"/>
      <c r="BD648" s="107"/>
      <c r="BE648" s="107"/>
      <c r="BF648" s="107"/>
      <c r="BG648" s="107"/>
      <c r="BH648" s="107"/>
    </row>
    <row r="649" spans="1:60" x14ac:dyDescent="0.25">
      <c r="A649" s="96"/>
      <c r="B649" s="97"/>
      <c r="C649" s="97"/>
      <c r="D649" s="97"/>
      <c r="E649" s="98"/>
      <c r="F649" s="99" t="str">
        <f>IF(H649&lt;&gt;"",H649-Accueil!N$6+1/60/24,"")</f>
        <v/>
      </c>
      <c r="G649" s="97"/>
      <c r="H649" s="99"/>
      <c r="I649" s="99"/>
      <c r="J649" s="100"/>
      <c r="K649" s="101"/>
      <c r="L649" s="102"/>
      <c r="M649" s="103"/>
      <c r="N649" s="104"/>
      <c r="O649" s="97"/>
      <c r="P649" s="97"/>
      <c r="Q649" s="97"/>
      <c r="R649" s="105"/>
      <c r="S649" s="97"/>
      <c r="T649" s="97"/>
      <c r="U649" s="97" t="str">
        <f t="shared" si="13"/>
        <v/>
      </c>
      <c r="V649" s="97"/>
      <c r="W649" s="97"/>
      <c r="X649" s="97"/>
      <c r="Y649" s="97"/>
      <c r="Z649" s="97"/>
      <c r="AA649" s="97"/>
      <c r="AB649" s="97"/>
      <c r="AC649" s="97"/>
      <c r="AD649" s="97"/>
      <c r="AE649" s="97"/>
      <c r="AF649" s="97"/>
      <c r="AG649" s="97"/>
      <c r="AH649" s="97"/>
      <c r="AI649" s="97"/>
      <c r="AJ649" s="97"/>
      <c r="AK649" s="97"/>
      <c r="AL649" s="97"/>
      <c r="AM649" s="97"/>
      <c r="AN649" s="97"/>
      <c r="AO649" s="97"/>
      <c r="AP649" s="97"/>
      <c r="AQ649" s="97"/>
      <c r="AR649" s="97"/>
      <c r="AS649" s="97"/>
      <c r="AT649" s="97"/>
      <c r="AU649" s="97"/>
      <c r="AV649" s="97"/>
      <c r="AW649" s="97"/>
      <c r="AX649" s="97"/>
      <c r="AY649" s="97"/>
      <c r="AZ649" s="97"/>
      <c r="BA649" s="97"/>
      <c r="BB649" s="97"/>
      <c r="BC649" s="97"/>
      <c r="BD649" s="97"/>
      <c r="BE649" s="97"/>
      <c r="BF649" s="97"/>
      <c r="BG649" s="97"/>
      <c r="BH649" s="97"/>
    </row>
    <row r="650" spans="1:60" x14ac:dyDescent="0.25">
      <c r="A650" s="106"/>
      <c r="B650" s="107"/>
      <c r="C650" s="107"/>
      <c r="D650" s="107"/>
      <c r="E650" s="108"/>
      <c r="F650" s="109" t="str">
        <f>IF(H650&lt;&gt;"",H650-Accueil!N$6+1/60/24,"")</f>
        <v/>
      </c>
      <c r="G650" s="107"/>
      <c r="H650" s="109"/>
      <c r="I650" s="110"/>
      <c r="J650" s="110"/>
      <c r="K650" s="111"/>
      <c r="L650" s="112"/>
      <c r="M650" s="113"/>
      <c r="N650" s="114"/>
      <c r="O650" s="107"/>
      <c r="P650" s="107"/>
      <c r="Q650" s="115"/>
      <c r="R650" s="116"/>
      <c r="S650" s="107"/>
      <c r="T650" s="107"/>
      <c r="U650" s="107" t="str">
        <f t="shared" si="13"/>
        <v/>
      </c>
      <c r="V650" s="107"/>
      <c r="W650" s="107"/>
      <c r="X650" s="107"/>
      <c r="Y650" s="107"/>
      <c r="Z650" s="107"/>
      <c r="AA650" s="107"/>
      <c r="AB650" s="107"/>
      <c r="AC650" s="107"/>
      <c r="AD650" s="107"/>
      <c r="AE650" s="107"/>
      <c r="AF650" s="107"/>
      <c r="AG650" s="107"/>
      <c r="AH650" s="107"/>
      <c r="AI650" s="107"/>
      <c r="AJ650" s="107"/>
      <c r="AK650" s="107"/>
      <c r="AL650" s="107"/>
      <c r="AM650" s="107"/>
      <c r="AN650" s="107"/>
      <c r="AO650" s="107"/>
      <c r="AP650" s="107"/>
      <c r="AQ650" s="107"/>
      <c r="AR650" s="107"/>
      <c r="AS650" s="107"/>
      <c r="AT650" s="107"/>
      <c r="AU650" s="107"/>
      <c r="AV650" s="107"/>
      <c r="AW650" s="107"/>
      <c r="AX650" s="107"/>
      <c r="AY650" s="107"/>
      <c r="AZ650" s="107"/>
      <c r="BA650" s="107"/>
      <c r="BB650" s="107"/>
      <c r="BC650" s="107"/>
      <c r="BD650" s="107"/>
      <c r="BE650" s="107"/>
      <c r="BF650" s="107"/>
      <c r="BG650" s="107"/>
      <c r="BH650" s="107"/>
    </row>
    <row r="651" spans="1:60" x14ac:dyDescent="0.25">
      <c r="A651" s="96"/>
      <c r="B651" s="97"/>
      <c r="C651" s="97"/>
      <c r="D651" s="97"/>
      <c r="E651" s="98"/>
      <c r="F651" s="99" t="str">
        <f>IF(H651&lt;&gt;"",H651-Accueil!N$6+1/60/24,"")</f>
        <v/>
      </c>
      <c r="G651" s="97"/>
      <c r="H651" s="99"/>
      <c r="I651" s="99"/>
      <c r="J651" s="100"/>
      <c r="K651" s="101"/>
      <c r="L651" s="102"/>
      <c r="M651" s="103"/>
      <c r="N651" s="104"/>
      <c r="O651" s="97"/>
      <c r="P651" s="97"/>
      <c r="Q651" s="97"/>
      <c r="R651" s="105"/>
      <c r="S651" s="97"/>
      <c r="T651" s="97"/>
      <c r="U651" s="97" t="str">
        <f t="shared" si="13"/>
        <v/>
      </c>
      <c r="V651" s="97"/>
      <c r="W651" s="97"/>
      <c r="X651" s="97"/>
      <c r="Y651" s="97"/>
      <c r="Z651" s="97"/>
      <c r="AA651" s="97"/>
      <c r="AB651" s="97"/>
      <c r="AC651" s="97"/>
      <c r="AD651" s="97"/>
      <c r="AE651" s="97"/>
      <c r="AF651" s="97"/>
      <c r="AG651" s="97"/>
      <c r="AH651" s="97"/>
      <c r="AI651" s="97"/>
      <c r="AJ651" s="97"/>
      <c r="AK651" s="97"/>
      <c r="AL651" s="97"/>
      <c r="AM651" s="97"/>
      <c r="AN651" s="97"/>
      <c r="AO651" s="97"/>
      <c r="AP651" s="97"/>
      <c r="AQ651" s="97"/>
      <c r="AR651" s="97"/>
      <c r="AS651" s="97"/>
      <c r="AT651" s="97"/>
      <c r="AU651" s="97"/>
      <c r="AV651" s="97"/>
      <c r="AW651" s="97"/>
      <c r="AX651" s="97"/>
      <c r="AY651" s="97"/>
      <c r="AZ651" s="97"/>
      <c r="BA651" s="97"/>
      <c r="BB651" s="97"/>
      <c r="BC651" s="97"/>
      <c r="BD651" s="97"/>
      <c r="BE651" s="97"/>
      <c r="BF651" s="97"/>
      <c r="BG651" s="97"/>
      <c r="BH651" s="97"/>
    </row>
    <row r="652" spans="1:60" x14ac:dyDescent="0.25">
      <c r="A652" s="106"/>
      <c r="B652" s="107"/>
      <c r="C652" s="107"/>
      <c r="D652" s="107"/>
      <c r="E652" s="108"/>
      <c r="F652" s="109" t="str">
        <f>IF(H652&lt;&gt;"",H652-Accueil!N$6+1/60/24,"")</f>
        <v/>
      </c>
      <c r="G652" s="107"/>
      <c r="H652" s="109"/>
      <c r="I652" s="110"/>
      <c r="J652" s="110"/>
      <c r="K652" s="111"/>
      <c r="L652" s="112"/>
      <c r="M652" s="113"/>
      <c r="N652" s="114"/>
      <c r="O652" s="107"/>
      <c r="P652" s="107"/>
      <c r="Q652" s="115"/>
      <c r="R652" s="116"/>
      <c r="S652" s="107"/>
      <c r="T652" s="107"/>
      <c r="U652" s="107" t="str">
        <f t="shared" si="13"/>
        <v/>
      </c>
      <c r="V652" s="107"/>
      <c r="W652" s="107"/>
      <c r="X652" s="107"/>
      <c r="Y652" s="107"/>
      <c r="Z652" s="107"/>
      <c r="AA652" s="107"/>
      <c r="AB652" s="107"/>
      <c r="AC652" s="107"/>
      <c r="AD652" s="107"/>
      <c r="AE652" s="107"/>
      <c r="AF652" s="107"/>
      <c r="AG652" s="107"/>
      <c r="AH652" s="107"/>
      <c r="AI652" s="107"/>
      <c r="AJ652" s="107"/>
      <c r="AK652" s="107"/>
      <c r="AL652" s="107"/>
      <c r="AM652" s="107"/>
      <c r="AN652" s="107"/>
      <c r="AO652" s="107"/>
      <c r="AP652" s="107"/>
      <c r="AQ652" s="107"/>
      <c r="AR652" s="107"/>
      <c r="AS652" s="107"/>
      <c r="AT652" s="107"/>
      <c r="AU652" s="107"/>
      <c r="AV652" s="107"/>
      <c r="AW652" s="107"/>
      <c r="AX652" s="107"/>
      <c r="AY652" s="107"/>
      <c r="AZ652" s="107"/>
      <c r="BA652" s="107"/>
      <c r="BB652" s="107"/>
      <c r="BC652" s="107"/>
      <c r="BD652" s="107"/>
      <c r="BE652" s="107"/>
      <c r="BF652" s="107"/>
      <c r="BG652" s="107"/>
      <c r="BH652" s="107"/>
    </row>
    <row r="653" spans="1:60" x14ac:dyDescent="0.25">
      <c r="A653" s="96"/>
      <c r="B653" s="97"/>
      <c r="C653" s="97"/>
      <c r="D653" s="97"/>
      <c r="E653" s="98"/>
      <c r="F653" s="99" t="str">
        <f>IF(H653&lt;&gt;"",H653-Accueil!N$6+1/60/24,"")</f>
        <v/>
      </c>
      <c r="G653" s="97"/>
      <c r="H653" s="99"/>
      <c r="I653" s="99"/>
      <c r="J653" s="100"/>
      <c r="K653" s="101"/>
      <c r="L653" s="102"/>
      <c r="M653" s="103"/>
      <c r="N653" s="104"/>
      <c r="O653" s="97"/>
      <c r="P653" s="97"/>
      <c r="Q653" s="97"/>
      <c r="R653" s="105"/>
      <c r="S653" s="97"/>
      <c r="T653" s="97"/>
      <c r="U653" s="97" t="str">
        <f t="shared" si="13"/>
        <v/>
      </c>
      <c r="V653" s="97"/>
      <c r="W653" s="97"/>
      <c r="X653" s="97"/>
      <c r="Y653" s="97"/>
      <c r="Z653" s="97"/>
      <c r="AA653" s="97"/>
      <c r="AB653" s="97"/>
      <c r="AC653" s="97"/>
      <c r="AD653" s="97"/>
      <c r="AE653" s="97"/>
      <c r="AF653" s="97"/>
      <c r="AG653" s="97"/>
      <c r="AH653" s="97"/>
      <c r="AI653" s="97"/>
      <c r="AJ653" s="97"/>
      <c r="AK653" s="97"/>
      <c r="AL653" s="97"/>
      <c r="AM653" s="97"/>
      <c r="AN653" s="97"/>
      <c r="AO653" s="97"/>
      <c r="AP653" s="97"/>
      <c r="AQ653" s="97"/>
      <c r="AR653" s="97"/>
      <c r="AS653" s="97"/>
      <c r="AT653" s="97"/>
      <c r="AU653" s="97"/>
      <c r="AV653" s="97"/>
      <c r="AW653" s="97"/>
      <c r="AX653" s="97"/>
      <c r="AY653" s="97"/>
      <c r="AZ653" s="97"/>
      <c r="BA653" s="97"/>
      <c r="BB653" s="97"/>
      <c r="BC653" s="97"/>
      <c r="BD653" s="97"/>
      <c r="BE653" s="97"/>
      <c r="BF653" s="97"/>
      <c r="BG653" s="97"/>
      <c r="BH653" s="97"/>
    </row>
    <row r="654" spans="1:60" x14ac:dyDescent="0.25">
      <c r="A654" s="106"/>
      <c r="B654" s="107"/>
      <c r="C654" s="107"/>
      <c r="D654" s="107"/>
      <c r="E654" s="108"/>
      <c r="F654" s="109" t="str">
        <f>IF(H654&lt;&gt;"",H654-Accueil!N$6+1/60/24,"")</f>
        <v/>
      </c>
      <c r="G654" s="107"/>
      <c r="H654" s="109"/>
      <c r="I654" s="110"/>
      <c r="J654" s="110"/>
      <c r="K654" s="111"/>
      <c r="L654" s="112"/>
      <c r="M654" s="113"/>
      <c r="N654" s="114"/>
      <c r="O654" s="107"/>
      <c r="P654" s="107"/>
      <c r="Q654" s="115"/>
      <c r="R654" s="116"/>
      <c r="S654" s="107"/>
      <c r="T654" s="107"/>
      <c r="U654" s="107" t="str">
        <f t="shared" si="13"/>
        <v/>
      </c>
      <c r="V654" s="107"/>
      <c r="W654" s="107"/>
      <c r="X654" s="107"/>
      <c r="Y654" s="107"/>
      <c r="Z654" s="107"/>
      <c r="AA654" s="107"/>
      <c r="AB654" s="107"/>
      <c r="AC654" s="107"/>
      <c r="AD654" s="107"/>
      <c r="AE654" s="107"/>
      <c r="AF654" s="107"/>
      <c r="AG654" s="107"/>
      <c r="AH654" s="107"/>
      <c r="AI654" s="107"/>
      <c r="AJ654" s="107"/>
      <c r="AK654" s="107"/>
      <c r="AL654" s="107"/>
      <c r="AM654" s="107"/>
      <c r="AN654" s="107"/>
      <c r="AO654" s="107"/>
      <c r="AP654" s="107"/>
      <c r="AQ654" s="107"/>
      <c r="AR654" s="107"/>
      <c r="AS654" s="107"/>
      <c r="AT654" s="107"/>
      <c r="AU654" s="107"/>
      <c r="AV654" s="107"/>
      <c r="AW654" s="107"/>
      <c r="AX654" s="107"/>
      <c r="AY654" s="107"/>
      <c r="AZ654" s="107"/>
      <c r="BA654" s="107"/>
      <c r="BB654" s="107"/>
      <c r="BC654" s="107"/>
      <c r="BD654" s="107"/>
      <c r="BE654" s="107"/>
      <c r="BF654" s="107"/>
      <c r="BG654" s="107"/>
      <c r="BH654" s="107"/>
    </row>
    <row r="655" spans="1:60" x14ac:dyDescent="0.25">
      <c r="A655" s="96"/>
      <c r="B655" s="97"/>
      <c r="C655" s="97"/>
      <c r="D655" s="97"/>
      <c r="E655" s="98"/>
      <c r="F655" s="99" t="str">
        <f>IF(H655&lt;&gt;"",H655-Accueil!N$6+1/60/24,"")</f>
        <v/>
      </c>
      <c r="G655" s="97"/>
      <c r="H655" s="99"/>
      <c r="I655" s="99"/>
      <c r="J655" s="100"/>
      <c r="K655" s="101"/>
      <c r="L655" s="102"/>
      <c r="M655" s="103"/>
      <c r="N655" s="104"/>
      <c r="O655" s="97"/>
      <c r="P655" s="97"/>
      <c r="Q655" s="97"/>
      <c r="R655" s="105"/>
      <c r="S655" s="97"/>
      <c r="T655" s="97"/>
      <c r="U655" s="97" t="str">
        <f t="shared" si="13"/>
        <v/>
      </c>
      <c r="V655" s="97"/>
      <c r="W655" s="97"/>
      <c r="X655" s="97"/>
      <c r="Y655" s="97"/>
      <c r="Z655" s="97"/>
      <c r="AA655" s="97"/>
      <c r="AB655" s="97"/>
      <c r="AC655" s="97"/>
      <c r="AD655" s="97"/>
      <c r="AE655" s="97"/>
      <c r="AF655" s="97"/>
      <c r="AG655" s="97"/>
      <c r="AH655" s="97"/>
      <c r="AI655" s="97"/>
      <c r="AJ655" s="97"/>
      <c r="AK655" s="97"/>
      <c r="AL655" s="97"/>
      <c r="AM655" s="97"/>
      <c r="AN655" s="97"/>
      <c r="AO655" s="97"/>
      <c r="AP655" s="97"/>
      <c r="AQ655" s="97"/>
      <c r="AR655" s="97"/>
      <c r="AS655" s="97"/>
      <c r="AT655" s="97"/>
      <c r="AU655" s="97"/>
      <c r="AV655" s="97"/>
      <c r="AW655" s="97"/>
      <c r="AX655" s="97"/>
      <c r="AY655" s="97"/>
      <c r="AZ655" s="97"/>
      <c r="BA655" s="97"/>
      <c r="BB655" s="97"/>
      <c r="BC655" s="97"/>
      <c r="BD655" s="97"/>
      <c r="BE655" s="97"/>
      <c r="BF655" s="97"/>
      <c r="BG655" s="97"/>
      <c r="BH655" s="97"/>
    </row>
    <row r="656" spans="1:60" x14ac:dyDescent="0.25">
      <c r="A656" s="106"/>
      <c r="B656" s="107"/>
      <c r="C656" s="107"/>
      <c r="D656" s="107"/>
      <c r="E656" s="108"/>
      <c r="F656" s="109" t="str">
        <f>IF(H656&lt;&gt;"",H656-Accueil!N$6+1/60/24,"")</f>
        <v/>
      </c>
      <c r="G656" s="107"/>
      <c r="H656" s="109"/>
      <c r="I656" s="110"/>
      <c r="J656" s="110"/>
      <c r="K656" s="111"/>
      <c r="L656" s="112"/>
      <c r="M656" s="113"/>
      <c r="N656" s="114"/>
      <c r="O656" s="107"/>
      <c r="P656" s="107"/>
      <c r="Q656" s="115"/>
      <c r="R656" s="116"/>
      <c r="S656" s="107"/>
      <c r="T656" s="107"/>
      <c r="U656" s="107" t="str">
        <f t="shared" si="13"/>
        <v/>
      </c>
      <c r="V656" s="107"/>
      <c r="W656" s="107"/>
      <c r="X656" s="107"/>
      <c r="Y656" s="107"/>
      <c r="Z656" s="107"/>
      <c r="AA656" s="107"/>
      <c r="AB656" s="107"/>
      <c r="AC656" s="107"/>
      <c r="AD656" s="107"/>
      <c r="AE656" s="107"/>
      <c r="AF656" s="107"/>
      <c r="AG656" s="107"/>
      <c r="AH656" s="107"/>
      <c r="AI656" s="107"/>
      <c r="AJ656" s="107"/>
      <c r="AK656" s="107"/>
      <c r="AL656" s="107"/>
      <c r="AM656" s="107"/>
      <c r="AN656" s="107"/>
      <c r="AO656" s="107"/>
      <c r="AP656" s="107"/>
      <c r="AQ656" s="107"/>
      <c r="AR656" s="107"/>
      <c r="AS656" s="107"/>
      <c r="AT656" s="107"/>
      <c r="AU656" s="107"/>
      <c r="AV656" s="107"/>
      <c r="AW656" s="107"/>
      <c r="AX656" s="107"/>
      <c r="AY656" s="107"/>
      <c r="AZ656" s="107"/>
      <c r="BA656" s="107"/>
      <c r="BB656" s="107"/>
      <c r="BC656" s="107"/>
      <c r="BD656" s="107"/>
      <c r="BE656" s="107"/>
      <c r="BF656" s="107"/>
      <c r="BG656" s="107"/>
      <c r="BH656" s="107"/>
    </row>
    <row r="657" spans="1:60" x14ac:dyDescent="0.25">
      <c r="A657" s="96"/>
      <c r="B657" s="97"/>
      <c r="C657" s="97"/>
      <c r="D657" s="97"/>
      <c r="E657" s="98"/>
      <c r="F657" s="99" t="str">
        <f>IF(H657&lt;&gt;"",H657-Accueil!N$6+1/60/24,"")</f>
        <v/>
      </c>
      <c r="G657" s="97"/>
      <c r="H657" s="99"/>
      <c r="I657" s="99"/>
      <c r="J657" s="100"/>
      <c r="K657" s="101"/>
      <c r="L657" s="102"/>
      <c r="M657" s="103"/>
      <c r="N657" s="104"/>
      <c r="O657" s="97"/>
      <c r="P657" s="97"/>
      <c r="Q657" s="97"/>
      <c r="R657" s="105"/>
      <c r="S657" s="97"/>
      <c r="T657" s="97"/>
      <c r="U657" s="97" t="str">
        <f t="shared" si="13"/>
        <v/>
      </c>
      <c r="V657" s="97"/>
      <c r="W657" s="97"/>
      <c r="X657" s="97"/>
      <c r="Y657" s="97"/>
      <c r="Z657" s="97"/>
      <c r="AA657" s="97"/>
      <c r="AB657" s="97"/>
      <c r="AC657" s="97"/>
      <c r="AD657" s="97"/>
      <c r="AE657" s="97"/>
      <c r="AF657" s="97"/>
      <c r="AG657" s="97"/>
      <c r="AH657" s="97"/>
      <c r="AI657" s="97"/>
      <c r="AJ657" s="97"/>
      <c r="AK657" s="97"/>
      <c r="AL657" s="97"/>
      <c r="AM657" s="97"/>
      <c r="AN657" s="97"/>
      <c r="AO657" s="97"/>
      <c r="AP657" s="97"/>
      <c r="AQ657" s="97"/>
      <c r="AR657" s="97"/>
      <c r="AS657" s="97"/>
      <c r="AT657" s="97"/>
      <c r="AU657" s="97"/>
      <c r="AV657" s="97"/>
      <c r="AW657" s="97"/>
      <c r="AX657" s="97"/>
      <c r="AY657" s="97"/>
      <c r="AZ657" s="97"/>
      <c r="BA657" s="97"/>
      <c r="BB657" s="97"/>
      <c r="BC657" s="97"/>
      <c r="BD657" s="97"/>
      <c r="BE657" s="97"/>
      <c r="BF657" s="97"/>
      <c r="BG657" s="97"/>
      <c r="BH657" s="97"/>
    </row>
    <row r="658" spans="1:60" x14ac:dyDescent="0.25">
      <c r="A658" s="106"/>
      <c r="B658" s="107"/>
      <c r="C658" s="107"/>
      <c r="D658" s="107"/>
      <c r="E658" s="108"/>
      <c r="F658" s="109" t="str">
        <f>IF(H658&lt;&gt;"",H658-Accueil!N$6+1/60/24,"")</f>
        <v/>
      </c>
      <c r="G658" s="107"/>
      <c r="H658" s="109"/>
      <c r="I658" s="110"/>
      <c r="J658" s="110"/>
      <c r="K658" s="111"/>
      <c r="L658" s="112"/>
      <c r="M658" s="113"/>
      <c r="N658" s="114"/>
      <c r="O658" s="107"/>
      <c r="P658" s="107"/>
      <c r="Q658" s="115"/>
      <c r="R658" s="116"/>
      <c r="S658" s="107"/>
      <c r="T658" s="107"/>
      <c r="U658" s="107" t="str">
        <f t="shared" si="13"/>
        <v/>
      </c>
      <c r="V658" s="107"/>
      <c r="W658" s="107"/>
      <c r="X658" s="107"/>
      <c r="Y658" s="107"/>
      <c r="Z658" s="107"/>
      <c r="AA658" s="107"/>
      <c r="AB658" s="107"/>
      <c r="AC658" s="107"/>
      <c r="AD658" s="107"/>
      <c r="AE658" s="107"/>
      <c r="AF658" s="107"/>
      <c r="AG658" s="107"/>
      <c r="AH658" s="107"/>
      <c r="AI658" s="107"/>
      <c r="AJ658" s="107"/>
      <c r="AK658" s="107"/>
      <c r="AL658" s="107"/>
      <c r="AM658" s="107"/>
      <c r="AN658" s="107"/>
      <c r="AO658" s="107"/>
      <c r="AP658" s="107"/>
      <c r="AQ658" s="107"/>
      <c r="AR658" s="107"/>
      <c r="AS658" s="107"/>
      <c r="AT658" s="107"/>
      <c r="AU658" s="107"/>
      <c r="AV658" s="107"/>
      <c r="AW658" s="107"/>
      <c r="AX658" s="107"/>
      <c r="AY658" s="107"/>
      <c r="AZ658" s="107"/>
      <c r="BA658" s="107"/>
      <c r="BB658" s="107"/>
      <c r="BC658" s="107"/>
      <c r="BD658" s="107"/>
      <c r="BE658" s="107"/>
      <c r="BF658" s="107"/>
      <c r="BG658" s="107"/>
      <c r="BH658" s="107"/>
    </row>
    <row r="659" spans="1:60" x14ac:dyDescent="0.25">
      <c r="A659" s="96"/>
      <c r="B659" s="97"/>
      <c r="C659" s="97"/>
      <c r="D659" s="97"/>
      <c r="E659" s="98"/>
      <c r="F659" s="99" t="str">
        <f>IF(H659&lt;&gt;"",H659-Accueil!N$6+1/60/24,"")</f>
        <v/>
      </c>
      <c r="G659" s="97"/>
      <c r="H659" s="99"/>
      <c r="I659" s="99"/>
      <c r="J659" s="100"/>
      <c r="K659" s="101"/>
      <c r="L659" s="102"/>
      <c r="M659" s="103"/>
      <c r="N659" s="104"/>
      <c r="O659" s="97"/>
      <c r="P659" s="97"/>
      <c r="Q659" s="97"/>
      <c r="R659" s="105"/>
      <c r="S659" s="97"/>
      <c r="T659" s="97"/>
      <c r="U659" s="97" t="str">
        <f t="shared" si="13"/>
        <v/>
      </c>
      <c r="V659" s="97"/>
      <c r="W659" s="97"/>
      <c r="X659" s="97"/>
      <c r="Y659" s="97"/>
      <c r="Z659" s="97"/>
      <c r="AA659" s="97"/>
      <c r="AB659" s="97"/>
      <c r="AC659" s="97"/>
      <c r="AD659" s="97"/>
      <c r="AE659" s="97"/>
      <c r="AF659" s="97"/>
      <c r="AG659" s="97"/>
      <c r="AH659" s="97"/>
      <c r="AI659" s="97"/>
      <c r="AJ659" s="97"/>
      <c r="AK659" s="97"/>
      <c r="AL659" s="97"/>
      <c r="AM659" s="97"/>
      <c r="AN659" s="97"/>
      <c r="AO659" s="97"/>
      <c r="AP659" s="97"/>
      <c r="AQ659" s="97"/>
      <c r="AR659" s="97"/>
      <c r="AS659" s="97"/>
      <c r="AT659" s="97"/>
      <c r="AU659" s="97"/>
      <c r="AV659" s="97"/>
      <c r="AW659" s="97"/>
      <c r="AX659" s="97"/>
      <c r="AY659" s="97"/>
      <c r="AZ659" s="97"/>
      <c r="BA659" s="97"/>
      <c r="BB659" s="97"/>
      <c r="BC659" s="97"/>
      <c r="BD659" s="97"/>
      <c r="BE659" s="97"/>
      <c r="BF659" s="97"/>
      <c r="BG659" s="97"/>
      <c r="BH659" s="97"/>
    </row>
    <row r="660" spans="1:60" x14ac:dyDescent="0.25">
      <c r="A660" s="106"/>
      <c r="B660" s="107"/>
      <c r="C660" s="107"/>
      <c r="D660" s="107"/>
      <c r="E660" s="108"/>
      <c r="F660" s="109" t="str">
        <f>IF(H660&lt;&gt;"",H660-Accueil!N$6+1/60/24,"")</f>
        <v/>
      </c>
      <c r="G660" s="107"/>
      <c r="H660" s="109"/>
      <c r="I660" s="110"/>
      <c r="J660" s="110"/>
      <c r="K660" s="111"/>
      <c r="L660" s="112"/>
      <c r="M660" s="113"/>
      <c r="N660" s="114"/>
      <c r="O660" s="107"/>
      <c r="P660" s="107"/>
      <c r="Q660" s="115"/>
      <c r="R660" s="116"/>
      <c r="S660" s="107"/>
      <c r="T660" s="107"/>
      <c r="U660" s="107" t="str">
        <f t="shared" si="13"/>
        <v/>
      </c>
      <c r="V660" s="107"/>
      <c r="W660" s="107"/>
      <c r="X660" s="107"/>
      <c r="Y660" s="107"/>
      <c r="Z660" s="107"/>
      <c r="AA660" s="107"/>
      <c r="AB660" s="107"/>
      <c r="AC660" s="107"/>
      <c r="AD660" s="107"/>
      <c r="AE660" s="107"/>
      <c r="AF660" s="107"/>
      <c r="AG660" s="107"/>
      <c r="AH660" s="107"/>
      <c r="AI660" s="107"/>
      <c r="AJ660" s="107"/>
      <c r="AK660" s="107"/>
      <c r="AL660" s="107"/>
      <c r="AM660" s="107"/>
      <c r="AN660" s="107"/>
      <c r="AO660" s="107"/>
      <c r="AP660" s="107"/>
      <c r="AQ660" s="107"/>
      <c r="AR660" s="107"/>
      <c r="AS660" s="107"/>
      <c r="AT660" s="107"/>
      <c r="AU660" s="107"/>
      <c r="AV660" s="107"/>
      <c r="AW660" s="107"/>
      <c r="AX660" s="107"/>
      <c r="AY660" s="107"/>
      <c r="AZ660" s="107"/>
      <c r="BA660" s="107"/>
      <c r="BB660" s="107"/>
      <c r="BC660" s="107"/>
      <c r="BD660" s="107"/>
      <c r="BE660" s="107"/>
      <c r="BF660" s="107"/>
      <c r="BG660" s="107"/>
      <c r="BH660" s="107"/>
    </row>
    <row r="661" spans="1:60" x14ac:dyDescent="0.25">
      <c r="A661" s="96"/>
      <c r="B661" s="97"/>
      <c r="C661" s="97"/>
      <c r="D661" s="97"/>
      <c r="E661" s="98"/>
      <c r="F661" s="99" t="str">
        <f>IF(H661&lt;&gt;"",H661-Accueil!N$6+1/60/24,"")</f>
        <v/>
      </c>
      <c r="G661" s="97"/>
      <c r="H661" s="99"/>
      <c r="I661" s="99"/>
      <c r="J661" s="100"/>
      <c r="K661" s="101"/>
      <c r="L661" s="102"/>
      <c r="M661" s="103"/>
      <c r="N661" s="104"/>
      <c r="O661" s="97"/>
      <c r="P661" s="97"/>
      <c r="Q661" s="97"/>
      <c r="R661" s="105"/>
      <c r="S661" s="97"/>
      <c r="T661" s="97"/>
      <c r="U661" s="97" t="str">
        <f t="shared" si="13"/>
        <v/>
      </c>
      <c r="V661" s="97"/>
      <c r="W661" s="97"/>
      <c r="X661" s="97"/>
      <c r="Y661" s="97"/>
      <c r="Z661" s="97"/>
      <c r="AA661" s="97"/>
      <c r="AB661" s="97"/>
      <c r="AC661" s="97"/>
      <c r="AD661" s="97"/>
      <c r="AE661" s="97"/>
      <c r="AF661" s="97"/>
      <c r="AG661" s="97"/>
      <c r="AH661" s="97"/>
      <c r="AI661" s="97"/>
      <c r="AJ661" s="97"/>
      <c r="AK661" s="97"/>
      <c r="AL661" s="97"/>
      <c r="AM661" s="97"/>
      <c r="AN661" s="97"/>
      <c r="AO661" s="97"/>
      <c r="AP661" s="97"/>
      <c r="AQ661" s="97"/>
      <c r="AR661" s="97"/>
      <c r="AS661" s="97"/>
      <c r="AT661" s="97"/>
      <c r="AU661" s="97"/>
      <c r="AV661" s="97"/>
      <c r="AW661" s="97"/>
      <c r="AX661" s="97"/>
      <c r="AY661" s="97"/>
      <c r="AZ661" s="97"/>
      <c r="BA661" s="97"/>
      <c r="BB661" s="97"/>
      <c r="BC661" s="97"/>
      <c r="BD661" s="97"/>
      <c r="BE661" s="97"/>
      <c r="BF661" s="97"/>
      <c r="BG661" s="97"/>
      <c r="BH661" s="97"/>
    </row>
    <row r="662" spans="1:60" x14ac:dyDescent="0.25">
      <c r="A662" s="106"/>
      <c r="B662" s="107"/>
      <c r="C662" s="107"/>
      <c r="D662" s="107"/>
      <c r="E662" s="108"/>
      <c r="F662" s="109" t="str">
        <f>IF(H662&lt;&gt;"",H662-Accueil!N$6+1/60/24,"")</f>
        <v/>
      </c>
      <c r="G662" s="107"/>
      <c r="H662" s="109"/>
      <c r="I662" s="110"/>
      <c r="J662" s="110"/>
      <c r="K662" s="111"/>
      <c r="L662" s="112"/>
      <c r="M662" s="113"/>
      <c r="N662" s="114"/>
      <c r="O662" s="107"/>
      <c r="P662" s="107"/>
      <c r="Q662" s="115"/>
      <c r="R662" s="116"/>
      <c r="S662" s="107"/>
      <c r="T662" s="107"/>
      <c r="U662" s="107" t="str">
        <f t="shared" si="13"/>
        <v/>
      </c>
      <c r="V662" s="107"/>
      <c r="W662" s="107"/>
      <c r="X662" s="107"/>
      <c r="Y662" s="107"/>
      <c r="Z662" s="107"/>
      <c r="AA662" s="107"/>
      <c r="AB662" s="107"/>
      <c r="AC662" s="107"/>
      <c r="AD662" s="107"/>
      <c r="AE662" s="107"/>
      <c r="AF662" s="107"/>
      <c r="AG662" s="107"/>
      <c r="AH662" s="107"/>
      <c r="AI662" s="107"/>
      <c r="AJ662" s="107"/>
      <c r="AK662" s="107"/>
      <c r="AL662" s="107"/>
      <c r="AM662" s="107"/>
      <c r="AN662" s="107"/>
      <c r="AO662" s="107"/>
      <c r="AP662" s="107"/>
      <c r="AQ662" s="107"/>
      <c r="AR662" s="107"/>
      <c r="AS662" s="107"/>
      <c r="AT662" s="107"/>
      <c r="AU662" s="107"/>
      <c r="AV662" s="107"/>
      <c r="AW662" s="107"/>
      <c r="AX662" s="107"/>
      <c r="AY662" s="107"/>
      <c r="AZ662" s="107"/>
      <c r="BA662" s="107"/>
      <c r="BB662" s="107"/>
      <c r="BC662" s="107"/>
      <c r="BD662" s="107"/>
      <c r="BE662" s="107"/>
      <c r="BF662" s="107"/>
      <c r="BG662" s="107"/>
      <c r="BH662" s="107"/>
    </row>
    <row r="663" spans="1:60" x14ac:dyDescent="0.25">
      <c r="A663" s="96"/>
      <c r="B663" s="97"/>
      <c r="C663" s="97"/>
      <c r="D663" s="97"/>
      <c r="E663" s="98"/>
      <c r="F663" s="99" t="str">
        <f>IF(H663&lt;&gt;"",H663-Accueil!N$6+1/60/24,"")</f>
        <v/>
      </c>
      <c r="G663" s="97"/>
      <c r="H663" s="99"/>
      <c r="I663" s="99"/>
      <c r="J663" s="100"/>
      <c r="K663" s="101"/>
      <c r="L663" s="102"/>
      <c r="M663" s="103"/>
      <c r="N663" s="104"/>
      <c r="O663" s="97"/>
      <c r="P663" s="97"/>
      <c r="Q663" s="97"/>
      <c r="R663" s="105"/>
      <c r="S663" s="97"/>
      <c r="T663" s="97"/>
      <c r="U663" s="97" t="str">
        <f t="shared" si="13"/>
        <v/>
      </c>
      <c r="V663" s="97"/>
      <c r="W663" s="97"/>
      <c r="X663" s="97"/>
      <c r="Y663" s="97"/>
      <c r="Z663" s="97"/>
      <c r="AA663" s="97"/>
      <c r="AB663" s="97"/>
      <c r="AC663" s="97"/>
      <c r="AD663" s="97"/>
      <c r="AE663" s="97"/>
      <c r="AF663" s="97"/>
      <c r="AG663" s="97"/>
      <c r="AH663" s="97"/>
      <c r="AI663" s="97"/>
      <c r="AJ663" s="97"/>
      <c r="AK663" s="97"/>
      <c r="AL663" s="97"/>
      <c r="AM663" s="97"/>
      <c r="AN663" s="97"/>
      <c r="AO663" s="97"/>
      <c r="AP663" s="97"/>
      <c r="AQ663" s="97"/>
      <c r="AR663" s="97"/>
      <c r="AS663" s="97"/>
      <c r="AT663" s="97"/>
      <c r="AU663" s="97"/>
      <c r="AV663" s="97"/>
      <c r="AW663" s="97"/>
      <c r="AX663" s="97"/>
      <c r="AY663" s="97"/>
      <c r="AZ663" s="97"/>
      <c r="BA663" s="97"/>
      <c r="BB663" s="97"/>
      <c r="BC663" s="97"/>
      <c r="BD663" s="97"/>
      <c r="BE663" s="97"/>
      <c r="BF663" s="97"/>
      <c r="BG663" s="97"/>
      <c r="BH663" s="97"/>
    </row>
    <row r="664" spans="1:60" x14ac:dyDescent="0.25">
      <c r="A664" s="106"/>
      <c r="B664" s="107"/>
      <c r="C664" s="107"/>
      <c r="D664" s="107"/>
      <c r="E664" s="108"/>
      <c r="F664" s="109" t="str">
        <f>IF(H664&lt;&gt;"",H664-Accueil!N$6+1/60/24,"")</f>
        <v/>
      </c>
      <c r="G664" s="107"/>
      <c r="H664" s="109"/>
      <c r="I664" s="110"/>
      <c r="J664" s="110"/>
      <c r="K664" s="111"/>
      <c r="L664" s="112"/>
      <c r="M664" s="113"/>
      <c r="N664" s="114"/>
      <c r="O664" s="107"/>
      <c r="P664" s="107"/>
      <c r="Q664" s="115"/>
      <c r="R664" s="116"/>
      <c r="S664" s="107"/>
      <c r="T664" s="107"/>
      <c r="U664" s="107" t="str">
        <f t="shared" si="13"/>
        <v/>
      </c>
      <c r="V664" s="107"/>
      <c r="W664" s="107"/>
      <c r="X664" s="107"/>
      <c r="Y664" s="107"/>
      <c r="Z664" s="107"/>
      <c r="AA664" s="107"/>
      <c r="AB664" s="107"/>
      <c r="AC664" s="107"/>
      <c r="AD664" s="107"/>
      <c r="AE664" s="107"/>
      <c r="AF664" s="107"/>
      <c r="AG664" s="107"/>
      <c r="AH664" s="107"/>
      <c r="AI664" s="107"/>
      <c r="AJ664" s="107"/>
      <c r="AK664" s="107"/>
      <c r="AL664" s="107"/>
      <c r="AM664" s="107"/>
      <c r="AN664" s="107"/>
      <c r="AO664" s="107"/>
      <c r="AP664" s="107"/>
      <c r="AQ664" s="107"/>
      <c r="AR664" s="107"/>
      <c r="AS664" s="107"/>
      <c r="AT664" s="107"/>
      <c r="AU664" s="107"/>
      <c r="AV664" s="107"/>
      <c r="AW664" s="107"/>
      <c r="AX664" s="107"/>
      <c r="AY664" s="107"/>
      <c r="AZ664" s="107"/>
      <c r="BA664" s="107"/>
      <c r="BB664" s="107"/>
      <c r="BC664" s="107"/>
      <c r="BD664" s="107"/>
      <c r="BE664" s="107"/>
      <c r="BF664" s="107"/>
      <c r="BG664" s="107"/>
      <c r="BH664" s="107"/>
    </row>
    <row r="665" spans="1:60" x14ac:dyDescent="0.25">
      <c r="A665" s="96"/>
      <c r="B665" s="97"/>
      <c r="C665" s="97"/>
      <c r="D665" s="97"/>
      <c r="E665" s="98"/>
      <c r="F665" s="99" t="str">
        <f>IF(H665&lt;&gt;"",H665-Accueil!N$6+1/60/24,"")</f>
        <v/>
      </c>
      <c r="G665" s="97"/>
      <c r="H665" s="99"/>
      <c r="I665" s="99"/>
      <c r="J665" s="100"/>
      <c r="K665" s="101"/>
      <c r="L665" s="102"/>
      <c r="M665" s="103"/>
      <c r="N665" s="104"/>
      <c r="O665" s="97"/>
      <c r="P665" s="97"/>
      <c r="Q665" s="97"/>
      <c r="R665" s="105"/>
      <c r="S665" s="97"/>
      <c r="T665" s="97"/>
      <c r="U665" s="97" t="str">
        <f t="shared" si="13"/>
        <v/>
      </c>
      <c r="V665" s="97"/>
      <c r="W665" s="97"/>
      <c r="X665" s="97"/>
      <c r="Y665" s="97"/>
      <c r="Z665" s="97"/>
      <c r="AA665" s="97"/>
      <c r="AB665" s="97"/>
      <c r="AC665" s="97"/>
      <c r="AD665" s="97"/>
      <c r="AE665" s="97"/>
      <c r="AF665" s="97"/>
      <c r="AG665" s="97"/>
      <c r="AH665" s="97"/>
      <c r="AI665" s="97"/>
      <c r="AJ665" s="97"/>
      <c r="AK665" s="97"/>
      <c r="AL665" s="97"/>
      <c r="AM665" s="97"/>
      <c r="AN665" s="97"/>
      <c r="AO665" s="97"/>
      <c r="AP665" s="97"/>
      <c r="AQ665" s="97"/>
      <c r="AR665" s="97"/>
      <c r="AS665" s="97"/>
      <c r="AT665" s="97"/>
      <c r="AU665" s="97"/>
      <c r="AV665" s="97"/>
      <c r="AW665" s="97"/>
      <c r="AX665" s="97"/>
      <c r="AY665" s="97"/>
      <c r="AZ665" s="97"/>
      <c r="BA665" s="97"/>
      <c r="BB665" s="97"/>
      <c r="BC665" s="97"/>
      <c r="BD665" s="97"/>
      <c r="BE665" s="97"/>
      <c r="BF665" s="97"/>
      <c r="BG665" s="97"/>
      <c r="BH665" s="97"/>
    </row>
    <row r="666" spans="1:60" x14ac:dyDescent="0.25">
      <c r="A666" s="106"/>
      <c r="B666" s="107"/>
      <c r="C666" s="107"/>
      <c r="D666" s="107"/>
      <c r="E666" s="108"/>
      <c r="F666" s="109" t="str">
        <f>IF(H666&lt;&gt;"",H666-Accueil!N$6+1/60/24,"")</f>
        <v/>
      </c>
      <c r="G666" s="107"/>
      <c r="H666" s="109"/>
      <c r="I666" s="110"/>
      <c r="J666" s="110"/>
      <c r="K666" s="111"/>
      <c r="L666" s="112"/>
      <c r="M666" s="113"/>
      <c r="N666" s="114"/>
      <c r="O666" s="107"/>
      <c r="P666" s="107"/>
      <c r="Q666" s="115"/>
      <c r="R666" s="116"/>
      <c r="S666" s="107"/>
      <c r="T666" s="107"/>
      <c r="U666" s="107" t="str">
        <f t="shared" si="13"/>
        <v/>
      </c>
      <c r="V666" s="107"/>
      <c r="W666" s="107"/>
      <c r="X666" s="107"/>
      <c r="Y666" s="107"/>
      <c r="Z666" s="107"/>
      <c r="AA666" s="107"/>
      <c r="AB666" s="107"/>
      <c r="AC666" s="107"/>
      <c r="AD666" s="107"/>
      <c r="AE666" s="107"/>
      <c r="AF666" s="107"/>
      <c r="AG666" s="107"/>
      <c r="AH666" s="107"/>
      <c r="AI666" s="107"/>
      <c r="AJ666" s="107"/>
      <c r="AK666" s="107"/>
      <c r="AL666" s="107"/>
      <c r="AM666" s="107"/>
      <c r="AN666" s="107"/>
      <c r="AO666" s="107"/>
      <c r="AP666" s="107"/>
      <c r="AQ666" s="107"/>
      <c r="AR666" s="107"/>
      <c r="AS666" s="107"/>
      <c r="AT666" s="107"/>
      <c r="AU666" s="107"/>
      <c r="AV666" s="107"/>
      <c r="AW666" s="107"/>
      <c r="AX666" s="107"/>
      <c r="AY666" s="107"/>
      <c r="AZ666" s="107"/>
      <c r="BA666" s="107"/>
      <c r="BB666" s="107"/>
      <c r="BC666" s="107"/>
      <c r="BD666" s="107"/>
      <c r="BE666" s="107"/>
      <c r="BF666" s="107"/>
      <c r="BG666" s="107"/>
      <c r="BH666" s="107"/>
    </row>
    <row r="667" spans="1:60" x14ac:dyDescent="0.25">
      <c r="A667" s="96"/>
      <c r="B667" s="97"/>
      <c r="C667" s="97"/>
      <c r="D667" s="97"/>
      <c r="E667" s="98"/>
      <c r="F667" s="99" t="str">
        <f>IF(H667&lt;&gt;"",H667-Accueil!N$6+1/60/24,"")</f>
        <v/>
      </c>
      <c r="G667" s="97"/>
      <c r="H667" s="99"/>
      <c r="I667" s="99"/>
      <c r="J667" s="100"/>
      <c r="K667" s="101"/>
      <c r="L667" s="102"/>
      <c r="M667" s="103"/>
      <c r="N667" s="104"/>
      <c r="O667" s="97"/>
      <c r="P667" s="97"/>
      <c r="Q667" s="97"/>
      <c r="R667" s="105"/>
      <c r="S667" s="97"/>
      <c r="T667" s="97"/>
      <c r="U667" s="97" t="str">
        <f t="shared" si="13"/>
        <v/>
      </c>
      <c r="V667" s="97"/>
      <c r="W667" s="97"/>
      <c r="X667" s="97"/>
      <c r="Y667" s="97"/>
      <c r="Z667" s="97"/>
      <c r="AA667" s="97"/>
      <c r="AB667" s="97"/>
      <c r="AC667" s="97"/>
      <c r="AD667" s="97"/>
      <c r="AE667" s="97"/>
      <c r="AF667" s="97"/>
      <c r="AG667" s="97"/>
      <c r="AH667" s="97"/>
      <c r="AI667" s="97"/>
      <c r="AJ667" s="97"/>
      <c r="AK667" s="97"/>
      <c r="AL667" s="97"/>
      <c r="AM667" s="97"/>
      <c r="AN667" s="97"/>
      <c r="AO667" s="97"/>
      <c r="AP667" s="97"/>
      <c r="AQ667" s="97"/>
      <c r="AR667" s="97"/>
      <c r="AS667" s="97"/>
      <c r="AT667" s="97"/>
      <c r="AU667" s="97"/>
      <c r="AV667" s="97"/>
      <c r="AW667" s="97"/>
      <c r="AX667" s="97"/>
      <c r="AY667" s="97"/>
      <c r="AZ667" s="97"/>
      <c r="BA667" s="97"/>
      <c r="BB667" s="97"/>
      <c r="BC667" s="97"/>
      <c r="BD667" s="97"/>
      <c r="BE667" s="97"/>
      <c r="BF667" s="97"/>
      <c r="BG667" s="97"/>
      <c r="BH667" s="97"/>
    </row>
    <row r="668" spans="1:60" x14ac:dyDescent="0.25">
      <c r="A668" s="106"/>
      <c r="B668" s="107"/>
      <c r="C668" s="107"/>
      <c r="D668" s="107"/>
      <c r="E668" s="108"/>
      <c r="F668" s="109" t="str">
        <f>IF(H668&lt;&gt;"",H668-Accueil!N$6+1/60/24,"")</f>
        <v/>
      </c>
      <c r="G668" s="107"/>
      <c r="H668" s="109"/>
      <c r="I668" s="110"/>
      <c r="J668" s="110"/>
      <c r="K668" s="111"/>
      <c r="L668" s="112"/>
      <c r="M668" s="113"/>
      <c r="N668" s="114"/>
      <c r="O668" s="107"/>
      <c r="P668" s="107"/>
      <c r="Q668" s="115"/>
      <c r="R668" s="116"/>
      <c r="S668" s="107"/>
      <c r="T668" s="107"/>
      <c r="U668" s="107" t="str">
        <f t="shared" si="13"/>
        <v/>
      </c>
      <c r="V668" s="107"/>
      <c r="W668" s="107"/>
      <c r="X668" s="107"/>
      <c r="Y668" s="107"/>
      <c r="Z668" s="107"/>
      <c r="AA668" s="107"/>
      <c r="AB668" s="107"/>
      <c r="AC668" s="107"/>
      <c r="AD668" s="107"/>
      <c r="AE668" s="107"/>
      <c r="AF668" s="107"/>
      <c r="AG668" s="107"/>
      <c r="AH668" s="107"/>
      <c r="AI668" s="107"/>
      <c r="AJ668" s="107"/>
      <c r="AK668" s="107"/>
      <c r="AL668" s="107"/>
      <c r="AM668" s="107"/>
      <c r="AN668" s="107"/>
      <c r="AO668" s="107"/>
      <c r="AP668" s="107"/>
      <c r="AQ668" s="107"/>
      <c r="AR668" s="107"/>
      <c r="AS668" s="107"/>
      <c r="AT668" s="107"/>
      <c r="AU668" s="107"/>
      <c r="AV668" s="107"/>
      <c r="AW668" s="107"/>
      <c r="AX668" s="107"/>
      <c r="AY668" s="107"/>
      <c r="AZ668" s="107"/>
      <c r="BA668" s="107"/>
      <c r="BB668" s="107"/>
      <c r="BC668" s="107"/>
      <c r="BD668" s="107"/>
      <c r="BE668" s="107"/>
      <c r="BF668" s="107"/>
      <c r="BG668" s="107"/>
      <c r="BH668" s="107"/>
    </row>
    <row r="669" spans="1:60" x14ac:dyDescent="0.25">
      <c r="A669" s="96"/>
      <c r="B669" s="97"/>
      <c r="C669" s="97"/>
      <c r="D669" s="97"/>
      <c r="E669" s="98"/>
      <c r="F669" s="99" t="str">
        <f>IF(H669&lt;&gt;"",H669-Accueil!N$6+1/60/24,"")</f>
        <v/>
      </c>
      <c r="G669" s="97"/>
      <c r="H669" s="99"/>
      <c r="I669" s="99"/>
      <c r="J669" s="100"/>
      <c r="K669" s="101"/>
      <c r="L669" s="102"/>
      <c r="M669" s="103"/>
      <c r="N669" s="104"/>
      <c r="O669" s="97"/>
      <c r="P669" s="97"/>
      <c r="Q669" s="97"/>
      <c r="R669" s="105"/>
      <c r="S669" s="97"/>
      <c r="T669" s="97"/>
      <c r="U669" s="97" t="str">
        <f t="shared" si="13"/>
        <v/>
      </c>
      <c r="V669" s="97"/>
      <c r="W669" s="97"/>
      <c r="X669" s="97"/>
      <c r="Y669" s="97"/>
      <c r="Z669" s="97"/>
      <c r="AA669" s="97"/>
      <c r="AB669" s="97"/>
      <c r="AC669" s="97"/>
      <c r="AD669" s="97"/>
      <c r="AE669" s="97"/>
      <c r="AF669" s="97"/>
      <c r="AG669" s="97"/>
      <c r="AH669" s="97"/>
      <c r="AI669" s="97"/>
      <c r="AJ669" s="97"/>
      <c r="AK669" s="97"/>
      <c r="AL669" s="97"/>
      <c r="AM669" s="97"/>
      <c r="AN669" s="97"/>
      <c r="AO669" s="97"/>
      <c r="AP669" s="97"/>
      <c r="AQ669" s="97"/>
      <c r="AR669" s="97"/>
      <c r="AS669" s="97"/>
      <c r="AT669" s="97"/>
      <c r="AU669" s="97"/>
      <c r="AV669" s="97"/>
      <c r="AW669" s="97"/>
      <c r="AX669" s="97"/>
      <c r="AY669" s="97"/>
      <c r="AZ669" s="97"/>
      <c r="BA669" s="97"/>
      <c r="BB669" s="97"/>
      <c r="BC669" s="97"/>
      <c r="BD669" s="97"/>
      <c r="BE669" s="97"/>
      <c r="BF669" s="97"/>
      <c r="BG669" s="97"/>
      <c r="BH669" s="97"/>
    </row>
    <row r="670" spans="1:60" x14ac:dyDescent="0.25">
      <c r="A670" s="106"/>
      <c r="B670" s="107"/>
      <c r="C670" s="107"/>
      <c r="D670" s="107"/>
      <c r="E670" s="108"/>
      <c r="F670" s="109" t="str">
        <f>IF(H670&lt;&gt;"",H670-Accueil!N$6+1/60/24,"")</f>
        <v/>
      </c>
      <c r="G670" s="107"/>
      <c r="H670" s="109"/>
      <c r="I670" s="110"/>
      <c r="J670" s="110"/>
      <c r="K670" s="111"/>
      <c r="L670" s="112"/>
      <c r="M670" s="113"/>
      <c r="N670" s="114"/>
      <c r="O670" s="107"/>
      <c r="P670" s="107"/>
      <c r="Q670" s="115"/>
      <c r="R670" s="116"/>
      <c r="S670" s="107"/>
      <c r="T670" s="107"/>
      <c r="U670" s="107" t="str">
        <f t="shared" si="13"/>
        <v/>
      </c>
      <c r="V670" s="107"/>
      <c r="W670" s="107"/>
      <c r="X670" s="107"/>
      <c r="Y670" s="107"/>
      <c r="Z670" s="107"/>
      <c r="AA670" s="107"/>
      <c r="AB670" s="107"/>
      <c r="AC670" s="107"/>
      <c r="AD670" s="107"/>
      <c r="AE670" s="107"/>
      <c r="AF670" s="107"/>
      <c r="AG670" s="107"/>
      <c r="AH670" s="107"/>
      <c r="AI670" s="107"/>
      <c r="AJ670" s="107"/>
      <c r="AK670" s="107"/>
      <c r="AL670" s="107"/>
      <c r="AM670" s="107"/>
      <c r="AN670" s="107"/>
      <c r="AO670" s="107"/>
      <c r="AP670" s="107"/>
      <c r="AQ670" s="107"/>
      <c r="AR670" s="107"/>
      <c r="AS670" s="107"/>
      <c r="AT670" s="107"/>
      <c r="AU670" s="107"/>
      <c r="AV670" s="107"/>
      <c r="AW670" s="107"/>
      <c r="AX670" s="107"/>
      <c r="AY670" s="107"/>
      <c r="AZ670" s="107"/>
      <c r="BA670" s="107"/>
      <c r="BB670" s="107"/>
      <c r="BC670" s="107"/>
      <c r="BD670" s="107"/>
      <c r="BE670" s="107"/>
      <c r="BF670" s="107"/>
      <c r="BG670" s="107"/>
      <c r="BH670" s="107"/>
    </row>
    <row r="671" spans="1:60" x14ac:dyDescent="0.25">
      <c r="A671" s="96"/>
      <c r="B671" s="97"/>
      <c r="C671" s="97"/>
      <c r="D671" s="97"/>
      <c r="E671" s="98"/>
      <c r="F671" s="99" t="str">
        <f>IF(H671&lt;&gt;"",H671-Accueil!N$6+1/60/24,"")</f>
        <v/>
      </c>
      <c r="G671" s="97"/>
      <c r="H671" s="99"/>
      <c r="I671" s="99"/>
      <c r="J671" s="100"/>
      <c r="K671" s="101"/>
      <c r="L671" s="102"/>
      <c r="M671" s="103"/>
      <c r="N671" s="104"/>
      <c r="O671" s="97"/>
      <c r="P671" s="97"/>
      <c r="Q671" s="97"/>
      <c r="R671" s="105"/>
      <c r="S671" s="97"/>
      <c r="T671" s="97"/>
      <c r="U671" s="97" t="str">
        <f t="shared" si="13"/>
        <v/>
      </c>
      <c r="V671" s="97"/>
      <c r="W671" s="97"/>
      <c r="X671" s="97"/>
      <c r="Y671" s="97"/>
      <c r="Z671" s="97"/>
      <c r="AA671" s="97"/>
      <c r="AB671" s="97"/>
      <c r="AC671" s="97"/>
      <c r="AD671" s="97"/>
      <c r="AE671" s="97"/>
      <c r="AF671" s="97"/>
      <c r="AG671" s="97"/>
      <c r="AH671" s="97"/>
      <c r="AI671" s="97"/>
      <c r="AJ671" s="97"/>
      <c r="AK671" s="97"/>
      <c r="AL671" s="97"/>
      <c r="AM671" s="97"/>
      <c r="AN671" s="97"/>
      <c r="AO671" s="97"/>
      <c r="AP671" s="97"/>
      <c r="AQ671" s="97"/>
      <c r="AR671" s="97"/>
      <c r="AS671" s="97"/>
      <c r="AT671" s="97"/>
      <c r="AU671" s="97"/>
      <c r="AV671" s="97"/>
      <c r="AW671" s="97"/>
      <c r="AX671" s="97"/>
      <c r="AY671" s="97"/>
      <c r="AZ671" s="97"/>
      <c r="BA671" s="97"/>
      <c r="BB671" s="97"/>
      <c r="BC671" s="97"/>
      <c r="BD671" s="97"/>
      <c r="BE671" s="97"/>
      <c r="BF671" s="97"/>
      <c r="BG671" s="97"/>
      <c r="BH671" s="97"/>
    </row>
    <row r="672" spans="1:60" x14ac:dyDescent="0.25">
      <c r="A672" s="106"/>
      <c r="B672" s="107"/>
      <c r="C672" s="107"/>
      <c r="D672" s="107"/>
      <c r="E672" s="108"/>
      <c r="F672" s="109" t="str">
        <f>IF(H672&lt;&gt;"",H672-Accueil!N$6+1/60/24,"")</f>
        <v/>
      </c>
      <c r="G672" s="107"/>
      <c r="H672" s="109"/>
      <c r="I672" s="110"/>
      <c r="J672" s="110"/>
      <c r="K672" s="111"/>
      <c r="L672" s="112"/>
      <c r="M672" s="113"/>
      <c r="N672" s="114"/>
      <c r="O672" s="107"/>
      <c r="P672" s="107"/>
      <c r="Q672" s="115"/>
      <c r="R672" s="116"/>
      <c r="S672" s="107"/>
      <c r="T672" s="107"/>
      <c r="U672" s="107" t="str">
        <f t="shared" si="13"/>
        <v/>
      </c>
      <c r="V672" s="107"/>
      <c r="W672" s="107"/>
      <c r="X672" s="107"/>
      <c r="Y672" s="107"/>
      <c r="Z672" s="107"/>
      <c r="AA672" s="107"/>
      <c r="AB672" s="107"/>
      <c r="AC672" s="107"/>
      <c r="AD672" s="107"/>
      <c r="AE672" s="107"/>
      <c r="AF672" s="107"/>
      <c r="AG672" s="107"/>
      <c r="AH672" s="107"/>
      <c r="AI672" s="107"/>
      <c r="AJ672" s="107"/>
      <c r="AK672" s="107"/>
      <c r="AL672" s="107"/>
      <c r="AM672" s="107"/>
      <c r="AN672" s="107"/>
      <c r="AO672" s="107"/>
      <c r="AP672" s="107"/>
      <c r="AQ672" s="107"/>
      <c r="AR672" s="107"/>
      <c r="AS672" s="107"/>
      <c r="AT672" s="107"/>
      <c r="AU672" s="107"/>
      <c r="AV672" s="107"/>
      <c r="AW672" s="107"/>
      <c r="AX672" s="107"/>
      <c r="AY672" s="107"/>
      <c r="AZ672" s="107"/>
      <c r="BA672" s="107"/>
      <c r="BB672" s="107"/>
      <c r="BC672" s="107"/>
      <c r="BD672" s="107"/>
      <c r="BE672" s="107"/>
      <c r="BF672" s="107"/>
      <c r="BG672" s="107"/>
      <c r="BH672" s="107"/>
    </row>
    <row r="673" spans="1:60" x14ac:dyDescent="0.25">
      <c r="A673" s="96"/>
      <c r="B673" s="97"/>
      <c r="C673" s="97"/>
      <c r="D673" s="97"/>
      <c r="E673" s="98"/>
      <c r="F673" s="99" t="str">
        <f>IF(H673&lt;&gt;"",H673-Accueil!N$6+1/60/24,"")</f>
        <v/>
      </c>
      <c r="G673" s="97"/>
      <c r="H673" s="99"/>
      <c r="I673" s="99"/>
      <c r="J673" s="100"/>
      <c r="K673" s="101"/>
      <c r="L673" s="102"/>
      <c r="M673" s="103"/>
      <c r="N673" s="104"/>
      <c r="O673" s="97"/>
      <c r="P673" s="97"/>
      <c r="Q673" s="97"/>
      <c r="R673" s="105"/>
      <c r="S673" s="97"/>
      <c r="T673" s="97"/>
      <c r="U673" s="97" t="str">
        <f t="shared" si="13"/>
        <v/>
      </c>
      <c r="V673" s="97"/>
      <c r="W673" s="97"/>
      <c r="X673" s="97"/>
      <c r="Y673" s="97"/>
      <c r="Z673" s="97"/>
      <c r="AA673" s="97"/>
      <c r="AB673" s="97"/>
      <c r="AC673" s="97"/>
      <c r="AD673" s="97"/>
      <c r="AE673" s="97"/>
      <c r="AF673" s="97"/>
      <c r="AG673" s="97"/>
      <c r="AH673" s="97"/>
      <c r="AI673" s="97"/>
      <c r="AJ673" s="97"/>
      <c r="AK673" s="97"/>
      <c r="AL673" s="97"/>
      <c r="AM673" s="97"/>
      <c r="AN673" s="97"/>
      <c r="AO673" s="97"/>
      <c r="AP673" s="97"/>
      <c r="AQ673" s="97"/>
      <c r="AR673" s="97"/>
      <c r="AS673" s="97"/>
      <c r="AT673" s="97"/>
      <c r="AU673" s="97"/>
      <c r="AV673" s="97"/>
      <c r="AW673" s="97"/>
      <c r="AX673" s="97"/>
      <c r="AY673" s="97"/>
      <c r="AZ673" s="97"/>
      <c r="BA673" s="97"/>
      <c r="BB673" s="97"/>
      <c r="BC673" s="97"/>
      <c r="BD673" s="97"/>
      <c r="BE673" s="97"/>
      <c r="BF673" s="97"/>
      <c r="BG673" s="97"/>
      <c r="BH673" s="97"/>
    </row>
    <row r="674" spans="1:60" x14ac:dyDescent="0.25">
      <c r="A674" s="106"/>
      <c r="B674" s="107"/>
      <c r="C674" s="107"/>
      <c r="D674" s="107"/>
      <c r="E674" s="108"/>
      <c r="F674" s="109" t="str">
        <f>IF(H674&lt;&gt;"",H674-Accueil!N$6+1/60/24,"")</f>
        <v/>
      </c>
      <c r="G674" s="107"/>
      <c r="H674" s="109"/>
      <c r="I674" s="110"/>
      <c r="J674" s="110"/>
      <c r="K674" s="111"/>
      <c r="L674" s="112"/>
      <c r="M674" s="113"/>
      <c r="N674" s="114"/>
      <c r="O674" s="107"/>
      <c r="P674" s="107"/>
      <c r="Q674" s="115"/>
      <c r="R674" s="116"/>
      <c r="S674" s="107"/>
      <c r="T674" s="107"/>
      <c r="U674" s="107" t="str">
        <f t="shared" si="13"/>
        <v/>
      </c>
      <c r="V674" s="107"/>
      <c r="W674" s="107"/>
      <c r="X674" s="107"/>
      <c r="Y674" s="107"/>
      <c r="Z674" s="107"/>
      <c r="AA674" s="107"/>
      <c r="AB674" s="107"/>
      <c r="AC674" s="107"/>
      <c r="AD674" s="107"/>
      <c r="AE674" s="107"/>
      <c r="AF674" s="107"/>
      <c r="AG674" s="107"/>
      <c r="AH674" s="107"/>
      <c r="AI674" s="107"/>
      <c r="AJ674" s="107"/>
      <c r="AK674" s="107"/>
      <c r="AL674" s="107"/>
      <c r="AM674" s="107"/>
      <c r="AN674" s="107"/>
      <c r="AO674" s="107"/>
      <c r="AP674" s="107"/>
      <c r="AQ674" s="107"/>
      <c r="AR674" s="107"/>
      <c r="AS674" s="107"/>
      <c r="AT674" s="107"/>
      <c r="AU674" s="107"/>
      <c r="AV674" s="107"/>
      <c r="AW674" s="107"/>
      <c r="AX674" s="107"/>
      <c r="AY674" s="107"/>
      <c r="AZ674" s="107"/>
      <c r="BA674" s="107"/>
      <c r="BB674" s="107"/>
      <c r="BC674" s="107"/>
      <c r="BD674" s="107"/>
      <c r="BE674" s="107"/>
      <c r="BF674" s="107"/>
      <c r="BG674" s="107"/>
      <c r="BH674" s="107"/>
    </row>
    <row r="675" spans="1:60" x14ac:dyDescent="0.25">
      <c r="A675" s="96"/>
      <c r="B675" s="97"/>
      <c r="C675" s="97"/>
      <c r="D675" s="97"/>
      <c r="E675" s="98"/>
      <c r="F675" s="99" t="str">
        <f>IF(H675&lt;&gt;"",H675-Accueil!N$6+1/60/24,"")</f>
        <v/>
      </c>
      <c r="G675" s="97"/>
      <c r="H675" s="99"/>
      <c r="I675" s="99"/>
      <c r="J675" s="100"/>
      <c r="K675" s="101"/>
      <c r="L675" s="102"/>
      <c r="M675" s="103"/>
      <c r="N675" s="104"/>
      <c r="O675" s="97"/>
      <c r="P675" s="97"/>
      <c r="Q675" s="97"/>
      <c r="R675" s="105"/>
      <c r="S675" s="97"/>
      <c r="T675" s="97"/>
      <c r="U675" s="97" t="str">
        <f t="shared" si="13"/>
        <v/>
      </c>
      <c r="V675" s="97"/>
      <c r="W675" s="97"/>
      <c r="X675" s="97"/>
      <c r="Y675" s="97"/>
      <c r="Z675" s="97"/>
      <c r="AA675" s="97"/>
      <c r="AB675" s="97"/>
      <c r="AC675" s="97"/>
      <c r="AD675" s="97"/>
      <c r="AE675" s="97"/>
      <c r="AF675" s="97"/>
      <c r="AG675" s="97"/>
      <c r="AH675" s="97"/>
      <c r="AI675" s="97"/>
      <c r="AJ675" s="97"/>
      <c r="AK675" s="97"/>
      <c r="AL675" s="97"/>
      <c r="AM675" s="97"/>
      <c r="AN675" s="97"/>
      <c r="AO675" s="97"/>
      <c r="AP675" s="97"/>
      <c r="AQ675" s="97"/>
      <c r="AR675" s="97"/>
      <c r="AS675" s="97"/>
      <c r="AT675" s="97"/>
      <c r="AU675" s="97"/>
      <c r="AV675" s="97"/>
      <c r="AW675" s="97"/>
      <c r="AX675" s="97"/>
      <c r="AY675" s="97"/>
      <c r="AZ675" s="97"/>
      <c r="BA675" s="97"/>
      <c r="BB675" s="97"/>
      <c r="BC675" s="97"/>
      <c r="BD675" s="97"/>
      <c r="BE675" s="97"/>
      <c r="BF675" s="97"/>
      <c r="BG675" s="97"/>
      <c r="BH675" s="97"/>
    </row>
    <row r="676" spans="1:60" x14ac:dyDescent="0.25">
      <c r="A676" s="106"/>
      <c r="B676" s="107"/>
      <c r="C676" s="107"/>
      <c r="D676" s="107"/>
      <c r="E676" s="108"/>
      <c r="F676" s="109" t="str">
        <f>IF(H676&lt;&gt;"",H676-Accueil!N$6+1/60/24,"")</f>
        <v/>
      </c>
      <c r="G676" s="107"/>
      <c r="H676" s="109"/>
      <c r="I676" s="110"/>
      <c r="J676" s="110"/>
      <c r="K676" s="111"/>
      <c r="L676" s="112"/>
      <c r="M676" s="113"/>
      <c r="N676" s="114"/>
      <c r="O676" s="107"/>
      <c r="P676" s="107"/>
      <c r="Q676" s="115"/>
      <c r="R676" s="116"/>
      <c r="S676" s="107"/>
      <c r="T676" s="107"/>
      <c r="U676" s="107" t="str">
        <f t="shared" si="13"/>
        <v/>
      </c>
      <c r="V676" s="107"/>
      <c r="W676" s="107"/>
      <c r="X676" s="107"/>
      <c r="Y676" s="107"/>
      <c r="Z676" s="107"/>
      <c r="AA676" s="107"/>
      <c r="AB676" s="107"/>
      <c r="AC676" s="107"/>
      <c r="AD676" s="107"/>
      <c r="AE676" s="107"/>
      <c r="AF676" s="107"/>
      <c r="AG676" s="107"/>
      <c r="AH676" s="107"/>
      <c r="AI676" s="107"/>
      <c r="AJ676" s="107"/>
      <c r="AK676" s="107"/>
      <c r="AL676" s="107"/>
      <c r="AM676" s="107"/>
      <c r="AN676" s="107"/>
      <c r="AO676" s="107"/>
      <c r="AP676" s="107"/>
      <c r="AQ676" s="107"/>
      <c r="AR676" s="107"/>
      <c r="AS676" s="107"/>
      <c r="AT676" s="107"/>
      <c r="AU676" s="107"/>
      <c r="AV676" s="107"/>
      <c r="AW676" s="107"/>
      <c r="AX676" s="107"/>
      <c r="AY676" s="107"/>
      <c r="AZ676" s="107"/>
      <c r="BA676" s="107"/>
      <c r="BB676" s="107"/>
      <c r="BC676" s="107"/>
      <c r="BD676" s="107"/>
      <c r="BE676" s="107"/>
      <c r="BF676" s="107"/>
      <c r="BG676" s="107"/>
      <c r="BH676" s="107"/>
    </row>
    <row r="677" spans="1:60" x14ac:dyDescent="0.25">
      <c r="A677" s="96"/>
      <c r="B677" s="97"/>
      <c r="C677" s="97"/>
      <c r="D677" s="97"/>
      <c r="E677" s="98"/>
      <c r="F677" s="99" t="str">
        <f>IF(H677&lt;&gt;"",H677-Accueil!N$6+1/60/24,"")</f>
        <v/>
      </c>
      <c r="G677" s="97"/>
      <c r="H677" s="99"/>
      <c r="I677" s="99"/>
      <c r="J677" s="100"/>
      <c r="K677" s="101"/>
      <c r="L677" s="102"/>
      <c r="M677" s="103"/>
      <c r="N677" s="104"/>
      <c r="O677" s="97"/>
      <c r="P677" s="97"/>
      <c r="Q677" s="97"/>
      <c r="R677" s="105"/>
      <c r="S677" s="97"/>
      <c r="T677" s="97"/>
      <c r="U677" s="97" t="str">
        <f t="shared" si="13"/>
        <v/>
      </c>
      <c r="V677" s="97"/>
      <c r="W677" s="97"/>
      <c r="X677" s="97"/>
      <c r="Y677" s="97"/>
      <c r="Z677" s="97"/>
      <c r="AA677" s="97"/>
      <c r="AB677" s="97"/>
      <c r="AC677" s="97"/>
      <c r="AD677" s="97"/>
      <c r="AE677" s="97"/>
      <c r="AF677" s="97"/>
      <c r="AG677" s="97"/>
      <c r="AH677" s="97"/>
      <c r="AI677" s="97"/>
      <c r="AJ677" s="97"/>
      <c r="AK677" s="97"/>
      <c r="AL677" s="97"/>
      <c r="AM677" s="97"/>
      <c r="AN677" s="97"/>
      <c r="AO677" s="97"/>
      <c r="AP677" s="97"/>
      <c r="AQ677" s="97"/>
      <c r="AR677" s="97"/>
      <c r="AS677" s="97"/>
      <c r="AT677" s="97"/>
      <c r="AU677" s="97"/>
      <c r="AV677" s="97"/>
      <c r="AW677" s="97"/>
      <c r="AX677" s="97"/>
      <c r="AY677" s="97"/>
      <c r="AZ677" s="97"/>
      <c r="BA677" s="97"/>
      <c r="BB677" s="97"/>
      <c r="BC677" s="97"/>
      <c r="BD677" s="97"/>
      <c r="BE677" s="97"/>
      <c r="BF677" s="97"/>
      <c r="BG677" s="97"/>
      <c r="BH677" s="97"/>
    </row>
    <row r="678" spans="1:60" x14ac:dyDescent="0.25">
      <c r="A678" s="106"/>
      <c r="B678" s="107"/>
      <c r="C678" s="107"/>
      <c r="D678" s="107"/>
      <c r="E678" s="108"/>
      <c r="F678" s="109" t="str">
        <f>IF(H678&lt;&gt;"",H678-Accueil!N$6+1/60/24,"")</f>
        <v/>
      </c>
      <c r="G678" s="107"/>
      <c r="H678" s="109"/>
      <c r="I678" s="110"/>
      <c r="J678" s="110"/>
      <c r="K678" s="111"/>
      <c r="L678" s="112"/>
      <c r="M678" s="113"/>
      <c r="N678" s="114"/>
      <c r="O678" s="107"/>
      <c r="P678" s="107"/>
      <c r="Q678" s="115"/>
      <c r="R678" s="116"/>
      <c r="S678" s="107"/>
      <c r="T678" s="107"/>
      <c r="U678" s="107" t="str">
        <f t="shared" si="13"/>
        <v/>
      </c>
      <c r="V678" s="107"/>
      <c r="W678" s="107"/>
      <c r="X678" s="107"/>
      <c r="Y678" s="107"/>
      <c r="Z678" s="107"/>
      <c r="AA678" s="107"/>
      <c r="AB678" s="107"/>
      <c r="AC678" s="107"/>
      <c r="AD678" s="107"/>
      <c r="AE678" s="107"/>
      <c r="AF678" s="107"/>
      <c r="AG678" s="107"/>
      <c r="AH678" s="107"/>
      <c r="AI678" s="107"/>
      <c r="AJ678" s="107"/>
      <c r="AK678" s="107"/>
      <c r="AL678" s="107"/>
      <c r="AM678" s="107"/>
      <c r="AN678" s="107"/>
      <c r="AO678" s="107"/>
      <c r="AP678" s="107"/>
      <c r="AQ678" s="107"/>
      <c r="AR678" s="107"/>
      <c r="AS678" s="107"/>
      <c r="AT678" s="107"/>
      <c r="AU678" s="107"/>
      <c r="AV678" s="107"/>
      <c r="AW678" s="107"/>
      <c r="AX678" s="107"/>
      <c r="AY678" s="107"/>
      <c r="AZ678" s="107"/>
      <c r="BA678" s="107"/>
      <c r="BB678" s="107"/>
      <c r="BC678" s="107"/>
      <c r="BD678" s="107"/>
      <c r="BE678" s="107"/>
      <c r="BF678" s="107"/>
      <c r="BG678" s="107"/>
      <c r="BH678" s="107"/>
    </row>
    <row r="679" spans="1:60" x14ac:dyDescent="0.25">
      <c r="A679" s="96"/>
      <c r="B679" s="97"/>
      <c r="C679" s="97"/>
      <c r="D679" s="97"/>
      <c r="E679" s="98"/>
      <c r="F679" s="99" t="str">
        <f>IF(H679&lt;&gt;"",H679-Accueil!N$6+1/60/24,"")</f>
        <v/>
      </c>
      <c r="G679" s="97"/>
      <c r="H679" s="99"/>
      <c r="I679" s="99"/>
      <c r="J679" s="100"/>
      <c r="K679" s="101"/>
      <c r="L679" s="102"/>
      <c r="M679" s="103"/>
      <c r="N679" s="104"/>
      <c r="O679" s="97"/>
      <c r="P679" s="97"/>
      <c r="Q679" s="97"/>
      <c r="R679" s="105"/>
      <c r="S679" s="97"/>
      <c r="T679" s="97"/>
      <c r="U679" s="97" t="str">
        <f t="shared" si="13"/>
        <v/>
      </c>
      <c r="V679" s="97"/>
      <c r="W679" s="97"/>
      <c r="X679" s="97"/>
      <c r="Y679" s="97"/>
      <c r="Z679" s="97"/>
      <c r="AA679" s="97"/>
      <c r="AB679" s="97"/>
      <c r="AC679" s="97"/>
      <c r="AD679" s="97"/>
      <c r="AE679" s="97"/>
      <c r="AF679" s="97"/>
      <c r="AG679" s="97"/>
      <c r="AH679" s="97"/>
      <c r="AI679" s="97"/>
      <c r="AJ679" s="97"/>
      <c r="AK679" s="97"/>
      <c r="AL679" s="97"/>
      <c r="AM679" s="97"/>
      <c r="AN679" s="97"/>
      <c r="AO679" s="97"/>
      <c r="AP679" s="97"/>
      <c r="AQ679" s="97"/>
      <c r="AR679" s="97"/>
      <c r="AS679" s="97"/>
      <c r="AT679" s="97"/>
      <c r="AU679" s="97"/>
      <c r="AV679" s="97"/>
      <c r="AW679" s="97"/>
      <c r="AX679" s="97"/>
      <c r="AY679" s="97"/>
      <c r="AZ679" s="97"/>
      <c r="BA679" s="97"/>
      <c r="BB679" s="97"/>
      <c r="BC679" s="97"/>
      <c r="BD679" s="97"/>
      <c r="BE679" s="97"/>
      <c r="BF679" s="97"/>
      <c r="BG679" s="97"/>
      <c r="BH679" s="97"/>
    </row>
    <row r="680" spans="1:60" x14ac:dyDescent="0.25">
      <c r="A680" s="106"/>
      <c r="B680" s="107"/>
      <c r="C680" s="107"/>
      <c r="D680" s="107"/>
      <c r="E680" s="108"/>
      <c r="F680" s="109" t="str">
        <f>IF(H680&lt;&gt;"",H680-Accueil!N$6+1/60/24,"")</f>
        <v/>
      </c>
      <c r="G680" s="107"/>
      <c r="H680" s="109"/>
      <c r="I680" s="110"/>
      <c r="J680" s="110"/>
      <c r="K680" s="111"/>
      <c r="L680" s="112"/>
      <c r="M680" s="113"/>
      <c r="N680" s="114"/>
      <c r="O680" s="107"/>
      <c r="P680" s="107"/>
      <c r="Q680" s="115"/>
      <c r="R680" s="116"/>
      <c r="S680" s="107"/>
      <c r="T680" s="107"/>
      <c r="U680" s="107" t="str">
        <f t="shared" si="13"/>
        <v/>
      </c>
      <c r="V680" s="107"/>
      <c r="W680" s="107"/>
      <c r="X680" s="107"/>
      <c r="Y680" s="107"/>
      <c r="Z680" s="107"/>
      <c r="AA680" s="107"/>
      <c r="AB680" s="107"/>
      <c r="AC680" s="107"/>
      <c r="AD680" s="107"/>
      <c r="AE680" s="107"/>
      <c r="AF680" s="107"/>
      <c r="AG680" s="107"/>
      <c r="AH680" s="107"/>
      <c r="AI680" s="107"/>
      <c r="AJ680" s="107"/>
      <c r="AK680" s="107"/>
      <c r="AL680" s="107"/>
      <c r="AM680" s="107"/>
      <c r="AN680" s="107"/>
      <c r="AO680" s="107"/>
      <c r="AP680" s="107"/>
      <c r="AQ680" s="107"/>
      <c r="AR680" s="107"/>
      <c r="AS680" s="107"/>
      <c r="AT680" s="107"/>
      <c r="AU680" s="107"/>
      <c r="AV680" s="107"/>
      <c r="AW680" s="107"/>
      <c r="AX680" s="107"/>
      <c r="AY680" s="107"/>
      <c r="AZ680" s="107"/>
      <c r="BA680" s="107"/>
      <c r="BB680" s="107"/>
      <c r="BC680" s="107"/>
      <c r="BD680" s="107"/>
      <c r="BE680" s="107"/>
      <c r="BF680" s="107"/>
      <c r="BG680" s="107"/>
      <c r="BH680" s="107"/>
    </row>
    <row r="681" spans="1:60" x14ac:dyDescent="0.25">
      <c r="A681" s="96"/>
      <c r="B681" s="97"/>
      <c r="C681" s="97"/>
      <c r="D681" s="97"/>
      <c r="E681" s="98"/>
      <c r="F681" s="99" t="str">
        <f>IF(H681&lt;&gt;"",H681-Accueil!N$6+1/60/24,"")</f>
        <v/>
      </c>
      <c r="G681" s="97"/>
      <c r="H681" s="99"/>
      <c r="I681" s="99"/>
      <c r="J681" s="100"/>
      <c r="K681" s="101"/>
      <c r="L681" s="102"/>
      <c r="M681" s="103"/>
      <c r="N681" s="104"/>
      <c r="O681" s="97"/>
      <c r="P681" s="97"/>
      <c r="Q681" s="97"/>
      <c r="R681" s="105"/>
      <c r="S681" s="97"/>
      <c r="T681" s="97"/>
      <c r="U681" s="97" t="str">
        <f t="shared" si="13"/>
        <v/>
      </c>
      <c r="V681" s="97"/>
      <c r="W681" s="97"/>
      <c r="X681" s="97"/>
      <c r="Y681" s="97"/>
      <c r="Z681" s="97"/>
      <c r="AA681" s="97"/>
      <c r="AB681" s="97"/>
      <c r="AC681" s="97"/>
      <c r="AD681" s="97"/>
      <c r="AE681" s="97"/>
      <c r="AF681" s="97"/>
      <c r="AG681" s="97"/>
      <c r="AH681" s="97"/>
      <c r="AI681" s="97"/>
      <c r="AJ681" s="97"/>
      <c r="AK681" s="97"/>
      <c r="AL681" s="97"/>
      <c r="AM681" s="97"/>
      <c r="AN681" s="97"/>
      <c r="AO681" s="97"/>
      <c r="AP681" s="97"/>
      <c r="AQ681" s="97"/>
      <c r="AR681" s="97"/>
      <c r="AS681" s="97"/>
      <c r="AT681" s="97"/>
      <c r="AU681" s="97"/>
      <c r="AV681" s="97"/>
      <c r="AW681" s="97"/>
      <c r="AX681" s="97"/>
      <c r="AY681" s="97"/>
      <c r="AZ681" s="97"/>
      <c r="BA681" s="97"/>
      <c r="BB681" s="97"/>
      <c r="BC681" s="97"/>
      <c r="BD681" s="97"/>
      <c r="BE681" s="97"/>
      <c r="BF681" s="97"/>
      <c r="BG681" s="97"/>
      <c r="BH681" s="97"/>
    </row>
    <row r="682" spans="1:60" x14ac:dyDescent="0.25">
      <c r="A682" s="106"/>
      <c r="B682" s="107"/>
      <c r="C682" s="107"/>
      <c r="D682" s="107"/>
      <c r="E682" s="108"/>
      <c r="F682" s="109" t="str">
        <f>IF(H682&lt;&gt;"",H682-Accueil!N$6+1/60/24,"")</f>
        <v/>
      </c>
      <c r="G682" s="107"/>
      <c r="H682" s="109"/>
      <c r="I682" s="110"/>
      <c r="J682" s="110"/>
      <c r="K682" s="111"/>
      <c r="L682" s="112"/>
      <c r="M682" s="113"/>
      <c r="N682" s="114"/>
      <c r="O682" s="107"/>
      <c r="P682" s="107"/>
      <c r="Q682" s="115"/>
      <c r="R682" s="116"/>
      <c r="S682" s="107"/>
      <c r="T682" s="107"/>
      <c r="U682" s="107" t="str">
        <f t="shared" si="13"/>
        <v/>
      </c>
      <c r="V682" s="107"/>
      <c r="W682" s="107"/>
      <c r="X682" s="107"/>
      <c r="Y682" s="107"/>
      <c r="Z682" s="107"/>
      <c r="AA682" s="107"/>
      <c r="AB682" s="107"/>
      <c r="AC682" s="107"/>
      <c r="AD682" s="107"/>
      <c r="AE682" s="107"/>
      <c r="AF682" s="107"/>
      <c r="AG682" s="107"/>
      <c r="AH682" s="107"/>
      <c r="AI682" s="107"/>
      <c r="AJ682" s="107"/>
      <c r="AK682" s="107"/>
      <c r="AL682" s="107"/>
      <c r="AM682" s="107"/>
      <c r="AN682" s="107"/>
      <c r="AO682" s="107"/>
      <c r="AP682" s="107"/>
      <c r="AQ682" s="107"/>
      <c r="AR682" s="107"/>
      <c r="AS682" s="107"/>
      <c r="AT682" s="107"/>
      <c r="AU682" s="107"/>
      <c r="AV682" s="107"/>
      <c r="AW682" s="107"/>
      <c r="AX682" s="107"/>
      <c r="AY682" s="107"/>
      <c r="AZ682" s="107"/>
      <c r="BA682" s="107"/>
      <c r="BB682" s="107"/>
      <c r="BC682" s="107"/>
      <c r="BD682" s="107"/>
      <c r="BE682" s="107"/>
      <c r="BF682" s="107"/>
      <c r="BG682" s="107"/>
      <c r="BH682" s="107"/>
    </row>
    <row r="683" spans="1:60" x14ac:dyDescent="0.25">
      <c r="A683" s="96"/>
      <c r="B683" s="97"/>
      <c r="C683" s="97"/>
      <c r="D683" s="97"/>
      <c r="E683" s="98"/>
      <c r="F683" s="99" t="str">
        <f>IF(H683&lt;&gt;"",H683-Accueil!N$6+1/60/24,"")</f>
        <v/>
      </c>
      <c r="G683" s="97"/>
      <c r="H683" s="99"/>
      <c r="I683" s="99"/>
      <c r="J683" s="100"/>
      <c r="K683" s="101"/>
      <c r="L683" s="102"/>
      <c r="M683" s="103"/>
      <c r="N683" s="104"/>
      <c r="O683" s="97"/>
      <c r="P683" s="97"/>
      <c r="Q683" s="97"/>
      <c r="R683" s="105"/>
      <c r="S683" s="97"/>
      <c r="T683" s="97"/>
      <c r="U683" s="97" t="str">
        <f t="shared" si="13"/>
        <v/>
      </c>
      <c r="V683" s="97"/>
      <c r="W683" s="97"/>
      <c r="X683" s="97"/>
      <c r="Y683" s="97"/>
      <c r="Z683" s="97"/>
      <c r="AA683" s="97"/>
      <c r="AB683" s="97"/>
      <c r="AC683" s="97"/>
      <c r="AD683" s="97"/>
      <c r="AE683" s="97"/>
      <c r="AF683" s="97"/>
      <c r="AG683" s="97"/>
      <c r="AH683" s="97"/>
      <c r="AI683" s="97"/>
      <c r="AJ683" s="97"/>
      <c r="AK683" s="97"/>
      <c r="AL683" s="97"/>
      <c r="AM683" s="97"/>
      <c r="AN683" s="97"/>
      <c r="AO683" s="97"/>
      <c r="AP683" s="97"/>
      <c r="AQ683" s="97"/>
      <c r="AR683" s="97"/>
      <c r="AS683" s="97"/>
      <c r="AT683" s="97"/>
      <c r="AU683" s="97"/>
      <c r="AV683" s="97"/>
      <c r="AW683" s="97"/>
      <c r="AX683" s="97"/>
      <c r="AY683" s="97"/>
      <c r="AZ683" s="97"/>
      <c r="BA683" s="97"/>
      <c r="BB683" s="97"/>
      <c r="BC683" s="97"/>
      <c r="BD683" s="97"/>
      <c r="BE683" s="97"/>
      <c r="BF683" s="97"/>
      <c r="BG683" s="97"/>
      <c r="BH683" s="97"/>
    </row>
    <row r="684" spans="1:60" x14ac:dyDescent="0.25">
      <c r="A684" s="106"/>
      <c r="B684" s="107"/>
      <c r="C684" s="107"/>
      <c r="D684" s="107"/>
      <c r="E684" s="108"/>
      <c r="F684" s="109" t="str">
        <f>IF(H684&lt;&gt;"",H684-Accueil!N$6+1/60/24,"")</f>
        <v/>
      </c>
      <c r="G684" s="107"/>
      <c r="H684" s="109"/>
      <c r="I684" s="110"/>
      <c r="J684" s="110"/>
      <c r="K684" s="111"/>
      <c r="L684" s="112"/>
      <c r="M684" s="113"/>
      <c r="N684" s="114"/>
      <c r="O684" s="107"/>
      <c r="P684" s="107"/>
      <c r="Q684" s="115"/>
      <c r="R684" s="116"/>
      <c r="S684" s="107"/>
      <c r="T684" s="107"/>
      <c r="U684" s="107" t="str">
        <f t="shared" si="13"/>
        <v/>
      </c>
      <c r="V684" s="107"/>
      <c r="W684" s="107"/>
      <c r="X684" s="107"/>
      <c r="Y684" s="107"/>
      <c r="Z684" s="107"/>
      <c r="AA684" s="107"/>
      <c r="AB684" s="107"/>
      <c r="AC684" s="107"/>
      <c r="AD684" s="107"/>
      <c r="AE684" s="107"/>
      <c r="AF684" s="107"/>
      <c r="AG684" s="107"/>
      <c r="AH684" s="107"/>
      <c r="AI684" s="107"/>
      <c r="AJ684" s="107"/>
      <c r="AK684" s="107"/>
      <c r="AL684" s="107"/>
      <c r="AM684" s="107"/>
      <c r="AN684" s="107"/>
      <c r="AO684" s="107"/>
      <c r="AP684" s="107"/>
      <c r="AQ684" s="107"/>
      <c r="AR684" s="107"/>
      <c r="AS684" s="107"/>
      <c r="AT684" s="107"/>
      <c r="AU684" s="107"/>
      <c r="AV684" s="107"/>
      <c r="AW684" s="107"/>
      <c r="AX684" s="107"/>
      <c r="AY684" s="107"/>
      <c r="AZ684" s="107"/>
      <c r="BA684" s="107"/>
      <c r="BB684" s="107"/>
      <c r="BC684" s="107"/>
      <c r="BD684" s="107"/>
      <c r="BE684" s="107"/>
      <c r="BF684" s="107"/>
      <c r="BG684" s="107"/>
      <c r="BH684" s="107"/>
    </row>
    <row r="685" spans="1:60" x14ac:dyDescent="0.25">
      <c r="A685" s="96"/>
      <c r="B685" s="97"/>
      <c r="C685" s="97"/>
      <c r="D685" s="97"/>
      <c r="E685" s="98"/>
      <c r="F685" s="99" t="str">
        <f>IF(H685&lt;&gt;"",H685-Accueil!N$6+1/60/24,"")</f>
        <v/>
      </c>
      <c r="G685" s="97"/>
      <c r="H685" s="99"/>
      <c r="I685" s="99"/>
      <c r="J685" s="100"/>
      <c r="K685" s="101"/>
      <c r="L685" s="102"/>
      <c r="M685" s="103"/>
      <c r="N685" s="104"/>
      <c r="O685" s="97"/>
      <c r="P685" s="97"/>
      <c r="Q685" s="97"/>
      <c r="R685" s="105"/>
      <c r="S685" s="97"/>
      <c r="T685" s="97"/>
      <c r="U685" s="97" t="str">
        <f t="shared" si="13"/>
        <v/>
      </c>
      <c r="V685" s="97"/>
      <c r="W685" s="97"/>
      <c r="X685" s="97"/>
      <c r="Y685" s="97"/>
      <c r="Z685" s="97"/>
      <c r="AA685" s="97"/>
      <c r="AB685" s="97"/>
      <c r="AC685" s="97"/>
      <c r="AD685" s="97"/>
      <c r="AE685" s="97"/>
      <c r="AF685" s="97"/>
      <c r="AG685" s="97"/>
      <c r="AH685" s="97"/>
      <c r="AI685" s="97"/>
      <c r="AJ685" s="97"/>
      <c r="AK685" s="97"/>
      <c r="AL685" s="97"/>
      <c r="AM685" s="97"/>
      <c r="AN685" s="97"/>
      <c r="AO685" s="97"/>
      <c r="AP685" s="97"/>
      <c r="AQ685" s="97"/>
      <c r="AR685" s="97"/>
      <c r="AS685" s="97"/>
      <c r="AT685" s="97"/>
      <c r="AU685" s="97"/>
      <c r="AV685" s="97"/>
      <c r="AW685" s="97"/>
      <c r="AX685" s="97"/>
      <c r="AY685" s="97"/>
      <c r="AZ685" s="97"/>
      <c r="BA685" s="97"/>
      <c r="BB685" s="97"/>
      <c r="BC685" s="97"/>
      <c r="BD685" s="97"/>
      <c r="BE685" s="97"/>
      <c r="BF685" s="97"/>
      <c r="BG685" s="97"/>
      <c r="BH685" s="97"/>
    </row>
    <row r="686" spans="1:60" x14ac:dyDescent="0.25">
      <c r="A686" s="106"/>
      <c r="B686" s="107"/>
      <c r="C686" s="107"/>
      <c r="D686" s="107"/>
      <c r="E686" s="108"/>
      <c r="F686" s="109" t="str">
        <f>IF(H686&lt;&gt;"",H686-Accueil!N$6+1/60/24,"")</f>
        <v/>
      </c>
      <c r="G686" s="107"/>
      <c r="H686" s="109"/>
      <c r="I686" s="110"/>
      <c r="J686" s="110"/>
      <c r="K686" s="111"/>
      <c r="L686" s="112"/>
      <c r="M686" s="113"/>
      <c r="N686" s="114"/>
      <c r="O686" s="107"/>
      <c r="P686" s="107"/>
      <c r="Q686" s="115"/>
      <c r="R686" s="116"/>
      <c r="S686" s="107"/>
      <c r="T686" s="107"/>
      <c r="U686" s="107" t="str">
        <f t="shared" si="13"/>
        <v/>
      </c>
      <c r="V686" s="107"/>
      <c r="W686" s="107"/>
      <c r="X686" s="107"/>
      <c r="Y686" s="107"/>
      <c r="Z686" s="107"/>
      <c r="AA686" s="107"/>
      <c r="AB686" s="107"/>
      <c r="AC686" s="107"/>
      <c r="AD686" s="107"/>
      <c r="AE686" s="107"/>
      <c r="AF686" s="107"/>
      <c r="AG686" s="107"/>
      <c r="AH686" s="107"/>
      <c r="AI686" s="107"/>
      <c r="AJ686" s="107"/>
      <c r="AK686" s="107"/>
      <c r="AL686" s="107"/>
      <c r="AM686" s="107"/>
      <c r="AN686" s="107"/>
      <c r="AO686" s="107"/>
      <c r="AP686" s="107"/>
      <c r="AQ686" s="107"/>
      <c r="AR686" s="107"/>
      <c r="AS686" s="107"/>
      <c r="AT686" s="107"/>
      <c r="AU686" s="107"/>
      <c r="AV686" s="107"/>
      <c r="AW686" s="107"/>
      <c r="AX686" s="107"/>
      <c r="AY686" s="107"/>
      <c r="AZ686" s="107"/>
      <c r="BA686" s="107"/>
      <c r="BB686" s="107"/>
      <c r="BC686" s="107"/>
      <c r="BD686" s="107"/>
      <c r="BE686" s="107"/>
      <c r="BF686" s="107"/>
      <c r="BG686" s="107"/>
      <c r="BH686" s="107"/>
    </row>
    <row r="687" spans="1:60" x14ac:dyDescent="0.25">
      <c r="A687" s="96"/>
      <c r="B687" s="97"/>
      <c r="C687" s="97"/>
      <c r="D687" s="97"/>
      <c r="E687" s="98"/>
      <c r="F687" s="99" t="str">
        <f>IF(H687&lt;&gt;"",H687-Accueil!N$6+1/60/24,"")</f>
        <v/>
      </c>
      <c r="G687" s="97"/>
      <c r="H687" s="99"/>
      <c r="I687" s="99"/>
      <c r="J687" s="100"/>
      <c r="K687" s="101"/>
      <c r="L687" s="102"/>
      <c r="M687" s="103"/>
      <c r="N687" s="104"/>
      <c r="O687" s="97"/>
      <c r="P687" s="97"/>
      <c r="Q687" s="97"/>
      <c r="R687" s="105"/>
      <c r="S687" s="97"/>
      <c r="T687" s="97"/>
      <c r="U687" s="97" t="str">
        <f t="shared" si="13"/>
        <v/>
      </c>
      <c r="V687" s="97"/>
      <c r="W687" s="97"/>
      <c r="X687" s="97"/>
      <c r="Y687" s="97"/>
      <c r="Z687" s="97"/>
      <c r="AA687" s="97"/>
      <c r="AB687" s="97"/>
      <c r="AC687" s="97"/>
      <c r="AD687" s="97"/>
      <c r="AE687" s="97"/>
      <c r="AF687" s="97"/>
      <c r="AG687" s="97"/>
      <c r="AH687" s="97"/>
      <c r="AI687" s="97"/>
      <c r="AJ687" s="97"/>
      <c r="AK687" s="97"/>
      <c r="AL687" s="97"/>
      <c r="AM687" s="97"/>
      <c r="AN687" s="97"/>
      <c r="AO687" s="97"/>
      <c r="AP687" s="97"/>
      <c r="AQ687" s="97"/>
      <c r="AR687" s="97"/>
      <c r="AS687" s="97"/>
      <c r="AT687" s="97"/>
      <c r="AU687" s="97"/>
      <c r="AV687" s="97"/>
      <c r="AW687" s="97"/>
      <c r="AX687" s="97"/>
      <c r="AY687" s="97"/>
      <c r="AZ687" s="97"/>
      <c r="BA687" s="97"/>
      <c r="BB687" s="97"/>
      <c r="BC687" s="97"/>
      <c r="BD687" s="97"/>
      <c r="BE687" s="97"/>
      <c r="BF687" s="97"/>
      <c r="BG687" s="97"/>
      <c r="BH687" s="97"/>
    </row>
    <row r="688" spans="1:60" x14ac:dyDescent="0.25">
      <c r="A688" s="106"/>
      <c r="B688" s="107"/>
      <c r="C688" s="107"/>
      <c r="D688" s="107"/>
      <c r="E688" s="108"/>
      <c r="F688" s="109" t="str">
        <f>IF(H688&lt;&gt;"",H688-Accueil!N$6+1/60/24,"")</f>
        <v/>
      </c>
      <c r="G688" s="107"/>
      <c r="H688" s="109"/>
      <c r="I688" s="110"/>
      <c r="J688" s="110"/>
      <c r="K688" s="111"/>
      <c r="L688" s="112"/>
      <c r="M688" s="113"/>
      <c r="N688" s="114"/>
      <c r="O688" s="107"/>
      <c r="P688" s="107"/>
      <c r="Q688" s="115"/>
      <c r="R688" s="116"/>
      <c r="S688" s="107"/>
      <c r="T688" s="107"/>
      <c r="U688" s="107" t="str">
        <f t="shared" si="13"/>
        <v/>
      </c>
      <c r="V688" s="107"/>
      <c r="W688" s="107"/>
      <c r="X688" s="107"/>
      <c r="Y688" s="107"/>
      <c r="Z688" s="107"/>
      <c r="AA688" s="107"/>
      <c r="AB688" s="107"/>
      <c r="AC688" s="107"/>
      <c r="AD688" s="107"/>
      <c r="AE688" s="107"/>
      <c r="AF688" s="107"/>
      <c r="AG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R688" s="107"/>
      <c r="AS688" s="107"/>
      <c r="AT688" s="107"/>
      <c r="AU688" s="107"/>
      <c r="AV688" s="107"/>
      <c r="AW688" s="107"/>
      <c r="AX688" s="107"/>
      <c r="AY688" s="107"/>
      <c r="AZ688" s="107"/>
      <c r="BA688" s="107"/>
      <c r="BB688" s="107"/>
      <c r="BC688" s="107"/>
      <c r="BD688" s="107"/>
      <c r="BE688" s="107"/>
      <c r="BF688" s="107"/>
      <c r="BG688" s="107"/>
      <c r="BH688" s="107"/>
    </row>
    <row r="689" spans="1:60" x14ac:dyDescent="0.25">
      <c r="A689" s="96"/>
      <c r="B689" s="97"/>
      <c r="C689" s="97"/>
      <c r="D689" s="97"/>
      <c r="E689" s="98"/>
      <c r="F689" s="99" t="str">
        <f>IF(H689&lt;&gt;"",H689-Accueil!N$6+1/60/24,"")</f>
        <v/>
      </c>
      <c r="G689" s="97"/>
      <c r="H689" s="99"/>
      <c r="I689" s="99"/>
      <c r="J689" s="100"/>
      <c r="K689" s="101"/>
      <c r="L689" s="102"/>
      <c r="M689" s="103"/>
      <c r="N689" s="104"/>
      <c r="O689" s="97"/>
      <c r="P689" s="97"/>
      <c r="Q689" s="97"/>
      <c r="R689" s="105"/>
      <c r="S689" s="97"/>
      <c r="T689" s="97"/>
      <c r="U689" s="97" t="str">
        <f t="shared" si="13"/>
        <v/>
      </c>
      <c r="V689" s="97"/>
      <c r="W689" s="97"/>
      <c r="X689" s="97"/>
      <c r="Y689" s="97"/>
      <c r="Z689" s="97"/>
      <c r="AA689" s="97"/>
      <c r="AB689" s="97"/>
      <c r="AC689" s="97"/>
      <c r="AD689" s="97"/>
      <c r="AE689" s="97"/>
      <c r="AF689" s="97"/>
      <c r="AG689" s="97"/>
      <c r="AH689" s="97"/>
      <c r="AI689" s="97"/>
      <c r="AJ689" s="97"/>
      <c r="AK689" s="97"/>
      <c r="AL689" s="97"/>
      <c r="AM689" s="97"/>
      <c r="AN689" s="97"/>
      <c r="AO689" s="97"/>
      <c r="AP689" s="97"/>
      <c r="AQ689" s="97"/>
      <c r="AR689" s="97"/>
      <c r="AS689" s="97"/>
      <c r="AT689" s="97"/>
      <c r="AU689" s="97"/>
      <c r="AV689" s="97"/>
      <c r="AW689" s="97"/>
      <c r="AX689" s="97"/>
      <c r="AY689" s="97"/>
      <c r="AZ689" s="97"/>
      <c r="BA689" s="97"/>
      <c r="BB689" s="97"/>
      <c r="BC689" s="97"/>
      <c r="BD689" s="97"/>
      <c r="BE689" s="97"/>
      <c r="BF689" s="97"/>
      <c r="BG689" s="97"/>
      <c r="BH689" s="97"/>
    </row>
    <row r="690" spans="1:60" x14ac:dyDescent="0.25">
      <c r="A690" s="106"/>
      <c r="B690" s="107"/>
      <c r="C690" s="107"/>
      <c r="D690" s="107"/>
      <c r="E690" s="108"/>
      <c r="F690" s="109" t="str">
        <f>IF(H690&lt;&gt;"",H690-Accueil!N$6+1/60/24,"")</f>
        <v/>
      </c>
      <c r="G690" s="107"/>
      <c r="H690" s="109"/>
      <c r="I690" s="110"/>
      <c r="J690" s="110"/>
      <c r="K690" s="111"/>
      <c r="L690" s="112"/>
      <c r="M690" s="113"/>
      <c r="N690" s="114"/>
      <c r="O690" s="107"/>
      <c r="P690" s="107"/>
      <c r="Q690" s="115"/>
      <c r="R690" s="116"/>
      <c r="S690" s="107"/>
      <c r="T690" s="107"/>
      <c r="U690" s="107" t="str">
        <f t="shared" si="13"/>
        <v/>
      </c>
      <c r="V690" s="107"/>
      <c r="W690" s="107"/>
      <c r="X690" s="107"/>
      <c r="Y690" s="107"/>
      <c r="Z690" s="107"/>
      <c r="AA690" s="107"/>
      <c r="AB690" s="107"/>
      <c r="AC690" s="107"/>
      <c r="AD690" s="107"/>
      <c r="AE690" s="107"/>
      <c r="AF690" s="107"/>
      <c r="AG690" s="107"/>
      <c r="AH690" s="107"/>
      <c r="AI690" s="107"/>
      <c r="AJ690" s="107"/>
      <c r="AK690" s="107"/>
      <c r="AL690" s="107"/>
      <c r="AM690" s="107"/>
      <c r="AN690" s="107"/>
      <c r="AO690" s="107"/>
      <c r="AP690" s="107"/>
      <c r="AQ690" s="107"/>
      <c r="AR690" s="107"/>
      <c r="AS690" s="107"/>
      <c r="AT690" s="107"/>
      <c r="AU690" s="107"/>
      <c r="AV690" s="107"/>
      <c r="AW690" s="107"/>
      <c r="AX690" s="107"/>
      <c r="AY690" s="107"/>
      <c r="AZ690" s="107"/>
      <c r="BA690" s="107"/>
      <c r="BB690" s="107"/>
      <c r="BC690" s="107"/>
      <c r="BD690" s="107"/>
      <c r="BE690" s="107"/>
      <c r="BF690" s="107"/>
      <c r="BG690" s="107"/>
      <c r="BH690" s="107"/>
    </row>
    <row r="691" spans="1:60" x14ac:dyDescent="0.25">
      <c r="A691" s="96"/>
      <c r="B691" s="97"/>
      <c r="C691" s="97"/>
      <c r="D691" s="97"/>
      <c r="E691" s="98"/>
      <c r="F691" s="99" t="str">
        <f>IF(H691&lt;&gt;"",H691-Accueil!N$6+1/60/24,"")</f>
        <v/>
      </c>
      <c r="G691" s="97"/>
      <c r="H691" s="99"/>
      <c r="I691" s="99"/>
      <c r="J691" s="100"/>
      <c r="K691" s="101"/>
      <c r="L691" s="102"/>
      <c r="M691" s="103"/>
      <c r="N691" s="104"/>
      <c r="O691" s="97"/>
      <c r="P691" s="97"/>
      <c r="Q691" s="97"/>
      <c r="R691" s="105"/>
      <c r="S691" s="97"/>
      <c r="T691" s="97"/>
      <c r="U691" s="97" t="str">
        <f t="shared" si="13"/>
        <v/>
      </c>
      <c r="V691" s="97"/>
      <c r="W691" s="97"/>
      <c r="X691" s="97"/>
      <c r="Y691" s="97"/>
      <c r="Z691" s="97"/>
      <c r="AA691" s="97"/>
      <c r="AB691" s="97"/>
      <c r="AC691" s="97"/>
      <c r="AD691" s="97"/>
      <c r="AE691" s="97"/>
      <c r="AF691" s="97"/>
      <c r="AG691" s="97"/>
      <c r="AH691" s="97"/>
      <c r="AI691" s="97"/>
      <c r="AJ691" s="97"/>
      <c r="AK691" s="97"/>
      <c r="AL691" s="97"/>
      <c r="AM691" s="97"/>
      <c r="AN691" s="97"/>
      <c r="AO691" s="97"/>
      <c r="AP691" s="97"/>
      <c r="AQ691" s="97"/>
      <c r="AR691" s="97"/>
      <c r="AS691" s="97"/>
      <c r="AT691" s="97"/>
      <c r="AU691" s="97"/>
      <c r="AV691" s="97"/>
      <c r="AW691" s="97"/>
      <c r="AX691" s="97"/>
      <c r="AY691" s="97"/>
      <c r="AZ691" s="97"/>
      <c r="BA691" s="97"/>
      <c r="BB691" s="97"/>
      <c r="BC691" s="97"/>
      <c r="BD691" s="97"/>
      <c r="BE691" s="97"/>
      <c r="BF691" s="97"/>
      <c r="BG691" s="97"/>
      <c r="BH691" s="97"/>
    </row>
    <row r="692" spans="1:60" x14ac:dyDescent="0.25">
      <c r="A692" s="106"/>
      <c r="B692" s="107"/>
      <c r="C692" s="107"/>
      <c r="D692" s="107"/>
      <c r="E692" s="108"/>
      <c r="F692" s="109" t="str">
        <f>IF(H692&lt;&gt;"",H692-Accueil!N$6+1/60/24,"")</f>
        <v/>
      </c>
      <c r="G692" s="107"/>
      <c r="H692" s="109"/>
      <c r="I692" s="110"/>
      <c r="J692" s="110"/>
      <c r="K692" s="111"/>
      <c r="L692" s="112"/>
      <c r="M692" s="113"/>
      <c r="N692" s="114"/>
      <c r="O692" s="107"/>
      <c r="P692" s="107"/>
      <c r="Q692" s="115"/>
      <c r="R692" s="116"/>
      <c r="S692" s="107"/>
      <c r="T692" s="107"/>
      <c r="U692" s="107" t="str">
        <f t="shared" si="13"/>
        <v/>
      </c>
      <c r="V692" s="107"/>
      <c r="W692" s="107"/>
      <c r="X692" s="107"/>
      <c r="Y692" s="107"/>
      <c r="Z692" s="107"/>
      <c r="AA692" s="107"/>
      <c r="AB692" s="107"/>
      <c r="AC692" s="107"/>
      <c r="AD692" s="107"/>
      <c r="AE692" s="107"/>
      <c r="AF692" s="107"/>
      <c r="AG692" s="107"/>
      <c r="AH692" s="107"/>
      <c r="AI692" s="107"/>
      <c r="AJ692" s="107"/>
      <c r="AK692" s="107"/>
      <c r="AL692" s="107"/>
      <c r="AM692" s="107"/>
      <c r="AN692" s="107"/>
      <c r="AO692" s="107"/>
      <c r="AP692" s="107"/>
      <c r="AQ692" s="107"/>
      <c r="AR692" s="107"/>
      <c r="AS692" s="107"/>
      <c r="AT692" s="107"/>
      <c r="AU692" s="107"/>
      <c r="AV692" s="107"/>
      <c r="AW692" s="107"/>
      <c r="AX692" s="107"/>
      <c r="AY692" s="107"/>
      <c r="AZ692" s="107"/>
      <c r="BA692" s="107"/>
      <c r="BB692" s="107"/>
      <c r="BC692" s="107"/>
      <c r="BD692" s="107"/>
      <c r="BE692" s="107"/>
      <c r="BF692" s="107"/>
      <c r="BG692" s="107"/>
      <c r="BH692" s="107"/>
    </row>
    <row r="693" spans="1:60" x14ac:dyDescent="0.25">
      <c r="A693" s="96"/>
      <c r="B693" s="97"/>
      <c r="C693" s="97"/>
      <c r="D693" s="97"/>
      <c r="E693" s="98"/>
      <c r="F693" s="99" t="str">
        <f>IF(H693&lt;&gt;"",H693-Accueil!N$6+1/60/24,"")</f>
        <v/>
      </c>
      <c r="G693" s="97"/>
      <c r="H693" s="99"/>
      <c r="I693" s="99"/>
      <c r="J693" s="100"/>
      <c r="K693" s="101"/>
      <c r="L693" s="102"/>
      <c r="M693" s="103"/>
      <c r="N693" s="104"/>
      <c r="O693" s="97"/>
      <c r="P693" s="97"/>
      <c r="Q693" s="97"/>
      <c r="R693" s="105"/>
      <c r="S693" s="97"/>
      <c r="T693" s="97"/>
      <c r="U693" s="97" t="str">
        <f t="shared" si="13"/>
        <v/>
      </c>
      <c r="V693" s="97"/>
      <c r="W693" s="97"/>
      <c r="X693" s="97"/>
      <c r="Y693" s="97"/>
      <c r="Z693" s="97"/>
      <c r="AA693" s="97"/>
      <c r="AB693" s="97"/>
      <c r="AC693" s="97"/>
      <c r="AD693" s="97"/>
      <c r="AE693" s="97"/>
      <c r="AF693" s="97"/>
      <c r="AG693" s="97"/>
      <c r="AH693" s="97"/>
      <c r="AI693" s="97"/>
      <c r="AJ693" s="97"/>
      <c r="AK693" s="97"/>
      <c r="AL693" s="97"/>
      <c r="AM693" s="97"/>
      <c r="AN693" s="97"/>
      <c r="AO693" s="97"/>
      <c r="AP693" s="97"/>
      <c r="AQ693" s="97"/>
      <c r="AR693" s="97"/>
      <c r="AS693" s="97"/>
      <c r="AT693" s="97"/>
      <c r="AU693" s="97"/>
      <c r="AV693" s="97"/>
      <c r="AW693" s="97"/>
      <c r="AX693" s="97"/>
      <c r="AY693" s="97"/>
      <c r="AZ693" s="97"/>
      <c r="BA693" s="97"/>
      <c r="BB693" s="97"/>
      <c r="BC693" s="97"/>
      <c r="BD693" s="97"/>
      <c r="BE693" s="97"/>
      <c r="BF693" s="97"/>
      <c r="BG693" s="97"/>
      <c r="BH693" s="97"/>
    </row>
    <row r="694" spans="1:60" x14ac:dyDescent="0.25">
      <c r="A694" s="106"/>
      <c r="B694" s="107"/>
      <c r="C694" s="107"/>
      <c r="D694" s="107"/>
      <c r="E694" s="108"/>
      <c r="F694" s="109" t="str">
        <f>IF(H694&lt;&gt;"",H694-Accueil!N$6+1/60/24,"")</f>
        <v/>
      </c>
      <c r="G694" s="107"/>
      <c r="H694" s="109"/>
      <c r="I694" s="110"/>
      <c r="J694" s="110"/>
      <c r="K694" s="111"/>
      <c r="L694" s="112"/>
      <c r="M694" s="113"/>
      <c r="N694" s="114"/>
      <c r="O694" s="107"/>
      <c r="P694" s="107"/>
      <c r="Q694" s="115"/>
      <c r="R694" s="116"/>
      <c r="S694" s="107"/>
      <c r="T694" s="107"/>
      <c r="U694" s="107" t="str">
        <f t="shared" si="13"/>
        <v/>
      </c>
      <c r="V694" s="107"/>
      <c r="W694" s="107"/>
      <c r="X694" s="107"/>
      <c r="Y694" s="107"/>
      <c r="Z694" s="107"/>
      <c r="AA694" s="107"/>
      <c r="AB694" s="107"/>
      <c r="AC694" s="107"/>
      <c r="AD694" s="107"/>
      <c r="AE694" s="107"/>
      <c r="AF694" s="107"/>
      <c r="AG694" s="107"/>
      <c r="AH694" s="107"/>
      <c r="AI694" s="107"/>
      <c r="AJ694" s="107"/>
      <c r="AK694" s="107"/>
      <c r="AL694" s="107"/>
      <c r="AM694" s="107"/>
      <c r="AN694" s="107"/>
      <c r="AO694" s="107"/>
      <c r="AP694" s="107"/>
      <c r="AQ694" s="107"/>
      <c r="AR694" s="107"/>
      <c r="AS694" s="107"/>
      <c r="AT694" s="107"/>
      <c r="AU694" s="107"/>
      <c r="AV694" s="107"/>
      <c r="AW694" s="107"/>
      <c r="AX694" s="107"/>
      <c r="AY694" s="107"/>
      <c r="AZ694" s="107"/>
      <c r="BA694" s="107"/>
      <c r="BB694" s="107"/>
      <c r="BC694" s="107"/>
      <c r="BD694" s="107"/>
      <c r="BE694" s="107"/>
      <c r="BF694" s="107"/>
      <c r="BG694" s="107"/>
      <c r="BH694" s="107"/>
    </row>
    <row r="695" spans="1:60" x14ac:dyDescent="0.25">
      <c r="A695" s="96"/>
      <c r="B695" s="97"/>
      <c r="C695" s="97"/>
      <c r="D695" s="97"/>
      <c r="E695" s="98"/>
      <c r="F695" s="99" t="str">
        <f>IF(H695&lt;&gt;"",H695-Accueil!N$6+1/60/24,"")</f>
        <v/>
      </c>
      <c r="G695" s="97"/>
      <c r="H695" s="99"/>
      <c r="I695" s="99"/>
      <c r="J695" s="100"/>
      <c r="K695" s="101"/>
      <c r="L695" s="102"/>
      <c r="M695" s="103"/>
      <c r="N695" s="104"/>
      <c r="O695" s="97"/>
      <c r="P695" s="97"/>
      <c r="Q695" s="97"/>
      <c r="R695" s="105"/>
      <c r="S695" s="97"/>
      <c r="T695" s="97"/>
      <c r="U695" s="97" t="str">
        <f t="shared" si="13"/>
        <v/>
      </c>
      <c r="V695" s="97"/>
      <c r="W695" s="97"/>
      <c r="X695" s="97"/>
      <c r="Y695" s="97"/>
      <c r="Z695" s="97"/>
      <c r="AA695" s="97"/>
      <c r="AB695" s="97"/>
      <c r="AC695" s="97"/>
      <c r="AD695" s="97"/>
      <c r="AE695" s="97"/>
      <c r="AF695" s="97"/>
      <c r="AG695" s="97"/>
      <c r="AH695" s="97"/>
      <c r="AI695" s="97"/>
      <c r="AJ695" s="97"/>
      <c r="AK695" s="97"/>
      <c r="AL695" s="97"/>
      <c r="AM695" s="97"/>
      <c r="AN695" s="97"/>
      <c r="AO695" s="97"/>
      <c r="AP695" s="97"/>
      <c r="AQ695" s="97"/>
      <c r="AR695" s="97"/>
      <c r="AS695" s="97"/>
      <c r="AT695" s="97"/>
      <c r="AU695" s="97"/>
      <c r="AV695" s="97"/>
      <c r="AW695" s="97"/>
      <c r="AX695" s="97"/>
      <c r="AY695" s="97"/>
      <c r="AZ695" s="97"/>
      <c r="BA695" s="97"/>
      <c r="BB695" s="97"/>
      <c r="BC695" s="97"/>
      <c r="BD695" s="97"/>
      <c r="BE695" s="97"/>
      <c r="BF695" s="97"/>
      <c r="BG695" s="97"/>
      <c r="BH695" s="97"/>
    </row>
    <row r="696" spans="1:60" x14ac:dyDescent="0.25">
      <c r="A696" s="106"/>
      <c r="B696" s="107"/>
      <c r="C696" s="107"/>
      <c r="D696" s="107"/>
      <c r="E696" s="108"/>
      <c r="F696" s="109" t="str">
        <f>IF(H696&lt;&gt;"",H696-Accueil!N$6+1/60/24,"")</f>
        <v/>
      </c>
      <c r="G696" s="107"/>
      <c r="H696" s="109"/>
      <c r="I696" s="110"/>
      <c r="J696" s="110"/>
      <c r="K696" s="111"/>
      <c r="L696" s="112"/>
      <c r="M696" s="113"/>
      <c r="N696" s="114"/>
      <c r="O696" s="107"/>
      <c r="P696" s="107"/>
      <c r="Q696" s="115"/>
      <c r="R696" s="116"/>
      <c r="S696" s="107"/>
      <c r="T696" s="107"/>
      <c r="U696" s="107" t="str">
        <f t="shared" si="13"/>
        <v/>
      </c>
      <c r="V696" s="107"/>
      <c r="W696" s="107"/>
      <c r="X696" s="107"/>
      <c r="Y696" s="107"/>
      <c r="Z696" s="107"/>
      <c r="AA696" s="107"/>
      <c r="AB696" s="107"/>
      <c r="AC696" s="107"/>
      <c r="AD696" s="107"/>
      <c r="AE696" s="107"/>
      <c r="AF696" s="107"/>
      <c r="AG696" s="107"/>
      <c r="AH696" s="107"/>
      <c r="AI696" s="107"/>
      <c r="AJ696" s="107"/>
      <c r="AK696" s="107"/>
      <c r="AL696" s="107"/>
      <c r="AM696" s="107"/>
      <c r="AN696" s="107"/>
      <c r="AO696" s="107"/>
      <c r="AP696" s="107"/>
      <c r="AQ696" s="107"/>
      <c r="AR696" s="107"/>
      <c r="AS696" s="107"/>
      <c r="AT696" s="107"/>
      <c r="AU696" s="107"/>
      <c r="AV696" s="107"/>
      <c r="AW696" s="107"/>
      <c r="AX696" s="107"/>
      <c r="AY696" s="107"/>
      <c r="AZ696" s="107"/>
      <c r="BA696" s="107"/>
      <c r="BB696" s="107"/>
      <c r="BC696" s="107"/>
      <c r="BD696" s="107"/>
      <c r="BE696" s="107"/>
      <c r="BF696" s="107"/>
      <c r="BG696" s="107"/>
      <c r="BH696" s="107"/>
    </row>
    <row r="697" spans="1:60" x14ac:dyDescent="0.25">
      <c r="A697" s="96"/>
      <c r="B697" s="97"/>
      <c r="C697" s="97"/>
      <c r="D697" s="97"/>
      <c r="E697" s="98"/>
      <c r="F697" s="99" t="str">
        <f>IF(H697&lt;&gt;"",H697-Accueil!N$6+1/60/24,"")</f>
        <v/>
      </c>
      <c r="G697" s="97"/>
      <c r="H697" s="99"/>
      <c r="I697" s="99"/>
      <c r="J697" s="100"/>
      <c r="K697" s="101"/>
      <c r="L697" s="102"/>
      <c r="M697" s="103"/>
      <c r="N697" s="104"/>
      <c r="O697" s="97"/>
      <c r="P697" s="97"/>
      <c r="Q697" s="97"/>
      <c r="R697" s="105"/>
      <c r="S697" s="97"/>
      <c r="T697" s="97"/>
      <c r="U697" s="97" t="str">
        <f t="shared" si="13"/>
        <v/>
      </c>
      <c r="V697" s="97"/>
      <c r="W697" s="97"/>
      <c r="X697" s="97"/>
      <c r="Y697" s="97"/>
      <c r="Z697" s="97"/>
      <c r="AA697" s="97"/>
      <c r="AB697" s="97"/>
      <c r="AC697" s="97"/>
      <c r="AD697" s="97"/>
      <c r="AE697" s="97"/>
      <c r="AF697" s="97"/>
      <c r="AG697" s="97"/>
      <c r="AH697" s="97"/>
      <c r="AI697" s="97"/>
      <c r="AJ697" s="97"/>
      <c r="AK697" s="97"/>
      <c r="AL697" s="97"/>
      <c r="AM697" s="97"/>
      <c r="AN697" s="97"/>
      <c r="AO697" s="97"/>
      <c r="AP697" s="97"/>
      <c r="AQ697" s="97"/>
      <c r="AR697" s="97"/>
      <c r="AS697" s="97"/>
      <c r="AT697" s="97"/>
      <c r="AU697" s="97"/>
      <c r="AV697" s="97"/>
      <c r="AW697" s="97"/>
      <c r="AX697" s="97"/>
      <c r="AY697" s="97"/>
      <c r="AZ697" s="97"/>
      <c r="BA697" s="97"/>
      <c r="BB697" s="97"/>
      <c r="BC697" s="97"/>
      <c r="BD697" s="97"/>
      <c r="BE697" s="97"/>
      <c r="BF697" s="97"/>
      <c r="BG697" s="97"/>
      <c r="BH697" s="97"/>
    </row>
    <row r="698" spans="1:60" x14ac:dyDescent="0.25">
      <c r="A698" s="106"/>
      <c r="B698" s="107"/>
      <c r="C698" s="107"/>
      <c r="D698" s="107"/>
      <c r="E698" s="108"/>
      <c r="F698" s="109" t="str">
        <f>IF(H698&lt;&gt;"",H698-Accueil!N$6+1/60/24,"")</f>
        <v/>
      </c>
      <c r="G698" s="107"/>
      <c r="H698" s="109"/>
      <c r="I698" s="110"/>
      <c r="J698" s="110"/>
      <c r="K698" s="111"/>
      <c r="L698" s="112"/>
      <c r="M698" s="113"/>
      <c r="N698" s="114"/>
      <c r="O698" s="107"/>
      <c r="P698" s="107"/>
      <c r="Q698" s="115"/>
      <c r="R698" s="116"/>
      <c r="S698" s="107"/>
      <c r="T698" s="107"/>
      <c r="U698" s="107" t="str">
        <f t="shared" si="13"/>
        <v/>
      </c>
      <c r="V698" s="107"/>
      <c r="W698" s="107"/>
      <c r="X698" s="107"/>
      <c r="Y698" s="107"/>
      <c r="Z698" s="107"/>
      <c r="AA698" s="107"/>
      <c r="AB698" s="107"/>
      <c r="AC698" s="107"/>
      <c r="AD698" s="107"/>
      <c r="AE698" s="107"/>
      <c r="AF698" s="107"/>
      <c r="AG698" s="107"/>
      <c r="AH698" s="107"/>
      <c r="AI698" s="107"/>
      <c r="AJ698" s="107"/>
      <c r="AK698" s="107"/>
      <c r="AL698" s="107"/>
      <c r="AM698" s="107"/>
      <c r="AN698" s="107"/>
      <c r="AO698" s="107"/>
      <c r="AP698" s="107"/>
      <c r="AQ698" s="107"/>
      <c r="AR698" s="107"/>
      <c r="AS698" s="107"/>
      <c r="AT698" s="107"/>
      <c r="AU698" s="107"/>
      <c r="AV698" s="107"/>
      <c r="AW698" s="107"/>
      <c r="AX698" s="107"/>
      <c r="AY698" s="107"/>
      <c r="AZ698" s="107"/>
      <c r="BA698" s="107"/>
      <c r="BB698" s="107"/>
      <c r="BC698" s="107"/>
      <c r="BD698" s="107"/>
      <c r="BE698" s="107"/>
      <c r="BF698" s="107"/>
      <c r="BG698" s="107"/>
      <c r="BH698" s="107"/>
    </row>
    <row r="699" spans="1:60" x14ac:dyDescent="0.25">
      <c r="A699" s="96"/>
      <c r="B699" s="97"/>
      <c r="C699" s="97"/>
      <c r="D699" s="97"/>
      <c r="E699" s="98"/>
      <c r="F699" s="99" t="str">
        <f>IF(H699&lt;&gt;"",H699-Accueil!N$6+1/60/24,"")</f>
        <v/>
      </c>
      <c r="G699" s="97"/>
      <c r="H699" s="99"/>
      <c r="I699" s="99"/>
      <c r="J699" s="100"/>
      <c r="K699" s="101"/>
      <c r="L699" s="102"/>
      <c r="M699" s="103"/>
      <c r="N699" s="104"/>
      <c r="O699" s="97"/>
      <c r="P699" s="97"/>
      <c r="Q699" s="97"/>
      <c r="R699" s="105"/>
      <c r="S699" s="97"/>
      <c r="T699" s="97"/>
      <c r="U699" s="97" t="str">
        <f t="shared" si="13"/>
        <v/>
      </c>
      <c r="V699" s="97"/>
      <c r="W699" s="97"/>
      <c r="X699" s="97"/>
      <c r="Y699" s="97"/>
      <c r="Z699" s="97"/>
      <c r="AA699" s="97"/>
      <c r="AB699" s="97"/>
      <c r="AC699" s="97"/>
      <c r="AD699" s="97"/>
      <c r="AE699" s="97"/>
      <c r="AF699" s="97"/>
      <c r="AG699" s="97"/>
      <c r="AH699" s="97"/>
      <c r="AI699" s="97"/>
      <c r="AJ699" s="97"/>
      <c r="AK699" s="97"/>
      <c r="AL699" s="97"/>
      <c r="AM699" s="97"/>
      <c r="AN699" s="97"/>
      <c r="AO699" s="97"/>
      <c r="AP699" s="97"/>
      <c r="AQ699" s="97"/>
      <c r="AR699" s="97"/>
      <c r="AS699" s="97"/>
      <c r="AT699" s="97"/>
      <c r="AU699" s="97"/>
      <c r="AV699" s="97"/>
      <c r="AW699" s="97"/>
      <c r="AX699" s="97"/>
      <c r="AY699" s="97"/>
      <c r="AZ699" s="97"/>
      <c r="BA699" s="97"/>
      <c r="BB699" s="97"/>
      <c r="BC699" s="97"/>
      <c r="BD699" s="97"/>
      <c r="BE699" s="97"/>
      <c r="BF699" s="97"/>
      <c r="BG699" s="97"/>
      <c r="BH699" s="97"/>
    </row>
    <row r="700" spans="1:60" x14ac:dyDescent="0.25">
      <c r="A700" s="106"/>
      <c r="B700" s="107"/>
      <c r="C700" s="107"/>
      <c r="D700" s="107"/>
      <c r="E700" s="108"/>
      <c r="F700" s="109" t="str">
        <f>IF(H700&lt;&gt;"",H700-Accueil!N$6+1/60/24,"")</f>
        <v/>
      </c>
      <c r="G700" s="107"/>
      <c r="H700" s="109"/>
      <c r="I700" s="110"/>
      <c r="J700" s="110"/>
      <c r="K700" s="111"/>
      <c r="L700" s="112"/>
      <c r="M700" s="113"/>
      <c r="N700" s="114"/>
      <c r="O700" s="107"/>
      <c r="P700" s="107"/>
      <c r="Q700" s="115"/>
      <c r="R700" s="116"/>
      <c r="S700" s="107"/>
      <c r="T700" s="107"/>
      <c r="U700" s="107" t="str">
        <f t="shared" si="13"/>
        <v/>
      </c>
      <c r="V700" s="107"/>
      <c r="W700" s="107"/>
      <c r="X700" s="107"/>
      <c r="Y700" s="107"/>
      <c r="Z700" s="107"/>
      <c r="AA700" s="107"/>
      <c r="AB700" s="107"/>
      <c r="AC700" s="107"/>
      <c r="AD700" s="107"/>
      <c r="AE700" s="107"/>
      <c r="AF700" s="107"/>
      <c r="AG700" s="107"/>
      <c r="AH700" s="107"/>
      <c r="AI700" s="107"/>
      <c r="AJ700" s="107"/>
      <c r="AK700" s="107"/>
      <c r="AL700" s="107"/>
      <c r="AM700" s="107"/>
      <c r="AN700" s="107"/>
      <c r="AO700" s="107"/>
      <c r="AP700" s="107"/>
      <c r="AQ700" s="107"/>
      <c r="AR700" s="107"/>
      <c r="AS700" s="107"/>
      <c r="AT700" s="107"/>
      <c r="AU700" s="107"/>
      <c r="AV700" s="107"/>
      <c r="AW700" s="107"/>
      <c r="AX700" s="107"/>
      <c r="AY700" s="107"/>
      <c r="AZ700" s="107"/>
      <c r="BA700" s="107"/>
      <c r="BB700" s="107"/>
      <c r="BC700" s="107"/>
      <c r="BD700" s="107"/>
      <c r="BE700" s="107"/>
      <c r="BF700" s="107"/>
      <c r="BG700" s="107"/>
      <c r="BH700" s="107"/>
    </row>
    <row r="701" spans="1:60" x14ac:dyDescent="0.25">
      <c r="A701" s="96"/>
      <c r="B701" s="97"/>
      <c r="C701" s="97"/>
      <c r="D701" s="97"/>
      <c r="E701" s="98"/>
      <c r="F701" s="99" t="str">
        <f>IF(H701&lt;&gt;"",H701-Accueil!N$6+1/60/24,"")</f>
        <v/>
      </c>
      <c r="G701" s="97"/>
      <c r="H701" s="99"/>
      <c r="I701" s="99"/>
      <c r="J701" s="100"/>
      <c r="K701" s="101"/>
      <c r="L701" s="102"/>
      <c r="M701" s="103"/>
      <c r="N701" s="104"/>
      <c r="O701" s="97"/>
      <c r="P701" s="97"/>
      <c r="Q701" s="97"/>
      <c r="R701" s="105"/>
      <c r="S701" s="97"/>
      <c r="T701" s="97"/>
      <c r="U701" s="97" t="str">
        <f t="shared" si="13"/>
        <v/>
      </c>
      <c r="V701" s="97"/>
      <c r="W701" s="97"/>
      <c r="X701" s="97"/>
      <c r="Y701" s="97"/>
      <c r="Z701" s="97"/>
      <c r="AA701" s="97"/>
      <c r="AB701" s="97"/>
      <c r="AC701" s="97"/>
      <c r="AD701" s="97"/>
      <c r="AE701" s="97"/>
      <c r="AF701" s="97"/>
      <c r="AG701" s="97"/>
      <c r="AH701" s="97"/>
      <c r="AI701" s="97"/>
      <c r="AJ701" s="97"/>
      <c r="AK701" s="97"/>
      <c r="AL701" s="97"/>
      <c r="AM701" s="97"/>
      <c r="AN701" s="97"/>
      <c r="AO701" s="97"/>
      <c r="AP701" s="97"/>
      <c r="AQ701" s="97"/>
      <c r="AR701" s="97"/>
      <c r="AS701" s="97"/>
      <c r="AT701" s="97"/>
      <c r="AU701" s="97"/>
      <c r="AV701" s="97"/>
      <c r="AW701" s="97"/>
      <c r="AX701" s="97"/>
      <c r="AY701" s="97"/>
      <c r="AZ701" s="97"/>
      <c r="BA701" s="97"/>
      <c r="BB701" s="97"/>
      <c r="BC701" s="97"/>
      <c r="BD701" s="97"/>
      <c r="BE701" s="97"/>
      <c r="BF701" s="97"/>
      <c r="BG701" s="97"/>
      <c r="BH701" s="97"/>
    </row>
    <row r="702" spans="1:60" x14ac:dyDescent="0.25">
      <c r="A702" s="106"/>
      <c r="B702" s="107"/>
      <c r="C702" s="107"/>
      <c r="D702" s="107"/>
      <c r="E702" s="108"/>
      <c r="F702" s="109" t="str">
        <f>IF(H702&lt;&gt;"",H702-Accueil!N$6+1/60/24,"")</f>
        <v/>
      </c>
      <c r="G702" s="107"/>
      <c r="H702" s="109"/>
      <c r="I702" s="110"/>
      <c r="J702" s="110"/>
      <c r="K702" s="111"/>
      <c r="L702" s="112"/>
      <c r="M702" s="113"/>
      <c r="N702" s="114"/>
      <c r="O702" s="107"/>
      <c r="P702" s="107"/>
      <c r="Q702" s="115"/>
      <c r="R702" s="116"/>
      <c r="S702" s="107"/>
      <c r="T702" s="107"/>
      <c r="U702" s="107" t="str">
        <f t="shared" si="13"/>
        <v/>
      </c>
      <c r="V702" s="107"/>
      <c r="W702" s="107"/>
      <c r="X702" s="107"/>
      <c r="Y702" s="107"/>
      <c r="Z702" s="107"/>
      <c r="AA702" s="107"/>
      <c r="AB702" s="107"/>
      <c r="AC702" s="107"/>
      <c r="AD702" s="107"/>
      <c r="AE702" s="107"/>
      <c r="AF702" s="107"/>
      <c r="AG702" s="107"/>
      <c r="AH702" s="107"/>
      <c r="AI702" s="107"/>
      <c r="AJ702" s="107"/>
      <c r="AK702" s="107"/>
      <c r="AL702" s="107"/>
      <c r="AM702" s="107"/>
      <c r="AN702" s="107"/>
      <c r="AO702" s="107"/>
      <c r="AP702" s="107"/>
      <c r="AQ702" s="107"/>
      <c r="AR702" s="107"/>
      <c r="AS702" s="107"/>
      <c r="AT702" s="107"/>
      <c r="AU702" s="107"/>
      <c r="AV702" s="107"/>
      <c r="AW702" s="107"/>
      <c r="AX702" s="107"/>
      <c r="AY702" s="107"/>
      <c r="AZ702" s="107"/>
      <c r="BA702" s="107"/>
      <c r="BB702" s="107"/>
      <c r="BC702" s="107"/>
      <c r="BD702" s="107"/>
      <c r="BE702" s="107"/>
      <c r="BF702" s="107"/>
      <c r="BG702" s="107"/>
      <c r="BH702" s="107"/>
    </row>
    <row r="703" spans="1:60" x14ac:dyDescent="0.25">
      <c r="A703" s="96"/>
      <c r="B703" s="97"/>
      <c r="C703" s="97"/>
      <c r="D703" s="97"/>
      <c r="E703" s="98"/>
      <c r="F703" s="99" t="str">
        <f>IF(H703&lt;&gt;"",H703-Accueil!N$6+1/60/24,"")</f>
        <v/>
      </c>
      <c r="G703" s="97"/>
      <c r="H703" s="99"/>
      <c r="I703" s="99"/>
      <c r="J703" s="100"/>
      <c r="K703" s="101"/>
      <c r="L703" s="102"/>
      <c r="M703" s="103"/>
      <c r="N703" s="104"/>
      <c r="O703" s="97"/>
      <c r="P703" s="97"/>
      <c r="Q703" s="97"/>
      <c r="R703" s="105"/>
      <c r="S703" s="97"/>
      <c r="T703" s="97"/>
      <c r="U703" s="97" t="str">
        <f t="shared" si="13"/>
        <v/>
      </c>
      <c r="V703" s="97"/>
      <c r="W703" s="97"/>
      <c r="X703" s="97"/>
      <c r="Y703" s="97"/>
      <c r="Z703" s="97"/>
      <c r="AA703" s="97"/>
      <c r="AB703" s="97"/>
      <c r="AC703" s="97"/>
      <c r="AD703" s="97"/>
      <c r="AE703" s="97"/>
      <c r="AF703" s="97"/>
      <c r="AG703" s="97"/>
      <c r="AH703" s="97"/>
      <c r="AI703" s="97"/>
      <c r="AJ703" s="97"/>
      <c r="AK703" s="97"/>
      <c r="AL703" s="97"/>
      <c r="AM703" s="97"/>
      <c r="AN703" s="97"/>
      <c r="AO703" s="97"/>
      <c r="AP703" s="97"/>
      <c r="AQ703" s="97"/>
      <c r="AR703" s="97"/>
      <c r="AS703" s="97"/>
      <c r="AT703" s="97"/>
      <c r="AU703" s="97"/>
      <c r="AV703" s="97"/>
      <c r="AW703" s="97"/>
      <c r="AX703" s="97"/>
      <c r="AY703" s="97"/>
      <c r="AZ703" s="97"/>
      <c r="BA703" s="97"/>
      <c r="BB703" s="97"/>
      <c r="BC703" s="97"/>
      <c r="BD703" s="97"/>
      <c r="BE703" s="97"/>
      <c r="BF703" s="97"/>
      <c r="BG703" s="97"/>
      <c r="BH703" s="97"/>
    </row>
    <row r="704" spans="1:60" x14ac:dyDescent="0.25">
      <c r="A704" s="106"/>
      <c r="B704" s="107"/>
      <c r="C704" s="107"/>
      <c r="D704" s="107"/>
      <c r="E704" s="108"/>
      <c r="F704" s="109" t="str">
        <f>IF(H704&lt;&gt;"",H704-Accueil!N$6+1/60/24,"")</f>
        <v/>
      </c>
      <c r="G704" s="107"/>
      <c r="H704" s="109"/>
      <c r="I704" s="110"/>
      <c r="J704" s="110"/>
      <c r="K704" s="111"/>
      <c r="L704" s="112"/>
      <c r="M704" s="113"/>
      <c r="N704" s="114"/>
      <c r="O704" s="107"/>
      <c r="P704" s="107"/>
      <c r="Q704" s="115"/>
      <c r="R704" s="116"/>
      <c r="S704" s="107"/>
      <c r="T704" s="107"/>
      <c r="U704" s="107" t="str">
        <f t="shared" si="13"/>
        <v/>
      </c>
      <c r="V704" s="107"/>
      <c r="W704" s="107"/>
      <c r="X704" s="107"/>
      <c r="Y704" s="107"/>
      <c r="Z704" s="107"/>
      <c r="AA704" s="107"/>
      <c r="AB704" s="107"/>
      <c r="AC704" s="107"/>
      <c r="AD704" s="107"/>
      <c r="AE704" s="107"/>
      <c r="AF704" s="107"/>
      <c r="AG704" s="107"/>
      <c r="AH704" s="107"/>
      <c r="AI704" s="107"/>
      <c r="AJ704" s="107"/>
      <c r="AK704" s="107"/>
      <c r="AL704" s="107"/>
      <c r="AM704" s="107"/>
      <c r="AN704" s="107"/>
      <c r="AO704" s="107"/>
      <c r="AP704" s="107"/>
      <c r="AQ704" s="107"/>
      <c r="AR704" s="107"/>
      <c r="AS704" s="107"/>
      <c r="AT704" s="107"/>
      <c r="AU704" s="107"/>
      <c r="AV704" s="107"/>
      <c r="AW704" s="107"/>
      <c r="AX704" s="107"/>
      <c r="AY704" s="107"/>
      <c r="AZ704" s="107"/>
      <c r="BA704" s="107"/>
      <c r="BB704" s="107"/>
      <c r="BC704" s="107"/>
      <c r="BD704" s="107"/>
      <c r="BE704" s="107"/>
      <c r="BF704" s="107"/>
      <c r="BG704" s="107"/>
      <c r="BH704" s="107"/>
    </row>
    <row r="705" spans="1:60" x14ac:dyDescent="0.25">
      <c r="A705" s="96"/>
      <c r="B705" s="97"/>
      <c r="C705" s="97"/>
      <c r="D705" s="97"/>
      <c r="E705" s="98"/>
      <c r="F705" s="99" t="str">
        <f>IF(H705&lt;&gt;"",H705-Accueil!N$6+1/60/24,"")</f>
        <v/>
      </c>
      <c r="G705" s="97"/>
      <c r="H705" s="99"/>
      <c r="I705" s="99"/>
      <c r="J705" s="100"/>
      <c r="K705" s="101"/>
      <c r="L705" s="102"/>
      <c r="M705" s="103"/>
      <c r="N705" s="104"/>
      <c r="O705" s="97"/>
      <c r="P705" s="97"/>
      <c r="Q705" s="97"/>
      <c r="R705" s="105"/>
      <c r="S705" s="97"/>
      <c r="T705" s="97"/>
      <c r="U705" s="97" t="str">
        <f t="shared" si="13"/>
        <v/>
      </c>
      <c r="V705" s="97"/>
      <c r="W705" s="97"/>
      <c r="X705" s="97"/>
      <c r="Y705" s="97"/>
      <c r="Z705" s="97"/>
      <c r="AA705" s="97"/>
      <c r="AB705" s="97"/>
      <c r="AC705" s="97"/>
      <c r="AD705" s="97"/>
      <c r="AE705" s="97"/>
      <c r="AF705" s="97"/>
      <c r="AG705" s="97"/>
      <c r="AH705" s="97"/>
      <c r="AI705" s="97"/>
      <c r="AJ705" s="97"/>
      <c r="AK705" s="97"/>
      <c r="AL705" s="97"/>
      <c r="AM705" s="97"/>
      <c r="AN705" s="97"/>
      <c r="AO705" s="97"/>
      <c r="AP705" s="97"/>
      <c r="AQ705" s="97"/>
      <c r="AR705" s="97"/>
      <c r="AS705" s="97"/>
      <c r="AT705" s="97"/>
      <c r="AU705" s="97"/>
      <c r="AV705" s="97"/>
      <c r="AW705" s="97"/>
      <c r="AX705" s="97"/>
      <c r="AY705" s="97"/>
      <c r="AZ705" s="97"/>
      <c r="BA705" s="97"/>
      <c r="BB705" s="97"/>
      <c r="BC705" s="97"/>
      <c r="BD705" s="97"/>
      <c r="BE705" s="97"/>
      <c r="BF705" s="97"/>
      <c r="BG705" s="97"/>
      <c r="BH705" s="97"/>
    </row>
    <row r="706" spans="1:60" x14ac:dyDescent="0.25">
      <c r="A706" s="106"/>
      <c r="B706" s="107"/>
      <c r="C706" s="107"/>
      <c r="D706" s="107"/>
      <c r="E706" s="108"/>
      <c r="F706" s="109" t="str">
        <f>IF(H706&lt;&gt;"",H706-Accueil!N$6+1/60/24,"")</f>
        <v/>
      </c>
      <c r="G706" s="107"/>
      <c r="H706" s="109"/>
      <c r="I706" s="110"/>
      <c r="J706" s="110"/>
      <c r="K706" s="111"/>
      <c r="L706" s="112"/>
      <c r="M706" s="113"/>
      <c r="N706" s="114"/>
      <c r="O706" s="107"/>
      <c r="P706" s="107"/>
      <c r="Q706" s="115"/>
      <c r="R706" s="116"/>
      <c r="S706" s="107"/>
      <c r="T706" s="107"/>
      <c r="U706" s="107" t="str">
        <f t="shared" si="13"/>
        <v/>
      </c>
      <c r="V706" s="107"/>
      <c r="W706" s="107"/>
      <c r="X706" s="107"/>
      <c r="Y706" s="107"/>
      <c r="Z706" s="107"/>
      <c r="AA706" s="107"/>
      <c r="AB706" s="107"/>
      <c r="AC706" s="107"/>
      <c r="AD706" s="107"/>
      <c r="AE706" s="107"/>
      <c r="AF706" s="107"/>
      <c r="AG706" s="107"/>
      <c r="AH706" s="107"/>
      <c r="AI706" s="107"/>
      <c r="AJ706" s="107"/>
      <c r="AK706" s="107"/>
      <c r="AL706" s="107"/>
      <c r="AM706" s="107"/>
      <c r="AN706" s="107"/>
      <c r="AO706" s="107"/>
      <c r="AP706" s="107"/>
      <c r="AQ706" s="107"/>
      <c r="AR706" s="107"/>
      <c r="AS706" s="107"/>
      <c r="AT706" s="107"/>
      <c r="AU706" s="107"/>
      <c r="AV706" s="107"/>
      <c r="AW706" s="107"/>
      <c r="AX706" s="107"/>
      <c r="AY706" s="107"/>
      <c r="AZ706" s="107"/>
      <c r="BA706" s="107"/>
      <c r="BB706" s="107"/>
      <c r="BC706" s="107"/>
      <c r="BD706" s="107"/>
      <c r="BE706" s="107"/>
      <c r="BF706" s="107"/>
      <c r="BG706" s="107"/>
      <c r="BH706" s="107"/>
    </row>
    <row r="707" spans="1:60" x14ac:dyDescent="0.25">
      <c r="A707" s="96"/>
      <c r="B707" s="97"/>
      <c r="C707" s="97"/>
      <c r="D707" s="97"/>
      <c r="E707" s="98"/>
      <c r="F707" s="99" t="str">
        <f>IF(H707&lt;&gt;"",H707-Accueil!N$6+1/60/24,"")</f>
        <v/>
      </c>
      <c r="G707" s="97"/>
      <c r="H707" s="99"/>
      <c r="I707" s="99"/>
      <c r="J707" s="100"/>
      <c r="K707" s="101"/>
      <c r="L707" s="102"/>
      <c r="M707" s="103"/>
      <c r="N707" s="104"/>
      <c r="O707" s="97"/>
      <c r="P707" s="97"/>
      <c r="Q707" s="97"/>
      <c r="R707" s="105"/>
      <c r="S707" s="97"/>
      <c r="T707" s="97"/>
      <c r="U707" s="97" t="str">
        <f t="shared" ref="U707:U770" si="14">IF(B707="","",IF(I707="",0,1))</f>
        <v/>
      </c>
      <c r="V707" s="97"/>
      <c r="W707" s="97"/>
      <c r="X707" s="97"/>
      <c r="Y707" s="97"/>
      <c r="Z707" s="97"/>
      <c r="AA707" s="97"/>
      <c r="AB707" s="97"/>
      <c r="AC707" s="97"/>
      <c r="AD707" s="97"/>
      <c r="AE707" s="97"/>
      <c r="AF707" s="97"/>
      <c r="AG707" s="97"/>
      <c r="AH707" s="97"/>
      <c r="AI707" s="97"/>
      <c r="AJ707" s="97"/>
      <c r="AK707" s="97"/>
      <c r="AL707" s="97"/>
      <c r="AM707" s="97"/>
      <c r="AN707" s="97"/>
      <c r="AO707" s="97"/>
      <c r="AP707" s="97"/>
      <c r="AQ707" s="97"/>
      <c r="AR707" s="97"/>
      <c r="AS707" s="97"/>
      <c r="AT707" s="97"/>
      <c r="AU707" s="97"/>
      <c r="AV707" s="97"/>
      <c r="AW707" s="97"/>
      <c r="AX707" s="97"/>
      <c r="AY707" s="97"/>
      <c r="AZ707" s="97"/>
      <c r="BA707" s="97"/>
      <c r="BB707" s="97"/>
      <c r="BC707" s="97"/>
      <c r="BD707" s="97"/>
      <c r="BE707" s="97"/>
      <c r="BF707" s="97"/>
      <c r="BG707" s="97"/>
      <c r="BH707" s="97"/>
    </row>
    <row r="708" spans="1:60" x14ac:dyDescent="0.25">
      <c r="A708" s="106"/>
      <c r="B708" s="107"/>
      <c r="C708" s="107"/>
      <c r="D708" s="107"/>
      <c r="E708" s="108"/>
      <c r="F708" s="109" t="str">
        <f>IF(H708&lt;&gt;"",H708-Accueil!N$6+1/60/24,"")</f>
        <v/>
      </c>
      <c r="G708" s="107"/>
      <c r="H708" s="109"/>
      <c r="I708" s="110"/>
      <c r="J708" s="110"/>
      <c r="K708" s="111"/>
      <c r="L708" s="112"/>
      <c r="M708" s="113"/>
      <c r="N708" s="114"/>
      <c r="O708" s="107"/>
      <c r="P708" s="107"/>
      <c r="Q708" s="115"/>
      <c r="R708" s="116"/>
      <c r="S708" s="107"/>
      <c r="T708" s="107"/>
      <c r="U708" s="107" t="str">
        <f t="shared" si="14"/>
        <v/>
      </c>
      <c r="V708" s="107"/>
      <c r="W708" s="107"/>
      <c r="X708" s="107"/>
      <c r="Y708" s="107"/>
      <c r="Z708" s="107"/>
      <c r="AA708" s="107"/>
      <c r="AB708" s="107"/>
      <c r="AC708" s="107"/>
      <c r="AD708" s="107"/>
      <c r="AE708" s="107"/>
      <c r="AF708" s="107"/>
      <c r="AG708" s="107"/>
      <c r="AH708" s="107"/>
      <c r="AI708" s="107"/>
      <c r="AJ708" s="107"/>
      <c r="AK708" s="107"/>
      <c r="AL708" s="107"/>
      <c r="AM708" s="107"/>
      <c r="AN708" s="107"/>
      <c r="AO708" s="107"/>
      <c r="AP708" s="107"/>
      <c r="AQ708" s="107"/>
      <c r="AR708" s="107"/>
      <c r="AS708" s="107"/>
      <c r="AT708" s="107"/>
      <c r="AU708" s="107"/>
      <c r="AV708" s="107"/>
      <c r="AW708" s="107"/>
      <c r="AX708" s="107"/>
      <c r="AY708" s="107"/>
      <c r="AZ708" s="107"/>
      <c r="BA708" s="107"/>
      <c r="BB708" s="107"/>
      <c r="BC708" s="107"/>
      <c r="BD708" s="107"/>
      <c r="BE708" s="107"/>
      <c r="BF708" s="107"/>
      <c r="BG708" s="107"/>
      <c r="BH708" s="107"/>
    </row>
    <row r="709" spans="1:60" x14ac:dyDescent="0.25">
      <c r="A709" s="96"/>
      <c r="B709" s="97"/>
      <c r="C709" s="97"/>
      <c r="D709" s="97"/>
      <c r="E709" s="98"/>
      <c r="F709" s="99" t="str">
        <f>IF(H709&lt;&gt;"",H709-Accueil!N$6+1/60/24,"")</f>
        <v/>
      </c>
      <c r="G709" s="97"/>
      <c r="H709" s="99"/>
      <c r="I709" s="99"/>
      <c r="J709" s="100"/>
      <c r="K709" s="101"/>
      <c r="L709" s="102"/>
      <c r="M709" s="103"/>
      <c r="N709" s="104"/>
      <c r="O709" s="97"/>
      <c r="P709" s="97"/>
      <c r="Q709" s="97"/>
      <c r="R709" s="105"/>
      <c r="S709" s="97"/>
      <c r="T709" s="97"/>
      <c r="U709" s="97" t="str">
        <f t="shared" si="14"/>
        <v/>
      </c>
      <c r="V709" s="97"/>
      <c r="W709" s="97"/>
      <c r="X709" s="97"/>
      <c r="Y709" s="97"/>
      <c r="Z709" s="97"/>
      <c r="AA709" s="97"/>
      <c r="AB709" s="97"/>
      <c r="AC709" s="97"/>
      <c r="AD709" s="97"/>
      <c r="AE709" s="97"/>
      <c r="AF709" s="97"/>
      <c r="AG709" s="97"/>
      <c r="AH709" s="97"/>
      <c r="AI709" s="97"/>
      <c r="AJ709" s="97"/>
      <c r="AK709" s="97"/>
      <c r="AL709" s="97"/>
      <c r="AM709" s="97"/>
      <c r="AN709" s="97"/>
      <c r="AO709" s="97"/>
      <c r="AP709" s="97"/>
      <c r="AQ709" s="97"/>
      <c r="AR709" s="97"/>
      <c r="AS709" s="97"/>
      <c r="AT709" s="97"/>
      <c r="AU709" s="97"/>
      <c r="AV709" s="97"/>
      <c r="AW709" s="97"/>
      <c r="AX709" s="97"/>
      <c r="AY709" s="97"/>
      <c r="AZ709" s="97"/>
      <c r="BA709" s="97"/>
      <c r="BB709" s="97"/>
      <c r="BC709" s="97"/>
      <c r="BD709" s="97"/>
      <c r="BE709" s="97"/>
      <c r="BF709" s="97"/>
      <c r="BG709" s="97"/>
      <c r="BH709" s="97"/>
    </row>
    <row r="710" spans="1:60" x14ac:dyDescent="0.25">
      <c r="A710" s="106"/>
      <c r="B710" s="107"/>
      <c r="C710" s="107"/>
      <c r="D710" s="107"/>
      <c r="E710" s="108"/>
      <c r="F710" s="109" t="str">
        <f>IF(H710&lt;&gt;"",H710-Accueil!N$6+1/60/24,"")</f>
        <v/>
      </c>
      <c r="G710" s="107"/>
      <c r="H710" s="109"/>
      <c r="I710" s="110"/>
      <c r="J710" s="110"/>
      <c r="K710" s="111"/>
      <c r="L710" s="112"/>
      <c r="M710" s="113"/>
      <c r="N710" s="114"/>
      <c r="O710" s="107"/>
      <c r="P710" s="107"/>
      <c r="Q710" s="115"/>
      <c r="R710" s="116"/>
      <c r="S710" s="107"/>
      <c r="T710" s="107"/>
      <c r="U710" s="107" t="str">
        <f t="shared" si="14"/>
        <v/>
      </c>
      <c r="V710" s="107"/>
      <c r="W710" s="107"/>
      <c r="X710" s="107"/>
      <c r="Y710" s="107"/>
      <c r="Z710" s="107"/>
      <c r="AA710" s="107"/>
      <c r="AB710" s="107"/>
      <c r="AC710" s="107"/>
      <c r="AD710" s="107"/>
      <c r="AE710" s="107"/>
      <c r="AF710" s="107"/>
      <c r="AG710" s="107"/>
      <c r="AH710" s="107"/>
      <c r="AI710" s="107"/>
      <c r="AJ710" s="107"/>
      <c r="AK710" s="107"/>
      <c r="AL710" s="107"/>
      <c r="AM710" s="107"/>
      <c r="AN710" s="107"/>
      <c r="AO710" s="107"/>
      <c r="AP710" s="107"/>
      <c r="AQ710" s="107"/>
      <c r="AR710" s="107"/>
      <c r="AS710" s="107"/>
      <c r="AT710" s="107"/>
      <c r="AU710" s="107"/>
      <c r="AV710" s="107"/>
      <c r="AW710" s="107"/>
      <c r="AX710" s="107"/>
      <c r="AY710" s="107"/>
      <c r="AZ710" s="107"/>
      <c r="BA710" s="107"/>
      <c r="BB710" s="107"/>
      <c r="BC710" s="107"/>
      <c r="BD710" s="107"/>
      <c r="BE710" s="107"/>
      <c r="BF710" s="107"/>
      <c r="BG710" s="107"/>
      <c r="BH710" s="107"/>
    </row>
    <row r="711" spans="1:60" x14ac:dyDescent="0.25">
      <c r="A711" s="96"/>
      <c r="B711" s="97"/>
      <c r="C711" s="97"/>
      <c r="D711" s="97"/>
      <c r="E711" s="98"/>
      <c r="F711" s="99" t="str">
        <f>IF(H711&lt;&gt;"",H711-Accueil!N$6+1/60/24,"")</f>
        <v/>
      </c>
      <c r="G711" s="97"/>
      <c r="H711" s="99"/>
      <c r="I711" s="99"/>
      <c r="J711" s="100"/>
      <c r="K711" s="101"/>
      <c r="L711" s="102"/>
      <c r="M711" s="103"/>
      <c r="N711" s="104"/>
      <c r="O711" s="97"/>
      <c r="P711" s="97"/>
      <c r="Q711" s="97"/>
      <c r="R711" s="105"/>
      <c r="S711" s="97"/>
      <c r="T711" s="97"/>
      <c r="U711" s="97" t="str">
        <f t="shared" si="14"/>
        <v/>
      </c>
      <c r="V711" s="97"/>
      <c r="W711" s="97"/>
      <c r="X711" s="97"/>
      <c r="Y711" s="97"/>
      <c r="Z711" s="97"/>
      <c r="AA711" s="97"/>
      <c r="AB711" s="97"/>
      <c r="AC711" s="97"/>
      <c r="AD711" s="97"/>
      <c r="AE711" s="97"/>
      <c r="AF711" s="97"/>
      <c r="AG711" s="97"/>
      <c r="AH711" s="97"/>
      <c r="AI711" s="97"/>
      <c r="AJ711" s="97"/>
      <c r="AK711" s="97"/>
      <c r="AL711" s="97"/>
      <c r="AM711" s="97"/>
      <c r="AN711" s="97"/>
      <c r="AO711" s="97"/>
      <c r="AP711" s="97"/>
      <c r="AQ711" s="97"/>
      <c r="AR711" s="97"/>
      <c r="AS711" s="97"/>
      <c r="AT711" s="97"/>
      <c r="AU711" s="97"/>
      <c r="AV711" s="97"/>
      <c r="AW711" s="97"/>
      <c r="AX711" s="97"/>
      <c r="AY711" s="97"/>
      <c r="AZ711" s="97"/>
      <c r="BA711" s="97"/>
      <c r="BB711" s="97"/>
      <c r="BC711" s="97"/>
      <c r="BD711" s="97"/>
      <c r="BE711" s="97"/>
      <c r="BF711" s="97"/>
      <c r="BG711" s="97"/>
      <c r="BH711" s="97"/>
    </row>
    <row r="712" spans="1:60" x14ac:dyDescent="0.25">
      <c r="A712" s="106"/>
      <c r="B712" s="107"/>
      <c r="C712" s="107"/>
      <c r="D712" s="107"/>
      <c r="E712" s="108"/>
      <c r="F712" s="109" t="str">
        <f>IF(H712&lt;&gt;"",H712-Accueil!N$6+1/60/24,"")</f>
        <v/>
      </c>
      <c r="G712" s="107"/>
      <c r="H712" s="109"/>
      <c r="I712" s="110"/>
      <c r="J712" s="110"/>
      <c r="K712" s="111"/>
      <c r="L712" s="112"/>
      <c r="M712" s="113"/>
      <c r="N712" s="114"/>
      <c r="O712" s="107"/>
      <c r="P712" s="107"/>
      <c r="Q712" s="115"/>
      <c r="R712" s="116"/>
      <c r="S712" s="107"/>
      <c r="T712" s="107"/>
      <c r="U712" s="107" t="str">
        <f t="shared" si="14"/>
        <v/>
      </c>
      <c r="V712" s="107"/>
      <c r="W712" s="107"/>
      <c r="X712" s="107"/>
      <c r="Y712" s="107"/>
      <c r="Z712" s="107"/>
      <c r="AA712" s="107"/>
      <c r="AB712" s="107"/>
      <c r="AC712" s="107"/>
      <c r="AD712" s="107"/>
      <c r="AE712" s="107"/>
      <c r="AF712" s="107"/>
      <c r="AG712" s="107"/>
      <c r="AH712" s="107"/>
      <c r="AI712" s="107"/>
      <c r="AJ712" s="107"/>
      <c r="AK712" s="107"/>
      <c r="AL712" s="107"/>
      <c r="AM712" s="107"/>
      <c r="AN712" s="107"/>
      <c r="AO712" s="107"/>
      <c r="AP712" s="107"/>
      <c r="AQ712" s="107"/>
      <c r="AR712" s="107"/>
      <c r="AS712" s="107"/>
      <c r="AT712" s="107"/>
      <c r="AU712" s="107"/>
      <c r="AV712" s="107"/>
      <c r="AW712" s="107"/>
      <c r="AX712" s="107"/>
      <c r="AY712" s="107"/>
      <c r="AZ712" s="107"/>
      <c r="BA712" s="107"/>
      <c r="BB712" s="107"/>
      <c r="BC712" s="107"/>
      <c r="BD712" s="107"/>
      <c r="BE712" s="107"/>
      <c r="BF712" s="107"/>
      <c r="BG712" s="107"/>
      <c r="BH712" s="107"/>
    </row>
    <row r="713" spans="1:60" x14ac:dyDescent="0.25">
      <c r="A713" s="96"/>
      <c r="B713" s="97"/>
      <c r="C713" s="97"/>
      <c r="D713" s="97"/>
      <c r="E713" s="98"/>
      <c r="F713" s="99" t="str">
        <f>IF(H713&lt;&gt;"",H713-Accueil!N$6+1/60/24,"")</f>
        <v/>
      </c>
      <c r="G713" s="97"/>
      <c r="H713" s="99"/>
      <c r="I713" s="99"/>
      <c r="J713" s="100"/>
      <c r="K713" s="101"/>
      <c r="L713" s="102"/>
      <c r="M713" s="103"/>
      <c r="N713" s="104"/>
      <c r="O713" s="97"/>
      <c r="P713" s="97"/>
      <c r="Q713" s="97"/>
      <c r="R713" s="105"/>
      <c r="S713" s="97"/>
      <c r="T713" s="97"/>
      <c r="U713" s="97" t="str">
        <f t="shared" si="14"/>
        <v/>
      </c>
      <c r="V713" s="97"/>
      <c r="W713" s="97"/>
      <c r="X713" s="97"/>
      <c r="Y713" s="97"/>
      <c r="Z713" s="97"/>
      <c r="AA713" s="97"/>
      <c r="AB713" s="97"/>
      <c r="AC713" s="97"/>
      <c r="AD713" s="97"/>
      <c r="AE713" s="97"/>
      <c r="AF713" s="97"/>
      <c r="AG713" s="97"/>
      <c r="AH713" s="97"/>
      <c r="AI713" s="97"/>
      <c r="AJ713" s="97"/>
      <c r="AK713" s="97"/>
      <c r="AL713" s="97"/>
      <c r="AM713" s="97"/>
      <c r="AN713" s="97"/>
      <c r="AO713" s="97"/>
      <c r="AP713" s="97"/>
      <c r="AQ713" s="97"/>
      <c r="AR713" s="97"/>
      <c r="AS713" s="97"/>
      <c r="AT713" s="97"/>
      <c r="AU713" s="97"/>
      <c r="AV713" s="97"/>
      <c r="AW713" s="97"/>
      <c r="AX713" s="97"/>
      <c r="AY713" s="97"/>
      <c r="AZ713" s="97"/>
      <c r="BA713" s="97"/>
      <c r="BB713" s="97"/>
      <c r="BC713" s="97"/>
      <c r="BD713" s="97"/>
      <c r="BE713" s="97"/>
      <c r="BF713" s="97"/>
      <c r="BG713" s="97"/>
      <c r="BH713" s="97"/>
    </row>
    <row r="714" spans="1:60" x14ac:dyDescent="0.25">
      <c r="A714" s="106"/>
      <c r="B714" s="107"/>
      <c r="C714" s="107"/>
      <c r="D714" s="107"/>
      <c r="E714" s="108"/>
      <c r="F714" s="109" t="str">
        <f>IF(H714&lt;&gt;"",H714-Accueil!N$6+1/60/24,"")</f>
        <v/>
      </c>
      <c r="G714" s="107"/>
      <c r="H714" s="109"/>
      <c r="I714" s="110"/>
      <c r="J714" s="110"/>
      <c r="K714" s="111"/>
      <c r="L714" s="112"/>
      <c r="M714" s="113"/>
      <c r="N714" s="114"/>
      <c r="O714" s="107"/>
      <c r="P714" s="107"/>
      <c r="Q714" s="115"/>
      <c r="R714" s="116"/>
      <c r="S714" s="107"/>
      <c r="T714" s="107"/>
      <c r="U714" s="107" t="str">
        <f t="shared" si="14"/>
        <v/>
      </c>
      <c r="V714" s="107"/>
      <c r="W714" s="107"/>
      <c r="X714" s="107"/>
      <c r="Y714" s="107"/>
      <c r="Z714" s="107"/>
      <c r="AA714" s="107"/>
      <c r="AB714" s="107"/>
      <c r="AC714" s="107"/>
      <c r="AD714" s="107"/>
      <c r="AE714" s="107"/>
      <c r="AF714" s="107"/>
      <c r="AG714" s="107"/>
      <c r="AH714" s="107"/>
      <c r="AI714" s="107"/>
      <c r="AJ714" s="107"/>
      <c r="AK714" s="107"/>
      <c r="AL714" s="107"/>
      <c r="AM714" s="107"/>
      <c r="AN714" s="107"/>
      <c r="AO714" s="107"/>
      <c r="AP714" s="107"/>
      <c r="AQ714" s="107"/>
      <c r="AR714" s="107"/>
      <c r="AS714" s="107"/>
      <c r="AT714" s="107"/>
      <c r="AU714" s="107"/>
      <c r="AV714" s="107"/>
      <c r="AW714" s="107"/>
      <c r="AX714" s="107"/>
      <c r="AY714" s="107"/>
      <c r="AZ714" s="107"/>
      <c r="BA714" s="107"/>
      <c r="BB714" s="107"/>
      <c r="BC714" s="107"/>
      <c r="BD714" s="107"/>
      <c r="BE714" s="107"/>
      <c r="BF714" s="107"/>
      <c r="BG714" s="107"/>
      <c r="BH714" s="107"/>
    </row>
    <row r="715" spans="1:60" x14ac:dyDescent="0.25">
      <c r="A715" s="96"/>
      <c r="B715" s="97"/>
      <c r="C715" s="97"/>
      <c r="D715" s="97"/>
      <c r="E715" s="98"/>
      <c r="F715" s="99" t="str">
        <f>IF(H715&lt;&gt;"",H715-Accueil!N$6+1/60/24,"")</f>
        <v/>
      </c>
      <c r="G715" s="97"/>
      <c r="H715" s="99"/>
      <c r="I715" s="99"/>
      <c r="J715" s="100"/>
      <c r="K715" s="101"/>
      <c r="L715" s="102"/>
      <c r="M715" s="103"/>
      <c r="N715" s="104"/>
      <c r="O715" s="97"/>
      <c r="P715" s="97"/>
      <c r="Q715" s="97"/>
      <c r="R715" s="105"/>
      <c r="S715" s="97"/>
      <c r="T715" s="97"/>
      <c r="U715" s="97" t="str">
        <f t="shared" si="14"/>
        <v/>
      </c>
      <c r="V715" s="97"/>
      <c r="W715" s="97"/>
      <c r="X715" s="97"/>
      <c r="Y715" s="97"/>
      <c r="Z715" s="97"/>
      <c r="AA715" s="97"/>
      <c r="AB715" s="97"/>
      <c r="AC715" s="97"/>
      <c r="AD715" s="97"/>
      <c r="AE715" s="97"/>
      <c r="AF715" s="97"/>
      <c r="AG715" s="97"/>
      <c r="AH715" s="97"/>
      <c r="AI715" s="97"/>
      <c r="AJ715" s="97"/>
      <c r="AK715" s="97"/>
      <c r="AL715" s="97"/>
      <c r="AM715" s="97"/>
      <c r="AN715" s="97"/>
      <c r="AO715" s="97"/>
      <c r="AP715" s="97"/>
      <c r="AQ715" s="97"/>
      <c r="AR715" s="97"/>
      <c r="AS715" s="97"/>
      <c r="AT715" s="97"/>
      <c r="AU715" s="97"/>
      <c r="AV715" s="97"/>
      <c r="AW715" s="97"/>
      <c r="AX715" s="97"/>
      <c r="AY715" s="97"/>
      <c r="AZ715" s="97"/>
      <c r="BA715" s="97"/>
      <c r="BB715" s="97"/>
      <c r="BC715" s="97"/>
      <c r="BD715" s="97"/>
      <c r="BE715" s="97"/>
      <c r="BF715" s="97"/>
      <c r="BG715" s="97"/>
      <c r="BH715" s="97"/>
    </row>
    <row r="716" spans="1:60" x14ac:dyDescent="0.25">
      <c r="A716" s="106"/>
      <c r="B716" s="107"/>
      <c r="C716" s="107"/>
      <c r="D716" s="107"/>
      <c r="E716" s="108"/>
      <c r="F716" s="109" t="str">
        <f>IF(H716&lt;&gt;"",H716-Accueil!N$6+1/60/24,"")</f>
        <v/>
      </c>
      <c r="G716" s="107"/>
      <c r="H716" s="109"/>
      <c r="I716" s="110"/>
      <c r="J716" s="110"/>
      <c r="K716" s="111"/>
      <c r="L716" s="112"/>
      <c r="M716" s="113"/>
      <c r="N716" s="114"/>
      <c r="O716" s="107"/>
      <c r="P716" s="107"/>
      <c r="Q716" s="115"/>
      <c r="R716" s="116"/>
      <c r="S716" s="107"/>
      <c r="T716" s="107"/>
      <c r="U716" s="107" t="str">
        <f t="shared" si="14"/>
        <v/>
      </c>
      <c r="V716" s="107"/>
      <c r="W716" s="107"/>
      <c r="X716" s="107"/>
      <c r="Y716" s="107"/>
      <c r="Z716" s="107"/>
      <c r="AA716" s="107"/>
      <c r="AB716" s="107"/>
      <c r="AC716" s="107"/>
      <c r="AD716" s="107"/>
      <c r="AE716" s="107"/>
      <c r="AF716" s="107"/>
      <c r="AG716" s="107"/>
      <c r="AH716" s="107"/>
      <c r="AI716" s="107"/>
      <c r="AJ716" s="107"/>
      <c r="AK716" s="107"/>
      <c r="AL716" s="107"/>
      <c r="AM716" s="107"/>
      <c r="AN716" s="107"/>
      <c r="AO716" s="107"/>
      <c r="AP716" s="107"/>
      <c r="AQ716" s="107"/>
      <c r="AR716" s="107"/>
      <c r="AS716" s="107"/>
      <c r="AT716" s="107"/>
      <c r="AU716" s="107"/>
      <c r="AV716" s="107"/>
      <c r="AW716" s="107"/>
      <c r="AX716" s="107"/>
      <c r="AY716" s="107"/>
      <c r="AZ716" s="107"/>
      <c r="BA716" s="107"/>
      <c r="BB716" s="107"/>
      <c r="BC716" s="107"/>
      <c r="BD716" s="107"/>
      <c r="BE716" s="107"/>
      <c r="BF716" s="107"/>
      <c r="BG716" s="107"/>
      <c r="BH716" s="107"/>
    </row>
    <row r="717" spans="1:60" x14ac:dyDescent="0.25">
      <c r="A717" s="96"/>
      <c r="B717" s="97"/>
      <c r="C717" s="97"/>
      <c r="D717" s="97"/>
      <c r="E717" s="98"/>
      <c r="F717" s="99" t="str">
        <f>IF(H717&lt;&gt;"",H717-Accueil!N$6+1/60/24,"")</f>
        <v/>
      </c>
      <c r="G717" s="97"/>
      <c r="H717" s="99"/>
      <c r="I717" s="99"/>
      <c r="J717" s="100"/>
      <c r="K717" s="101"/>
      <c r="L717" s="102"/>
      <c r="M717" s="103"/>
      <c r="N717" s="104"/>
      <c r="O717" s="97"/>
      <c r="P717" s="97"/>
      <c r="Q717" s="97"/>
      <c r="R717" s="105"/>
      <c r="S717" s="97"/>
      <c r="T717" s="97"/>
      <c r="U717" s="97" t="str">
        <f t="shared" si="14"/>
        <v/>
      </c>
      <c r="V717" s="97"/>
      <c r="W717" s="97"/>
      <c r="X717" s="97"/>
      <c r="Y717" s="97"/>
      <c r="Z717" s="97"/>
      <c r="AA717" s="97"/>
      <c r="AB717" s="97"/>
      <c r="AC717" s="97"/>
      <c r="AD717" s="97"/>
      <c r="AE717" s="97"/>
      <c r="AF717" s="97"/>
      <c r="AG717" s="97"/>
      <c r="AH717" s="97"/>
      <c r="AI717" s="97"/>
      <c r="AJ717" s="97"/>
      <c r="AK717" s="97"/>
      <c r="AL717" s="97"/>
      <c r="AM717" s="97"/>
      <c r="AN717" s="97"/>
      <c r="AO717" s="97"/>
      <c r="AP717" s="97"/>
      <c r="AQ717" s="97"/>
      <c r="AR717" s="97"/>
      <c r="AS717" s="97"/>
      <c r="AT717" s="97"/>
      <c r="AU717" s="97"/>
      <c r="AV717" s="97"/>
      <c r="AW717" s="97"/>
      <c r="AX717" s="97"/>
      <c r="AY717" s="97"/>
      <c r="AZ717" s="97"/>
      <c r="BA717" s="97"/>
      <c r="BB717" s="97"/>
      <c r="BC717" s="97"/>
      <c r="BD717" s="97"/>
      <c r="BE717" s="97"/>
      <c r="BF717" s="97"/>
      <c r="BG717" s="97"/>
      <c r="BH717" s="97"/>
    </row>
    <row r="718" spans="1:60" x14ac:dyDescent="0.25">
      <c r="A718" s="106"/>
      <c r="B718" s="107"/>
      <c r="C718" s="107"/>
      <c r="D718" s="107"/>
      <c r="E718" s="108"/>
      <c r="F718" s="109" t="str">
        <f>IF(H718&lt;&gt;"",H718-Accueil!N$6+1/60/24,"")</f>
        <v/>
      </c>
      <c r="G718" s="107"/>
      <c r="H718" s="109"/>
      <c r="I718" s="110"/>
      <c r="J718" s="110"/>
      <c r="K718" s="111"/>
      <c r="L718" s="112"/>
      <c r="M718" s="113"/>
      <c r="N718" s="114"/>
      <c r="O718" s="107"/>
      <c r="P718" s="107"/>
      <c r="Q718" s="115"/>
      <c r="R718" s="116"/>
      <c r="S718" s="107"/>
      <c r="T718" s="107"/>
      <c r="U718" s="107" t="str">
        <f t="shared" si="14"/>
        <v/>
      </c>
      <c r="V718" s="107"/>
      <c r="W718" s="107"/>
      <c r="X718" s="107"/>
      <c r="Y718" s="107"/>
      <c r="Z718" s="107"/>
      <c r="AA718" s="107"/>
      <c r="AB718" s="107"/>
      <c r="AC718" s="107"/>
      <c r="AD718" s="107"/>
      <c r="AE718" s="107"/>
      <c r="AF718" s="107"/>
      <c r="AG718" s="107"/>
      <c r="AH718" s="107"/>
      <c r="AI718" s="107"/>
      <c r="AJ718" s="107"/>
      <c r="AK718" s="107"/>
      <c r="AL718" s="107"/>
      <c r="AM718" s="107"/>
      <c r="AN718" s="107"/>
      <c r="AO718" s="107"/>
      <c r="AP718" s="107"/>
      <c r="AQ718" s="107"/>
      <c r="AR718" s="107"/>
      <c r="AS718" s="107"/>
      <c r="AT718" s="107"/>
      <c r="AU718" s="107"/>
      <c r="AV718" s="107"/>
      <c r="AW718" s="107"/>
      <c r="AX718" s="107"/>
      <c r="AY718" s="107"/>
      <c r="AZ718" s="107"/>
      <c r="BA718" s="107"/>
      <c r="BB718" s="107"/>
      <c r="BC718" s="107"/>
      <c r="BD718" s="107"/>
      <c r="BE718" s="107"/>
      <c r="BF718" s="107"/>
      <c r="BG718" s="107"/>
      <c r="BH718" s="107"/>
    </row>
    <row r="719" spans="1:60" x14ac:dyDescent="0.25">
      <c r="A719" s="96"/>
      <c r="B719" s="97"/>
      <c r="C719" s="97"/>
      <c r="D719" s="97"/>
      <c r="E719" s="98"/>
      <c r="F719" s="99" t="str">
        <f>IF(H719&lt;&gt;"",H719-Accueil!N$6+1/60/24,"")</f>
        <v/>
      </c>
      <c r="G719" s="97"/>
      <c r="H719" s="99"/>
      <c r="I719" s="99"/>
      <c r="J719" s="100"/>
      <c r="K719" s="101"/>
      <c r="L719" s="102"/>
      <c r="M719" s="103"/>
      <c r="N719" s="104"/>
      <c r="O719" s="97"/>
      <c r="P719" s="97"/>
      <c r="Q719" s="97"/>
      <c r="R719" s="105"/>
      <c r="S719" s="97"/>
      <c r="T719" s="97"/>
      <c r="U719" s="97" t="str">
        <f t="shared" si="14"/>
        <v/>
      </c>
      <c r="V719" s="97"/>
      <c r="W719" s="97"/>
      <c r="X719" s="97"/>
      <c r="Y719" s="97"/>
      <c r="Z719" s="97"/>
      <c r="AA719" s="97"/>
      <c r="AB719" s="97"/>
      <c r="AC719" s="97"/>
      <c r="AD719" s="97"/>
      <c r="AE719" s="97"/>
      <c r="AF719" s="97"/>
      <c r="AG719" s="97"/>
      <c r="AH719" s="97"/>
      <c r="AI719" s="97"/>
      <c r="AJ719" s="97"/>
      <c r="AK719" s="97"/>
      <c r="AL719" s="97"/>
      <c r="AM719" s="97"/>
      <c r="AN719" s="97"/>
      <c r="AO719" s="97"/>
      <c r="AP719" s="97"/>
      <c r="AQ719" s="97"/>
      <c r="AR719" s="97"/>
      <c r="AS719" s="97"/>
      <c r="AT719" s="97"/>
      <c r="AU719" s="97"/>
      <c r="AV719" s="97"/>
      <c r="AW719" s="97"/>
      <c r="AX719" s="97"/>
      <c r="AY719" s="97"/>
      <c r="AZ719" s="97"/>
      <c r="BA719" s="97"/>
      <c r="BB719" s="97"/>
      <c r="BC719" s="97"/>
      <c r="BD719" s="97"/>
      <c r="BE719" s="97"/>
      <c r="BF719" s="97"/>
      <c r="BG719" s="97"/>
      <c r="BH719" s="97"/>
    </row>
    <row r="720" spans="1:60" x14ac:dyDescent="0.25">
      <c r="A720" s="106"/>
      <c r="B720" s="107"/>
      <c r="C720" s="107"/>
      <c r="D720" s="107"/>
      <c r="E720" s="108"/>
      <c r="F720" s="109" t="str">
        <f>IF(H720&lt;&gt;"",H720-Accueil!N$6+1/60/24,"")</f>
        <v/>
      </c>
      <c r="G720" s="107"/>
      <c r="H720" s="109"/>
      <c r="I720" s="110"/>
      <c r="J720" s="110"/>
      <c r="K720" s="111"/>
      <c r="L720" s="112"/>
      <c r="M720" s="113"/>
      <c r="N720" s="114"/>
      <c r="O720" s="107"/>
      <c r="P720" s="107"/>
      <c r="Q720" s="115"/>
      <c r="R720" s="116"/>
      <c r="S720" s="107"/>
      <c r="T720" s="107"/>
      <c r="U720" s="107" t="str">
        <f t="shared" si="14"/>
        <v/>
      </c>
      <c r="V720" s="107"/>
      <c r="W720" s="107"/>
      <c r="X720" s="107"/>
      <c r="Y720" s="107"/>
      <c r="Z720" s="107"/>
      <c r="AA720" s="107"/>
      <c r="AB720" s="107"/>
      <c r="AC720" s="107"/>
      <c r="AD720" s="107"/>
      <c r="AE720" s="107"/>
      <c r="AF720" s="107"/>
      <c r="AG720" s="107"/>
      <c r="AH720" s="107"/>
      <c r="AI720" s="107"/>
      <c r="AJ720" s="107"/>
      <c r="AK720" s="107"/>
      <c r="AL720" s="107"/>
      <c r="AM720" s="107"/>
      <c r="AN720" s="107"/>
      <c r="AO720" s="107"/>
      <c r="AP720" s="107"/>
      <c r="AQ720" s="107"/>
      <c r="AR720" s="107"/>
      <c r="AS720" s="107"/>
      <c r="AT720" s="107"/>
      <c r="AU720" s="107"/>
      <c r="AV720" s="107"/>
      <c r="AW720" s="107"/>
      <c r="AX720" s="107"/>
      <c r="AY720" s="107"/>
      <c r="AZ720" s="107"/>
      <c r="BA720" s="107"/>
      <c r="BB720" s="107"/>
      <c r="BC720" s="107"/>
      <c r="BD720" s="107"/>
      <c r="BE720" s="107"/>
      <c r="BF720" s="107"/>
      <c r="BG720" s="107"/>
      <c r="BH720" s="107"/>
    </row>
    <row r="721" spans="1:60" x14ac:dyDescent="0.25">
      <c r="A721" s="96"/>
      <c r="B721" s="97"/>
      <c r="C721" s="97"/>
      <c r="D721" s="97"/>
      <c r="E721" s="98"/>
      <c r="F721" s="99" t="str">
        <f>IF(H721&lt;&gt;"",H721-Accueil!N$6+1/60/24,"")</f>
        <v/>
      </c>
      <c r="G721" s="97"/>
      <c r="H721" s="99"/>
      <c r="I721" s="99"/>
      <c r="J721" s="100"/>
      <c r="K721" s="101"/>
      <c r="L721" s="102"/>
      <c r="M721" s="103"/>
      <c r="N721" s="104"/>
      <c r="O721" s="97"/>
      <c r="P721" s="97"/>
      <c r="Q721" s="97"/>
      <c r="R721" s="105"/>
      <c r="S721" s="97"/>
      <c r="T721" s="97"/>
      <c r="U721" s="97" t="str">
        <f t="shared" si="14"/>
        <v/>
      </c>
      <c r="V721" s="97"/>
      <c r="W721" s="97"/>
      <c r="X721" s="97"/>
      <c r="Y721" s="97"/>
      <c r="Z721" s="97"/>
      <c r="AA721" s="97"/>
      <c r="AB721" s="97"/>
      <c r="AC721" s="97"/>
      <c r="AD721" s="97"/>
      <c r="AE721" s="97"/>
      <c r="AF721" s="97"/>
      <c r="AG721" s="97"/>
      <c r="AH721" s="97"/>
      <c r="AI721" s="97"/>
      <c r="AJ721" s="97"/>
      <c r="AK721" s="97"/>
      <c r="AL721" s="97"/>
      <c r="AM721" s="97"/>
      <c r="AN721" s="97"/>
      <c r="AO721" s="97"/>
      <c r="AP721" s="97"/>
      <c r="AQ721" s="97"/>
      <c r="AR721" s="97"/>
      <c r="AS721" s="97"/>
      <c r="AT721" s="97"/>
      <c r="AU721" s="97"/>
      <c r="AV721" s="97"/>
      <c r="AW721" s="97"/>
      <c r="AX721" s="97"/>
      <c r="AY721" s="97"/>
      <c r="AZ721" s="97"/>
      <c r="BA721" s="97"/>
      <c r="BB721" s="97"/>
      <c r="BC721" s="97"/>
      <c r="BD721" s="97"/>
      <c r="BE721" s="97"/>
      <c r="BF721" s="97"/>
      <c r="BG721" s="97"/>
      <c r="BH721" s="97"/>
    </row>
    <row r="722" spans="1:60" x14ac:dyDescent="0.25">
      <c r="A722" s="106"/>
      <c r="B722" s="107"/>
      <c r="C722" s="107"/>
      <c r="D722" s="107"/>
      <c r="E722" s="108"/>
      <c r="F722" s="109" t="str">
        <f>IF(H722&lt;&gt;"",H722-Accueil!N$6+1/60/24,"")</f>
        <v/>
      </c>
      <c r="G722" s="107"/>
      <c r="H722" s="109"/>
      <c r="I722" s="110"/>
      <c r="J722" s="110"/>
      <c r="K722" s="111"/>
      <c r="L722" s="112"/>
      <c r="M722" s="113"/>
      <c r="N722" s="114"/>
      <c r="O722" s="107"/>
      <c r="P722" s="107"/>
      <c r="Q722" s="115"/>
      <c r="R722" s="116"/>
      <c r="S722" s="107"/>
      <c r="T722" s="107"/>
      <c r="U722" s="107" t="str">
        <f t="shared" si="14"/>
        <v/>
      </c>
      <c r="V722" s="107"/>
      <c r="W722" s="107"/>
      <c r="X722" s="107"/>
      <c r="Y722" s="107"/>
      <c r="Z722" s="107"/>
      <c r="AA722" s="107"/>
      <c r="AB722" s="107"/>
      <c r="AC722" s="107"/>
      <c r="AD722" s="107"/>
      <c r="AE722" s="107"/>
      <c r="AF722" s="107"/>
      <c r="AG722" s="107"/>
      <c r="AH722" s="107"/>
      <c r="AI722" s="107"/>
      <c r="AJ722" s="107"/>
      <c r="AK722" s="107"/>
      <c r="AL722" s="107"/>
      <c r="AM722" s="107"/>
      <c r="AN722" s="107"/>
      <c r="AO722" s="107"/>
      <c r="AP722" s="107"/>
      <c r="AQ722" s="107"/>
      <c r="AR722" s="107"/>
      <c r="AS722" s="107"/>
      <c r="AT722" s="107"/>
      <c r="AU722" s="107"/>
      <c r="AV722" s="107"/>
      <c r="AW722" s="107"/>
      <c r="AX722" s="107"/>
      <c r="AY722" s="107"/>
      <c r="AZ722" s="107"/>
      <c r="BA722" s="107"/>
      <c r="BB722" s="107"/>
      <c r="BC722" s="107"/>
      <c r="BD722" s="107"/>
      <c r="BE722" s="107"/>
      <c r="BF722" s="107"/>
      <c r="BG722" s="107"/>
      <c r="BH722" s="107"/>
    </row>
    <row r="723" spans="1:60" x14ac:dyDescent="0.25">
      <c r="A723" s="96"/>
      <c r="B723" s="97"/>
      <c r="C723" s="97"/>
      <c r="D723" s="97"/>
      <c r="E723" s="98"/>
      <c r="F723" s="99" t="str">
        <f>IF(H723&lt;&gt;"",H723-Accueil!N$6+1/60/24,"")</f>
        <v/>
      </c>
      <c r="G723" s="97"/>
      <c r="H723" s="99"/>
      <c r="I723" s="99"/>
      <c r="J723" s="100"/>
      <c r="K723" s="101"/>
      <c r="L723" s="102"/>
      <c r="M723" s="103"/>
      <c r="N723" s="104"/>
      <c r="O723" s="97"/>
      <c r="P723" s="97"/>
      <c r="Q723" s="97"/>
      <c r="R723" s="105"/>
      <c r="S723" s="97"/>
      <c r="T723" s="97"/>
      <c r="U723" s="97" t="str">
        <f t="shared" si="14"/>
        <v/>
      </c>
      <c r="V723" s="97"/>
      <c r="W723" s="97"/>
      <c r="X723" s="97"/>
      <c r="Y723" s="97"/>
      <c r="Z723" s="97"/>
      <c r="AA723" s="97"/>
      <c r="AB723" s="97"/>
      <c r="AC723" s="97"/>
      <c r="AD723" s="97"/>
      <c r="AE723" s="97"/>
      <c r="AF723" s="97"/>
      <c r="AG723" s="97"/>
      <c r="AH723" s="97"/>
      <c r="AI723" s="97"/>
      <c r="AJ723" s="97"/>
      <c r="AK723" s="97"/>
      <c r="AL723" s="97"/>
      <c r="AM723" s="97"/>
      <c r="AN723" s="97"/>
      <c r="AO723" s="97"/>
      <c r="AP723" s="97"/>
      <c r="AQ723" s="97"/>
      <c r="AR723" s="97"/>
      <c r="AS723" s="97"/>
      <c r="AT723" s="97"/>
      <c r="AU723" s="97"/>
      <c r="AV723" s="97"/>
      <c r="AW723" s="97"/>
      <c r="AX723" s="97"/>
      <c r="AY723" s="97"/>
      <c r="AZ723" s="97"/>
      <c r="BA723" s="97"/>
      <c r="BB723" s="97"/>
      <c r="BC723" s="97"/>
      <c r="BD723" s="97"/>
      <c r="BE723" s="97"/>
      <c r="BF723" s="97"/>
      <c r="BG723" s="97"/>
      <c r="BH723" s="97"/>
    </row>
    <row r="724" spans="1:60" x14ac:dyDescent="0.25">
      <c r="A724" s="106"/>
      <c r="B724" s="107"/>
      <c r="C724" s="107"/>
      <c r="D724" s="107"/>
      <c r="E724" s="108"/>
      <c r="F724" s="109" t="str">
        <f>IF(H724&lt;&gt;"",H724-Accueil!N$6+1/60/24,"")</f>
        <v/>
      </c>
      <c r="G724" s="107"/>
      <c r="H724" s="109"/>
      <c r="I724" s="110"/>
      <c r="J724" s="110"/>
      <c r="K724" s="111"/>
      <c r="L724" s="112"/>
      <c r="M724" s="113"/>
      <c r="N724" s="114"/>
      <c r="O724" s="107"/>
      <c r="P724" s="107"/>
      <c r="Q724" s="115"/>
      <c r="R724" s="116"/>
      <c r="S724" s="107"/>
      <c r="T724" s="107"/>
      <c r="U724" s="107" t="str">
        <f t="shared" si="14"/>
        <v/>
      </c>
      <c r="V724" s="107"/>
      <c r="W724" s="107"/>
      <c r="X724" s="107"/>
      <c r="Y724" s="107"/>
      <c r="Z724" s="107"/>
      <c r="AA724" s="107"/>
      <c r="AB724" s="107"/>
      <c r="AC724" s="107"/>
      <c r="AD724" s="107"/>
      <c r="AE724" s="107"/>
      <c r="AF724" s="107"/>
      <c r="AG724" s="107"/>
      <c r="AH724" s="107"/>
      <c r="AI724" s="107"/>
      <c r="AJ724" s="107"/>
      <c r="AK724" s="107"/>
      <c r="AL724" s="107"/>
      <c r="AM724" s="107"/>
      <c r="AN724" s="107"/>
      <c r="AO724" s="107"/>
      <c r="AP724" s="107"/>
      <c r="AQ724" s="107"/>
      <c r="AR724" s="107"/>
      <c r="AS724" s="107"/>
      <c r="AT724" s="107"/>
      <c r="AU724" s="107"/>
      <c r="AV724" s="107"/>
      <c r="AW724" s="107"/>
      <c r="AX724" s="107"/>
      <c r="AY724" s="107"/>
      <c r="AZ724" s="107"/>
      <c r="BA724" s="107"/>
      <c r="BB724" s="107"/>
      <c r="BC724" s="107"/>
      <c r="BD724" s="107"/>
      <c r="BE724" s="107"/>
      <c r="BF724" s="107"/>
      <c r="BG724" s="107"/>
      <c r="BH724" s="107"/>
    </row>
    <row r="725" spans="1:60" x14ac:dyDescent="0.25">
      <c r="A725" s="96"/>
      <c r="B725" s="97"/>
      <c r="C725" s="97"/>
      <c r="D725" s="97"/>
      <c r="E725" s="98"/>
      <c r="F725" s="99" t="str">
        <f>IF(H725&lt;&gt;"",H725-Accueil!N$6+1/60/24,"")</f>
        <v/>
      </c>
      <c r="G725" s="97"/>
      <c r="H725" s="99"/>
      <c r="I725" s="99"/>
      <c r="J725" s="100"/>
      <c r="K725" s="101"/>
      <c r="L725" s="102"/>
      <c r="M725" s="103"/>
      <c r="N725" s="104"/>
      <c r="O725" s="97"/>
      <c r="P725" s="97"/>
      <c r="Q725" s="97"/>
      <c r="R725" s="105"/>
      <c r="S725" s="97"/>
      <c r="T725" s="97"/>
      <c r="U725" s="97" t="str">
        <f t="shared" si="14"/>
        <v/>
      </c>
      <c r="V725" s="97"/>
      <c r="W725" s="97"/>
      <c r="X725" s="97"/>
      <c r="Y725" s="97"/>
      <c r="Z725" s="97"/>
      <c r="AA725" s="97"/>
      <c r="AB725" s="97"/>
      <c r="AC725" s="97"/>
      <c r="AD725" s="97"/>
      <c r="AE725" s="97"/>
      <c r="AF725" s="97"/>
      <c r="AG725" s="97"/>
      <c r="AH725" s="97"/>
      <c r="AI725" s="97"/>
      <c r="AJ725" s="97"/>
      <c r="AK725" s="97"/>
      <c r="AL725" s="97"/>
      <c r="AM725" s="97"/>
      <c r="AN725" s="97"/>
      <c r="AO725" s="97"/>
      <c r="AP725" s="97"/>
      <c r="AQ725" s="97"/>
      <c r="AR725" s="97"/>
      <c r="AS725" s="97"/>
      <c r="AT725" s="97"/>
      <c r="AU725" s="97"/>
      <c r="AV725" s="97"/>
      <c r="AW725" s="97"/>
      <c r="AX725" s="97"/>
      <c r="AY725" s="97"/>
      <c r="AZ725" s="97"/>
      <c r="BA725" s="97"/>
      <c r="BB725" s="97"/>
      <c r="BC725" s="97"/>
      <c r="BD725" s="97"/>
      <c r="BE725" s="97"/>
      <c r="BF725" s="97"/>
      <c r="BG725" s="97"/>
      <c r="BH725" s="97"/>
    </row>
    <row r="726" spans="1:60" x14ac:dyDescent="0.25">
      <c r="A726" s="106"/>
      <c r="B726" s="107"/>
      <c r="C726" s="107"/>
      <c r="D726" s="107"/>
      <c r="E726" s="108"/>
      <c r="F726" s="109" t="str">
        <f>IF(H726&lt;&gt;"",H726-Accueil!N$6+1/60/24,"")</f>
        <v/>
      </c>
      <c r="G726" s="107"/>
      <c r="H726" s="109"/>
      <c r="I726" s="110"/>
      <c r="J726" s="110"/>
      <c r="K726" s="111"/>
      <c r="L726" s="112"/>
      <c r="M726" s="113"/>
      <c r="N726" s="114"/>
      <c r="O726" s="107"/>
      <c r="P726" s="107"/>
      <c r="Q726" s="115"/>
      <c r="R726" s="116"/>
      <c r="S726" s="107"/>
      <c r="T726" s="107"/>
      <c r="U726" s="107" t="str">
        <f t="shared" si="14"/>
        <v/>
      </c>
      <c r="V726" s="107"/>
      <c r="W726" s="107"/>
      <c r="X726" s="107"/>
      <c r="Y726" s="107"/>
      <c r="Z726" s="107"/>
      <c r="AA726" s="107"/>
      <c r="AB726" s="107"/>
      <c r="AC726" s="107"/>
      <c r="AD726" s="107"/>
      <c r="AE726" s="107"/>
      <c r="AF726" s="107"/>
      <c r="AG726" s="107"/>
      <c r="AH726" s="107"/>
      <c r="AI726" s="107"/>
      <c r="AJ726" s="107"/>
      <c r="AK726" s="107"/>
      <c r="AL726" s="107"/>
      <c r="AM726" s="107"/>
      <c r="AN726" s="107"/>
      <c r="AO726" s="107"/>
      <c r="AP726" s="107"/>
      <c r="AQ726" s="107"/>
      <c r="AR726" s="107"/>
      <c r="AS726" s="107"/>
      <c r="AT726" s="107"/>
      <c r="AU726" s="107"/>
      <c r="AV726" s="107"/>
      <c r="AW726" s="107"/>
      <c r="AX726" s="107"/>
      <c r="AY726" s="107"/>
      <c r="AZ726" s="107"/>
      <c r="BA726" s="107"/>
      <c r="BB726" s="107"/>
      <c r="BC726" s="107"/>
      <c r="BD726" s="107"/>
      <c r="BE726" s="107"/>
      <c r="BF726" s="107"/>
      <c r="BG726" s="107"/>
      <c r="BH726" s="107"/>
    </row>
    <row r="727" spans="1:60" x14ac:dyDescent="0.25">
      <c r="A727" s="96"/>
      <c r="B727" s="97"/>
      <c r="C727" s="97"/>
      <c r="D727" s="97"/>
      <c r="E727" s="98"/>
      <c r="F727" s="99" t="str">
        <f>IF(H727&lt;&gt;"",H727-Accueil!N$6+1/60/24,"")</f>
        <v/>
      </c>
      <c r="G727" s="97"/>
      <c r="H727" s="99"/>
      <c r="I727" s="99"/>
      <c r="J727" s="100"/>
      <c r="K727" s="101"/>
      <c r="L727" s="102"/>
      <c r="M727" s="103"/>
      <c r="N727" s="104"/>
      <c r="O727" s="97"/>
      <c r="P727" s="97"/>
      <c r="Q727" s="97"/>
      <c r="R727" s="105"/>
      <c r="S727" s="97"/>
      <c r="T727" s="97"/>
      <c r="U727" s="97" t="str">
        <f t="shared" si="14"/>
        <v/>
      </c>
      <c r="V727" s="97"/>
      <c r="W727" s="97"/>
      <c r="X727" s="97"/>
      <c r="Y727" s="97"/>
      <c r="Z727" s="97"/>
      <c r="AA727" s="97"/>
      <c r="AB727" s="97"/>
      <c r="AC727" s="97"/>
      <c r="AD727" s="97"/>
      <c r="AE727" s="97"/>
      <c r="AF727" s="97"/>
      <c r="AG727" s="97"/>
      <c r="AH727" s="97"/>
      <c r="AI727" s="97"/>
      <c r="AJ727" s="97"/>
      <c r="AK727" s="97"/>
      <c r="AL727" s="97"/>
      <c r="AM727" s="97"/>
      <c r="AN727" s="97"/>
      <c r="AO727" s="97"/>
      <c r="AP727" s="97"/>
      <c r="AQ727" s="97"/>
      <c r="AR727" s="97"/>
      <c r="AS727" s="97"/>
      <c r="AT727" s="97"/>
      <c r="AU727" s="97"/>
      <c r="AV727" s="97"/>
      <c r="AW727" s="97"/>
      <c r="AX727" s="97"/>
      <c r="AY727" s="97"/>
      <c r="AZ727" s="97"/>
      <c r="BA727" s="97"/>
      <c r="BB727" s="97"/>
      <c r="BC727" s="97"/>
      <c r="BD727" s="97"/>
      <c r="BE727" s="97"/>
      <c r="BF727" s="97"/>
      <c r="BG727" s="97"/>
      <c r="BH727" s="97"/>
    </row>
    <row r="728" spans="1:60" x14ac:dyDescent="0.25">
      <c r="A728" s="106"/>
      <c r="B728" s="107"/>
      <c r="C728" s="107"/>
      <c r="D728" s="107"/>
      <c r="E728" s="108"/>
      <c r="F728" s="109" t="str">
        <f>IF(H728&lt;&gt;"",H728-Accueil!N$6+1/60/24,"")</f>
        <v/>
      </c>
      <c r="G728" s="107"/>
      <c r="H728" s="109"/>
      <c r="I728" s="110"/>
      <c r="J728" s="110"/>
      <c r="K728" s="111"/>
      <c r="L728" s="112"/>
      <c r="M728" s="113"/>
      <c r="N728" s="114"/>
      <c r="O728" s="107"/>
      <c r="P728" s="107"/>
      <c r="Q728" s="115"/>
      <c r="R728" s="116"/>
      <c r="S728" s="107"/>
      <c r="T728" s="107"/>
      <c r="U728" s="107" t="str">
        <f t="shared" si="14"/>
        <v/>
      </c>
      <c r="V728" s="107"/>
      <c r="W728" s="107"/>
      <c r="X728" s="107"/>
      <c r="Y728" s="107"/>
      <c r="Z728" s="107"/>
      <c r="AA728" s="107"/>
      <c r="AB728" s="107"/>
      <c r="AC728" s="107"/>
      <c r="AD728" s="107"/>
      <c r="AE728" s="107"/>
      <c r="AF728" s="107"/>
      <c r="AG728" s="107"/>
      <c r="AH728" s="107"/>
      <c r="AI728" s="107"/>
      <c r="AJ728" s="107"/>
      <c r="AK728" s="107"/>
      <c r="AL728" s="107"/>
      <c r="AM728" s="107"/>
      <c r="AN728" s="107"/>
      <c r="AO728" s="107"/>
      <c r="AP728" s="107"/>
      <c r="AQ728" s="107"/>
      <c r="AR728" s="107"/>
      <c r="AS728" s="107"/>
      <c r="AT728" s="107"/>
      <c r="AU728" s="107"/>
      <c r="AV728" s="107"/>
      <c r="AW728" s="107"/>
      <c r="AX728" s="107"/>
      <c r="AY728" s="107"/>
      <c r="AZ728" s="107"/>
      <c r="BA728" s="107"/>
      <c r="BB728" s="107"/>
      <c r="BC728" s="107"/>
      <c r="BD728" s="107"/>
      <c r="BE728" s="107"/>
      <c r="BF728" s="107"/>
      <c r="BG728" s="107"/>
      <c r="BH728" s="107"/>
    </row>
    <row r="729" spans="1:60" x14ac:dyDescent="0.25">
      <c r="A729" s="96"/>
      <c r="B729" s="97"/>
      <c r="C729" s="97"/>
      <c r="D729" s="97"/>
      <c r="E729" s="98"/>
      <c r="F729" s="99" t="str">
        <f>IF(H729&lt;&gt;"",H729-Accueil!N$6+1/60/24,"")</f>
        <v/>
      </c>
      <c r="G729" s="97"/>
      <c r="H729" s="99"/>
      <c r="I729" s="99"/>
      <c r="J729" s="100"/>
      <c r="K729" s="101"/>
      <c r="L729" s="102"/>
      <c r="M729" s="103"/>
      <c r="N729" s="104"/>
      <c r="O729" s="97"/>
      <c r="P729" s="97"/>
      <c r="Q729" s="97"/>
      <c r="R729" s="105"/>
      <c r="S729" s="97"/>
      <c r="T729" s="97"/>
      <c r="U729" s="97" t="str">
        <f t="shared" si="14"/>
        <v/>
      </c>
      <c r="V729" s="97"/>
      <c r="W729" s="97"/>
      <c r="X729" s="97"/>
      <c r="Y729" s="97"/>
      <c r="Z729" s="97"/>
      <c r="AA729" s="97"/>
      <c r="AB729" s="97"/>
      <c r="AC729" s="97"/>
      <c r="AD729" s="97"/>
      <c r="AE729" s="97"/>
      <c r="AF729" s="97"/>
      <c r="AG729" s="97"/>
      <c r="AH729" s="97"/>
      <c r="AI729" s="97"/>
      <c r="AJ729" s="97"/>
      <c r="AK729" s="97"/>
      <c r="AL729" s="97"/>
      <c r="AM729" s="97"/>
      <c r="AN729" s="97"/>
      <c r="AO729" s="97"/>
      <c r="AP729" s="97"/>
      <c r="AQ729" s="97"/>
      <c r="AR729" s="97"/>
      <c r="AS729" s="97"/>
      <c r="AT729" s="97"/>
      <c r="AU729" s="97"/>
      <c r="AV729" s="97"/>
      <c r="AW729" s="97"/>
      <c r="AX729" s="97"/>
      <c r="AY729" s="97"/>
      <c r="AZ729" s="97"/>
      <c r="BA729" s="97"/>
      <c r="BB729" s="97"/>
      <c r="BC729" s="97"/>
      <c r="BD729" s="97"/>
      <c r="BE729" s="97"/>
      <c r="BF729" s="97"/>
      <c r="BG729" s="97"/>
      <c r="BH729" s="97"/>
    </row>
    <row r="730" spans="1:60" x14ac:dyDescent="0.25">
      <c r="A730" s="106"/>
      <c r="B730" s="107"/>
      <c r="C730" s="107"/>
      <c r="D730" s="107"/>
      <c r="E730" s="108"/>
      <c r="F730" s="109" t="str">
        <f>IF(H730&lt;&gt;"",H730-Accueil!N$6+1/60/24,"")</f>
        <v/>
      </c>
      <c r="G730" s="107"/>
      <c r="H730" s="109"/>
      <c r="I730" s="110"/>
      <c r="J730" s="110"/>
      <c r="K730" s="111"/>
      <c r="L730" s="112"/>
      <c r="M730" s="113"/>
      <c r="N730" s="114"/>
      <c r="O730" s="107"/>
      <c r="P730" s="107"/>
      <c r="Q730" s="115"/>
      <c r="R730" s="116"/>
      <c r="S730" s="107"/>
      <c r="T730" s="107"/>
      <c r="U730" s="107" t="str">
        <f t="shared" si="14"/>
        <v/>
      </c>
      <c r="V730" s="107"/>
      <c r="W730" s="107"/>
      <c r="X730" s="107"/>
      <c r="Y730" s="107"/>
      <c r="Z730" s="107"/>
      <c r="AA730" s="107"/>
      <c r="AB730" s="107"/>
      <c r="AC730" s="107"/>
      <c r="AD730" s="107"/>
      <c r="AE730" s="107"/>
      <c r="AF730" s="107"/>
      <c r="AG730" s="107"/>
      <c r="AH730" s="107"/>
      <c r="AI730" s="107"/>
      <c r="AJ730" s="107"/>
      <c r="AK730" s="107"/>
      <c r="AL730" s="107"/>
      <c r="AM730" s="107"/>
      <c r="AN730" s="107"/>
      <c r="AO730" s="107"/>
      <c r="AP730" s="107"/>
      <c r="AQ730" s="107"/>
      <c r="AR730" s="107"/>
      <c r="AS730" s="107"/>
      <c r="AT730" s="107"/>
      <c r="AU730" s="107"/>
      <c r="AV730" s="107"/>
      <c r="AW730" s="107"/>
      <c r="AX730" s="107"/>
      <c r="AY730" s="107"/>
      <c r="AZ730" s="107"/>
      <c r="BA730" s="107"/>
      <c r="BB730" s="107"/>
      <c r="BC730" s="107"/>
      <c r="BD730" s="107"/>
      <c r="BE730" s="107"/>
      <c r="BF730" s="107"/>
      <c r="BG730" s="107"/>
      <c r="BH730" s="107"/>
    </row>
    <row r="731" spans="1:60" x14ac:dyDescent="0.25">
      <c r="A731" s="96"/>
      <c r="B731" s="97"/>
      <c r="C731" s="97"/>
      <c r="D731" s="97"/>
      <c r="E731" s="98"/>
      <c r="F731" s="99" t="str">
        <f>IF(H731&lt;&gt;"",H731-Accueil!N$6+1/60/24,"")</f>
        <v/>
      </c>
      <c r="G731" s="97"/>
      <c r="H731" s="99"/>
      <c r="I731" s="99"/>
      <c r="J731" s="100"/>
      <c r="K731" s="101"/>
      <c r="L731" s="102"/>
      <c r="M731" s="103"/>
      <c r="N731" s="104"/>
      <c r="O731" s="97"/>
      <c r="P731" s="97"/>
      <c r="Q731" s="97"/>
      <c r="R731" s="105"/>
      <c r="S731" s="97"/>
      <c r="T731" s="97"/>
      <c r="U731" s="97" t="str">
        <f t="shared" si="14"/>
        <v/>
      </c>
      <c r="V731" s="97"/>
      <c r="W731" s="97"/>
      <c r="X731" s="97"/>
      <c r="Y731" s="97"/>
      <c r="Z731" s="97"/>
      <c r="AA731" s="97"/>
      <c r="AB731" s="97"/>
      <c r="AC731" s="97"/>
      <c r="AD731" s="97"/>
      <c r="AE731" s="97"/>
      <c r="AF731" s="97"/>
      <c r="AG731" s="97"/>
      <c r="AH731" s="97"/>
      <c r="AI731" s="97"/>
      <c r="AJ731" s="97"/>
      <c r="AK731" s="97"/>
      <c r="AL731" s="97"/>
      <c r="AM731" s="97"/>
      <c r="AN731" s="97"/>
      <c r="AO731" s="97"/>
      <c r="AP731" s="97"/>
      <c r="AQ731" s="97"/>
      <c r="AR731" s="97"/>
      <c r="AS731" s="97"/>
      <c r="AT731" s="97"/>
      <c r="AU731" s="97"/>
      <c r="AV731" s="97"/>
      <c r="AW731" s="97"/>
      <c r="AX731" s="97"/>
      <c r="AY731" s="97"/>
      <c r="AZ731" s="97"/>
      <c r="BA731" s="97"/>
      <c r="BB731" s="97"/>
      <c r="BC731" s="97"/>
      <c r="BD731" s="97"/>
      <c r="BE731" s="97"/>
      <c r="BF731" s="97"/>
      <c r="BG731" s="97"/>
      <c r="BH731" s="97"/>
    </row>
    <row r="732" spans="1:60" x14ac:dyDescent="0.25">
      <c r="A732" s="106"/>
      <c r="B732" s="107"/>
      <c r="C732" s="107"/>
      <c r="D732" s="107"/>
      <c r="E732" s="108"/>
      <c r="F732" s="109" t="str">
        <f>IF(H732&lt;&gt;"",H732-Accueil!N$6+1/60/24,"")</f>
        <v/>
      </c>
      <c r="G732" s="107"/>
      <c r="H732" s="109"/>
      <c r="I732" s="110"/>
      <c r="J732" s="110"/>
      <c r="K732" s="111"/>
      <c r="L732" s="112"/>
      <c r="M732" s="113"/>
      <c r="N732" s="114"/>
      <c r="O732" s="107"/>
      <c r="P732" s="107"/>
      <c r="Q732" s="115"/>
      <c r="R732" s="116"/>
      <c r="S732" s="107"/>
      <c r="T732" s="107"/>
      <c r="U732" s="107" t="str">
        <f t="shared" si="14"/>
        <v/>
      </c>
      <c r="V732" s="107"/>
      <c r="W732" s="107"/>
      <c r="X732" s="107"/>
      <c r="Y732" s="107"/>
      <c r="Z732" s="107"/>
      <c r="AA732" s="107"/>
      <c r="AB732" s="107"/>
      <c r="AC732" s="107"/>
      <c r="AD732" s="107"/>
      <c r="AE732" s="107"/>
      <c r="AF732" s="107"/>
      <c r="AG732" s="107"/>
      <c r="AH732" s="107"/>
      <c r="AI732" s="107"/>
      <c r="AJ732" s="107"/>
      <c r="AK732" s="107"/>
      <c r="AL732" s="107"/>
      <c r="AM732" s="107"/>
      <c r="AN732" s="107"/>
      <c r="AO732" s="107"/>
      <c r="AP732" s="107"/>
      <c r="AQ732" s="107"/>
      <c r="AR732" s="107"/>
      <c r="AS732" s="107"/>
      <c r="AT732" s="107"/>
      <c r="AU732" s="107"/>
      <c r="AV732" s="107"/>
      <c r="AW732" s="107"/>
      <c r="AX732" s="107"/>
      <c r="AY732" s="107"/>
      <c r="AZ732" s="107"/>
      <c r="BA732" s="107"/>
      <c r="BB732" s="107"/>
      <c r="BC732" s="107"/>
      <c r="BD732" s="107"/>
      <c r="BE732" s="107"/>
      <c r="BF732" s="107"/>
      <c r="BG732" s="107"/>
      <c r="BH732" s="107"/>
    </row>
    <row r="733" spans="1:60" x14ac:dyDescent="0.25">
      <c r="A733" s="96"/>
      <c r="B733" s="97"/>
      <c r="C733" s="97"/>
      <c r="D733" s="97"/>
      <c r="E733" s="98"/>
      <c r="F733" s="99" t="str">
        <f>IF(H733&lt;&gt;"",H733-Accueil!N$6+1/60/24,"")</f>
        <v/>
      </c>
      <c r="G733" s="97"/>
      <c r="H733" s="99"/>
      <c r="I733" s="99"/>
      <c r="J733" s="100"/>
      <c r="K733" s="101"/>
      <c r="L733" s="102"/>
      <c r="M733" s="103"/>
      <c r="N733" s="104"/>
      <c r="O733" s="97"/>
      <c r="P733" s="97"/>
      <c r="Q733" s="97"/>
      <c r="R733" s="105"/>
      <c r="S733" s="97"/>
      <c r="T733" s="97"/>
      <c r="U733" s="97" t="str">
        <f t="shared" si="14"/>
        <v/>
      </c>
      <c r="V733" s="97"/>
      <c r="W733" s="97"/>
      <c r="X733" s="97"/>
      <c r="Y733" s="97"/>
      <c r="Z733" s="97"/>
      <c r="AA733" s="97"/>
      <c r="AB733" s="97"/>
      <c r="AC733" s="97"/>
      <c r="AD733" s="97"/>
      <c r="AE733" s="97"/>
      <c r="AF733" s="97"/>
      <c r="AG733" s="97"/>
      <c r="AH733" s="97"/>
      <c r="AI733" s="97"/>
      <c r="AJ733" s="97"/>
      <c r="AK733" s="97"/>
      <c r="AL733" s="97"/>
      <c r="AM733" s="97"/>
      <c r="AN733" s="97"/>
      <c r="AO733" s="97"/>
      <c r="AP733" s="97"/>
      <c r="AQ733" s="97"/>
      <c r="AR733" s="97"/>
      <c r="AS733" s="97"/>
      <c r="AT733" s="97"/>
      <c r="AU733" s="97"/>
      <c r="AV733" s="97"/>
      <c r="AW733" s="97"/>
      <c r="AX733" s="97"/>
      <c r="AY733" s="97"/>
      <c r="AZ733" s="97"/>
      <c r="BA733" s="97"/>
      <c r="BB733" s="97"/>
      <c r="BC733" s="97"/>
      <c r="BD733" s="97"/>
      <c r="BE733" s="97"/>
      <c r="BF733" s="97"/>
      <c r="BG733" s="97"/>
      <c r="BH733" s="97"/>
    </row>
    <row r="734" spans="1:60" x14ac:dyDescent="0.25">
      <c r="A734" s="106"/>
      <c r="B734" s="107"/>
      <c r="C734" s="107"/>
      <c r="D734" s="107"/>
      <c r="E734" s="108"/>
      <c r="F734" s="109" t="str">
        <f>IF(H734&lt;&gt;"",H734-Accueil!N$6+1/60/24,"")</f>
        <v/>
      </c>
      <c r="G734" s="107"/>
      <c r="H734" s="109"/>
      <c r="I734" s="110"/>
      <c r="J734" s="110"/>
      <c r="K734" s="111"/>
      <c r="L734" s="112"/>
      <c r="M734" s="113"/>
      <c r="N734" s="114"/>
      <c r="O734" s="107"/>
      <c r="P734" s="107"/>
      <c r="Q734" s="115"/>
      <c r="R734" s="116"/>
      <c r="S734" s="107"/>
      <c r="T734" s="107"/>
      <c r="U734" s="107" t="str">
        <f t="shared" si="14"/>
        <v/>
      </c>
      <c r="V734" s="107"/>
      <c r="W734" s="107"/>
      <c r="X734" s="107"/>
      <c r="Y734" s="107"/>
      <c r="Z734" s="107"/>
      <c r="AA734" s="107"/>
      <c r="AB734" s="107"/>
      <c r="AC734" s="107"/>
      <c r="AD734" s="107"/>
      <c r="AE734" s="107"/>
      <c r="AF734" s="107"/>
      <c r="AG734" s="107"/>
      <c r="AH734" s="107"/>
      <c r="AI734" s="107"/>
      <c r="AJ734" s="107"/>
      <c r="AK734" s="107"/>
      <c r="AL734" s="107"/>
      <c r="AM734" s="107"/>
      <c r="AN734" s="107"/>
      <c r="AO734" s="107"/>
      <c r="AP734" s="107"/>
      <c r="AQ734" s="107"/>
      <c r="AR734" s="107"/>
      <c r="AS734" s="107"/>
      <c r="AT734" s="107"/>
      <c r="AU734" s="107"/>
      <c r="AV734" s="107"/>
      <c r="AW734" s="107"/>
      <c r="AX734" s="107"/>
      <c r="AY734" s="107"/>
      <c r="AZ734" s="107"/>
      <c r="BA734" s="107"/>
      <c r="BB734" s="107"/>
      <c r="BC734" s="107"/>
      <c r="BD734" s="107"/>
      <c r="BE734" s="107"/>
      <c r="BF734" s="107"/>
      <c r="BG734" s="107"/>
      <c r="BH734" s="107"/>
    </row>
    <row r="735" spans="1:60" x14ac:dyDescent="0.25">
      <c r="A735" s="96"/>
      <c r="B735" s="97"/>
      <c r="C735" s="97"/>
      <c r="D735" s="97"/>
      <c r="E735" s="98"/>
      <c r="F735" s="99" t="str">
        <f>IF(H735&lt;&gt;"",H735-Accueil!N$6+1/60/24,"")</f>
        <v/>
      </c>
      <c r="G735" s="97"/>
      <c r="H735" s="99"/>
      <c r="I735" s="99"/>
      <c r="J735" s="100"/>
      <c r="K735" s="101"/>
      <c r="L735" s="102"/>
      <c r="M735" s="103"/>
      <c r="N735" s="104"/>
      <c r="O735" s="97"/>
      <c r="P735" s="97"/>
      <c r="Q735" s="97"/>
      <c r="R735" s="105"/>
      <c r="S735" s="97"/>
      <c r="T735" s="97"/>
      <c r="U735" s="97" t="str">
        <f t="shared" si="14"/>
        <v/>
      </c>
      <c r="V735" s="97"/>
      <c r="W735" s="97"/>
      <c r="X735" s="97"/>
      <c r="Y735" s="97"/>
      <c r="Z735" s="97"/>
      <c r="AA735" s="97"/>
      <c r="AB735" s="97"/>
      <c r="AC735" s="97"/>
      <c r="AD735" s="97"/>
      <c r="AE735" s="97"/>
      <c r="AF735" s="97"/>
      <c r="AG735" s="97"/>
      <c r="AH735" s="97"/>
      <c r="AI735" s="97"/>
      <c r="AJ735" s="97"/>
      <c r="AK735" s="97"/>
      <c r="AL735" s="97"/>
      <c r="AM735" s="97"/>
      <c r="AN735" s="97"/>
      <c r="AO735" s="97"/>
      <c r="AP735" s="97"/>
      <c r="AQ735" s="97"/>
      <c r="AR735" s="97"/>
      <c r="AS735" s="97"/>
      <c r="AT735" s="97"/>
      <c r="AU735" s="97"/>
      <c r="AV735" s="97"/>
      <c r="AW735" s="97"/>
      <c r="AX735" s="97"/>
      <c r="AY735" s="97"/>
      <c r="AZ735" s="97"/>
      <c r="BA735" s="97"/>
      <c r="BB735" s="97"/>
      <c r="BC735" s="97"/>
      <c r="BD735" s="97"/>
      <c r="BE735" s="97"/>
      <c r="BF735" s="97"/>
      <c r="BG735" s="97"/>
      <c r="BH735" s="97"/>
    </row>
    <row r="736" spans="1:60" x14ac:dyDescent="0.25">
      <c r="A736" s="106"/>
      <c r="B736" s="107"/>
      <c r="C736" s="107"/>
      <c r="D736" s="107"/>
      <c r="E736" s="108"/>
      <c r="F736" s="109" t="str">
        <f>IF(H736&lt;&gt;"",H736-Accueil!N$6+1/60/24,"")</f>
        <v/>
      </c>
      <c r="G736" s="107"/>
      <c r="H736" s="109"/>
      <c r="I736" s="110"/>
      <c r="J736" s="110"/>
      <c r="K736" s="111"/>
      <c r="L736" s="112"/>
      <c r="M736" s="113"/>
      <c r="N736" s="114"/>
      <c r="O736" s="107"/>
      <c r="P736" s="107"/>
      <c r="Q736" s="115"/>
      <c r="R736" s="116"/>
      <c r="S736" s="107"/>
      <c r="T736" s="107"/>
      <c r="U736" s="107" t="str">
        <f t="shared" si="14"/>
        <v/>
      </c>
      <c r="V736" s="107"/>
      <c r="W736" s="107"/>
      <c r="X736" s="107"/>
      <c r="Y736" s="107"/>
      <c r="Z736" s="107"/>
      <c r="AA736" s="107"/>
      <c r="AB736" s="107"/>
      <c r="AC736" s="107"/>
      <c r="AD736" s="107"/>
      <c r="AE736" s="107"/>
      <c r="AF736" s="107"/>
      <c r="AG736" s="107"/>
      <c r="AH736" s="107"/>
      <c r="AI736" s="107"/>
      <c r="AJ736" s="107"/>
      <c r="AK736" s="107"/>
      <c r="AL736" s="107"/>
      <c r="AM736" s="107"/>
      <c r="AN736" s="107"/>
      <c r="AO736" s="107"/>
      <c r="AP736" s="107"/>
      <c r="AQ736" s="107"/>
      <c r="AR736" s="107"/>
      <c r="AS736" s="107"/>
      <c r="AT736" s="107"/>
      <c r="AU736" s="107"/>
      <c r="AV736" s="107"/>
      <c r="AW736" s="107"/>
      <c r="AX736" s="107"/>
      <c r="AY736" s="107"/>
      <c r="AZ736" s="107"/>
      <c r="BA736" s="107"/>
      <c r="BB736" s="107"/>
      <c r="BC736" s="107"/>
      <c r="BD736" s="107"/>
      <c r="BE736" s="107"/>
      <c r="BF736" s="107"/>
      <c r="BG736" s="107"/>
      <c r="BH736" s="107"/>
    </row>
    <row r="737" spans="1:60" x14ac:dyDescent="0.25">
      <c r="A737" s="96"/>
      <c r="B737" s="97"/>
      <c r="C737" s="97"/>
      <c r="D737" s="97"/>
      <c r="E737" s="98"/>
      <c r="F737" s="99" t="str">
        <f>IF(H737&lt;&gt;"",H737-Accueil!N$6+1/60/24,"")</f>
        <v/>
      </c>
      <c r="G737" s="97"/>
      <c r="H737" s="99"/>
      <c r="I737" s="99"/>
      <c r="J737" s="100"/>
      <c r="K737" s="101"/>
      <c r="L737" s="102"/>
      <c r="M737" s="103"/>
      <c r="N737" s="104"/>
      <c r="O737" s="97"/>
      <c r="P737" s="97"/>
      <c r="Q737" s="97"/>
      <c r="R737" s="105"/>
      <c r="S737" s="97"/>
      <c r="T737" s="97"/>
      <c r="U737" s="97" t="str">
        <f t="shared" si="14"/>
        <v/>
      </c>
      <c r="V737" s="97"/>
      <c r="W737" s="97"/>
      <c r="X737" s="97"/>
      <c r="Y737" s="97"/>
      <c r="Z737" s="97"/>
      <c r="AA737" s="97"/>
      <c r="AB737" s="97"/>
      <c r="AC737" s="97"/>
      <c r="AD737" s="97"/>
      <c r="AE737" s="97"/>
      <c r="AF737" s="97"/>
      <c r="AG737" s="97"/>
      <c r="AH737" s="97"/>
      <c r="AI737" s="97"/>
      <c r="AJ737" s="97"/>
      <c r="AK737" s="97"/>
      <c r="AL737" s="97"/>
      <c r="AM737" s="97"/>
      <c r="AN737" s="97"/>
      <c r="AO737" s="97"/>
      <c r="AP737" s="97"/>
      <c r="AQ737" s="97"/>
      <c r="AR737" s="97"/>
      <c r="AS737" s="97"/>
      <c r="AT737" s="97"/>
      <c r="AU737" s="97"/>
      <c r="AV737" s="97"/>
      <c r="AW737" s="97"/>
      <c r="AX737" s="97"/>
      <c r="AY737" s="97"/>
      <c r="AZ737" s="97"/>
      <c r="BA737" s="97"/>
      <c r="BB737" s="97"/>
      <c r="BC737" s="97"/>
      <c r="BD737" s="97"/>
      <c r="BE737" s="97"/>
      <c r="BF737" s="97"/>
      <c r="BG737" s="97"/>
      <c r="BH737" s="97"/>
    </row>
    <row r="738" spans="1:60" x14ac:dyDescent="0.25">
      <c r="A738" s="106"/>
      <c r="B738" s="107"/>
      <c r="C738" s="107"/>
      <c r="D738" s="107"/>
      <c r="E738" s="108"/>
      <c r="F738" s="109" t="str">
        <f>IF(H738&lt;&gt;"",H738-Accueil!N$6+1/60/24,"")</f>
        <v/>
      </c>
      <c r="G738" s="107"/>
      <c r="H738" s="109"/>
      <c r="I738" s="110"/>
      <c r="J738" s="110"/>
      <c r="K738" s="111"/>
      <c r="L738" s="112"/>
      <c r="M738" s="113"/>
      <c r="N738" s="114"/>
      <c r="O738" s="107"/>
      <c r="P738" s="107"/>
      <c r="Q738" s="115"/>
      <c r="R738" s="116"/>
      <c r="S738" s="107"/>
      <c r="T738" s="107"/>
      <c r="U738" s="107" t="str">
        <f t="shared" si="14"/>
        <v/>
      </c>
      <c r="V738" s="107"/>
      <c r="W738" s="107"/>
      <c r="X738" s="107"/>
      <c r="Y738" s="107"/>
      <c r="Z738" s="107"/>
      <c r="AA738" s="107"/>
      <c r="AB738" s="107"/>
      <c r="AC738" s="107"/>
      <c r="AD738" s="107"/>
      <c r="AE738" s="107"/>
      <c r="AF738" s="107"/>
      <c r="AG738" s="107"/>
      <c r="AH738" s="107"/>
      <c r="AI738" s="107"/>
      <c r="AJ738" s="107"/>
      <c r="AK738" s="107"/>
      <c r="AL738" s="107"/>
      <c r="AM738" s="107"/>
      <c r="AN738" s="107"/>
      <c r="AO738" s="107"/>
      <c r="AP738" s="107"/>
      <c r="AQ738" s="107"/>
      <c r="AR738" s="107"/>
      <c r="AS738" s="107"/>
      <c r="AT738" s="107"/>
      <c r="AU738" s="107"/>
      <c r="AV738" s="107"/>
      <c r="AW738" s="107"/>
      <c r="AX738" s="107"/>
      <c r="AY738" s="107"/>
      <c r="AZ738" s="107"/>
      <c r="BA738" s="107"/>
      <c r="BB738" s="107"/>
      <c r="BC738" s="107"/>
      <c r="BD738" s="107"/>
      <c r="BE738" s="107"/>
      <c r="BF738" s="107"/>
      <c r="BG738" s="107"/>
      <c r="BH738" s="107"/>
    </row>
    <row r="739" spans="1:60" x14ac:dyDescent="0.25">
      <c r="A739" s="96"/>
      <c r="B739" s="97"/>
      <c r="C739" s="97"/>
      <c r="D739" s="97"/>
      <c r="E739" s="98"/>
      <c r="F739" s="99" t="str">
        <f>IF(H739&lt;&gt;"",H739-Accueil!N$6+1/60/24,"")</f>
        <v/>
      </c>
      <c r="G739" s="97"/>
      <c r="H739" s="99"/>
      <c r="I739" s="99"/>
      <c r="J739" s="100"/>
      <c r="K739" s="101"/>
      <c r="L739" s="102"/>
      <c r="M739" s="103"/>
      <c r="N739" s="104"/>
      <c r="O739" s="97"/>
      <c r="P739" s="97"/>
      <c r="Q739" s="97"/>
      <c r="R739" s="105"/>
      <c r="S739" s="97"/>
      <c r="T739" s="97"/>
      <c r="U739" s="97" t="str">
        <f t="shared" si="14"/>
        <v/>
      </c>
      <c r="V739" s="97"/>
      <c r="W739" s="97"/>
      <c r="X739" s="97"/>
      <c r="Y739" s="97"/>
      <c r="Z739" s="97"/>
      <c r="AA739" s="97"/>
      <c r="AB739" s="97"/>
      <c r="AC739" s="97"/>
      <c r="AD739" s="97"/>
      <c r="AE739" s="97"/>
      <c r="AF739" s="97"/>
      <c r="AG739" s="97"/>
      <c r="AH739" s="97"/>
      <c r="AI739" s="97"/>
      <c r="AJ739" s="97"/>
      <c r="AK739" s="97"/>
      <c r="AL739" s="97"/>
      <c r="AM739" s="97"/>
      <c r="AN739" s="97"/>
      <c r="AO739" s="97"/>
      <c r="AP739" s="97"/>
      <c r="AQ739" s="97"/>
      <c r="AR739" s="97"/>
      <c r="AS739" s="97"/>
      <c r="AT739" s="97"/>
      <c r="AU739" s="97"/>
      <c r="AV739" s="97"/>
      <c r="AW739" s="97"/>
      <c r="AX739" s="97"/>
      <c r="AY739" s="97"/>
      <c r="AZ739" s="97"/>
      <c r="BA739" s="97"/>
      <c r="BB739" s="97"/>
      <c r="BC739" s="97"/>
      <c r="BD739" s="97"/>
      <c r="BE739" s="97"/>
      <c r="BF739" s="97"/>
      <c r="BG739" s="97"/>
      <c r="BH739" s="97"/>
    </row>
    <row r="740" spans="1:60" x14ac:dyDescent="0.25">
      <c r="A740" s="106"/>
      <c r="B740" s="107"/>
      <c r="C740" s="107"/>
      <c r="D740" s="107"/>
      <c r="E740" s="108"/>
      <c r="F740" s="109" t="str">
        <f>IF(H740&lt;&gt;"",H740-Accueil!N$6+1/60/24,"")</f>
        <v/>
      </c>
      <c r="G740" s="107"/>
      <c r="H740" s="109"/>
      <c r="I740" s="110"/>
      <c r="J740" s="110"/>
      <c r="K740" s="111"/>
      <c r="L740" s="112"/>
      <c r="M740" s="113"/>
      <c r="N740" s="114"/>
      <c r="O740" s="107"/>
      <c r="P740" s="107"/>
      <c r="Q740" s="115"/>
      <c r="R740" s="116"/>
      <c r="S740" s="107"/>
      <c r="T740" s="107"/>
      <c r="U740" s="107" t="str">
        <f t="shared" si="14"/>
        <v/>
      </c>
      <c r="V740" s="107"/>
      <c r="W740" s="107"/>
      <c r="X740" s="107"/>
      <c r="Y740" s="107"/>
      <c r="Z740" s="107"/>
      <c r="AA740" s="107"/>
      <c r="AB740" s="107"/>
      <c r="AC740" s="107"/>
      <c r="AD740" s="107"/>
      <c r="AE740" s="107"/>
      <c r="AF740" s="107"/>
      <c r="AG740" s="107"/>
      <c r="AH740" s="107"/>
      <c r="AI740" s="107"/>
      <c r="AJ740" s="107"/>
      <c r="AK740" s="107"/>
      <c r="AL740" s="107"/>
      <c r="AM740" s="107"/>
      <c r="AN740" s="107"/>
      <c r="AO740" s="107"/>
      <c r="AP740" s="107"/>
      <c r="AQ740" s="107"/>
      <c r="AR740" s="107"/>
      <c r="AS740" s="107"/>
      <c r="AT740" s="107"/>
      <c r="AU740" s="107"/>
      <c r="AV740" s="107"/>
      <c r="AW740" s="107"/>
      <c r="AX740" s="107"/>
      <c r="AY740" s="107"/>
      <c r="AZ740" s="107"/>
      <c r="BA740" s="107"/>
      <c r="BB740" s="107"/>
      <c r="BC740" s="107"/>
      <c r="BD740" s="107"/>
      <c r="BE740" s="107"/>
      <c r="BF740" s="107"/>
      <c r="BG740" s="107"/>
      <c r="BH740" s="107"/>
    </row>
    <row r="741" spans="1:60" x14ac:dyDescent="0.25">
      <c r="A741" s="96"/>
      <c r="B741" s="97"/>
      <c r="C741" s="97"/>
      <c r="D741" s="97"/>
      <c r="E741" s="98"/>
      <c r="F741" s="99" t="str">
        <f>IF(H741&lt;&gt;"",H741-Accueil!N$6+1/60/24,"")</f>
        <v/>
      </c>
      <c r="G741" s="97"/>
      <c r="H741" s="99"/>
      <c r="I741" s="99"/>
      <c r="J741" s="100"/>
      <c r="K741" s="101"/>
      <c r="L741" s="102"/>
      <c r="M741" s="103"/>
      <c r="N741" s="104"/>
      <c r="O741" s="97"/>
      <c r="P741" s="97"/>
      <c r="Q741" s="97"/>
      <c r="R741" s="105"/>
      <c r="S741" s="97"/>
      <c r="T741" s="97"/>
      <c r="U741" s="97" t="str">
        <f t="shared" si="14"/>
        <v/>
      </c>
      <c r="V741" s="97"/>
      <c r="W741" s="97"/>
      <c r="X741" s="97"/>
      <c r="Y741" s="97"/>
      <c r="Z741" s="97"/>
      <c r="AA741" s="97"/>
      <c r="AB741" s="97"/>
      <c r="AC741" s="97"/>
      <c r="AD741" s="97"/>
      <c r="AE741" s="97"/>
      <c r="AF741" s="97"/>
      <c r="AG741" s="97"/>
      <c r="AH741" s="97"/>
      <c r="AI741" s="97"/>
      <c r="AJ741" s="97"/>
      <c r="AK741" s="97"/>
      <c r="AL741" s="97"/>
      <c r="AM741" s="97"/>
      <c r="AN741" s="97"/>
      <c r="AO741" s="97"/>
      <c r="AP741" s="97"/>
      <c r="AQ741" s="97"/>
      <c r="AR741" s="97"/>
      <c r="AS741" s="97"/>
      <c r="AT741" s="97"/>
      <c r="AU741" s="97"/>
      <c r="AV741" s="97"/>
      <c r="AW741" s="97"/>
      <c r="AX741" s="97"/>
      <c r="AY741" s="97"/>
      <c r="AZ741" s="97"/>
      <c r="BA741" s="97"/>
      <c r="BB741" s="97"/>
      <c r="BC741" s="97"/>
      <c r="BD741" s="97"/>
      <c r="BE741" s="97"/>
      <c r="BF741" s="97"/>
      <c r="BG741" s="97"/>
      <c r="BH741" s="97"/>
    </row>
    <row r="742" spans="1:60" x14ac:dyDescent="0.25">
      <c r="A742" s="106"/>
      <c r="B742" s="107"/>
      <c r="C742" s="107"/>
      <c r="D742" s="107"/>
      <c r="E742" s="108"/>
      <c r="F742" s="109" t="str">
        <f>IF(H742&lt;&gt;"",H742-Accueil!N$6+1/60/24,"")</f>
        <v/>
      </c>
      <c r="G742" s="107"/>
      <c r="H742" s="109"/>
      <c r="I742" s="110"/>
      <c r="J742" s="110"/>
      <c r="K742" s="111"/>
      <c r="L742" s="112"/>
      <c r="M742" s="113"/>
      <c r="N742" s="114"/>
      <c r="O742" s="107"/>
      <c r="P742" s="107"/>
      <c r="Q742" s="115"/>
      <c r="R742" s="116"/>
      <c r="S742" s="107"/>
      <c r="T742" s="107"/>
      <c r="U742" s="107" t="str">
        <f t="shared" si="14"/>
        <v/>
      </c>
      <c r="V742" s="107"/>
      <c r="W742" s="107"/>
      <c r="X742" s="107"/>
      <c r="Y742" s="107"/>
      <c r="Z742" s="107"/>
      <c r="AA742" s="107"/>
      <c r="AB742" s="107"/>
      <c r="AC742" s="107"/>
      <c r="AD742" s="107"/>
      <c r="AE742" s="107"/>
      <c r="AF742" s="107"/>
      <c r="AG742" s="107"/>
      <c r="AH742" s="107"/>
      <c r="AI742" s="107"/>
      <c r="AJ742" s="107"/>
      <c r="AK742" s="107"/>
      <c r="AL742" s="107"/>
      <c r="AM742" s="107"/>
      <c r="AN742" s="107"/>
      <c r="AO742" s="107"/>
      <c r="AP742" s="107"/>
      <c r="AQ742" s="107"/>
      <c r="AR742" s="107"/>
      <c r="AS742" s="107"/>
      <c r="AT742" s="107"/>
      <c r="AU742" s="107"/>
      <c r="AV742" s="107"/>
      <c r="AW742" s="107"/>
      <c r="AX742" s="107"/>
      <c r="AY742" s="107"/>
      <c r="AZ742" s="107"/>
      <c r="BA742" s="107"/>
      <c r="BB742" s="107"/>
      <c r="BC742" s="107"/>
      <c r="BD742" s="107"/>
      <c r="BE742" s="107"/>
      <c r="BF742" s="107"/>
      <c r="BG742" s="107"/>
      <c r="BH742" s="107"/>
    </row>
    <row r="743" spans="1:60" x14ac:dyDescent="0.25">
      <c r="A743" s="96"/>
      <c r="B743" s="97"/>
      <c r="C743" s="97"/>
      <c r="D743" s="97"/>
      <c r="E743" s="98"/>
      <c r="F743" s="99" t="str">
        <f>IF(H743&lt;&gt;"",H743-Accueil!N$6+1/60/24,"")</f>
        <v/>
      </c>
      <c r="G743" s="97"/>
      <c r="H743" s="99"/>
      <c r="I743" s="99"/>
      <c r="J743" s="100"/>
      <c r="K743" s="101"/>
      <c r="L743" s="102"/>
      <c r="M743" s="103"/>
      <c r="N743" s="104"/>
      <c r="O743" s="97"/>
      <c r="P743" s="97"/>
      <c r="Q743" s="97"/>
      <c r="R743" s="105"/>
      <c r="S743" s="97"/>
      <c r="T743" s="97"/>
      <c r="U743" s="97" t="str">
        <f t="shared" si="14"/>
        <v/>
      </c>
      <c r="V743" s="97"/>
      <c r="W743" s="97"/>
      <c r="X743" s="97"/>
      <c r="Y743" s="97"/>
      <c r="Z743" s="97"/>
      <c r="AA743" s="97"/>
      <c r="AB743" s="97"/>
      <c r="AC743" s="97"/>
      <c r="AD743" s="97"/>
      <c r="AE743" s="97"/>
      <c r="AF743" s="97"/>
      <c r="AG743" s="97"/>
      <c r="AH743" s="97"/>
      <c r="AI743" s="97"/>
      <c r="AJ743" s="97"/>
      <c r="AK743" s="97"/>
      <c r="AL743" s="97"/>
      <c r="AM743" s="97"/>
      <c r="AN743" s="97"/>
      <c r="AO743" s="97"/>
      <c r="AP743" s="97"/>
      <c r="AQ743" s="97"/>
      <c r="AR743" s="97"/>
      <c r="AS743" s="97"/>
      <c r="AT743" s="97"/>
      <c r="AU743" s="97"/>
      <c r="AV743" s="97"/>
      <c r="AW743" s="97"/>
      <c r="AX743" s="97"/>
      <c r="AY743" s="97"/>
      <c r="AZ743" s="97"/>
      <c r="BA743" s="97"/>
      <c r="BB743" s="97"/>
      <c r="BC743" s="97"/>
      <c r="BD743" s="97"/>
      <c r="BE743" s="97"/>
      <c r="BF743" s="97"/>
      <c r="BG743" s="97"/>
      <c r="BH743" s="97"/>
    </row>
    <row r="744" spans="1:60" x14ac:dyDescent="0.25">
      <c r="A744" s="106"/>
      <c r="B744" s="107"/>
      <c r="C744" s="107"/>
      <c r="D744" s="107"/>
      <c r="E744" s="108"/>
      <c r="F744" s="109" t="str">
        <f>IF(H744&lt;&gt;"",H744-Accueil!N$6+1/60/24,"")</f>
        <v/>
      </c>
      <c r="G744" s="107"/>
      <c r="H744" s="109"/>
      <c r="I744" s="110"/>
      <c r="J744" s="110"/>
      <c r="K744" s="111"/>
      <c r="L744" s="112"/>
      <c r="M744" s="113"/>
      <c r="N744" s="114"/>
      <c r="O744" s="107"/>
      <c r="P744" s="107"/>
      <c r="Q744" s="115"/>
      <c r="R744" s="116"/>
      <c r="S744" s="107"/>
      <c r="T744" s="107"/>
      <c r="U744" s="107" t="str">
        <f t="shared" si="14"/>
        <v/>
      </c>
      <c r="V744" s="107"/>
      <c r="W744" s="107"/>
      <c r="X744" s="107"/>
      <c r="Y744" s="107"/>
      <c r="Z744" s="107"/>
      <c r="AA744" s="107"/>
      <c r="AB744" s="107"/>
      <c r="AC744" s="107"/>
      <c r="AD744" s="107"/>
      <c r="AE744" s="107"/>
      <c r="AF744" s="107"/>
      <c r="AG744" s="107"/>
      <c r="AH744" s="107"/>
      <c r="AI744" s="107"/>
      <c r="AJ744" s="107"/>
      <c r="AK744" s="107"/>
      <c r="AL744" s="107"/>
      <c r="AM744" s="107"/>
      <c r="AN744" s="107"/>
      <c r="AO744" s="107"/>
      <c r="AP744" s="107"/>
      <c r="AQ744" s="107"/>
      <c r="AR744" s="107"/>
      <c r="AS744" s="107"/>
      <c r="AT744" s="107"/>
      <c r="AU744" s="107"/>
      <c r="AV744" s="107"/>
      <c r="AW744" s="107"/>
      <c r="AX744" s="107"/>
      <c r="AY744" s="107"/>
      <c r="AZ744" s="107"/>
      <c r="BA744" s="107"/>
      <c r="BB744" s="107"/>
      <c r="BC744" s="107"/>
      <c r="BD744" s="107"/>
      <c r="BE744" s="107"/>
      <c r="BF744" s="107"/>
      <c r="BG744" s="107"/>
      <c r="BH744" s="107"/>
    </row>
    <row r="745" spans="1:60" x14ac:dyDescent="0.25">
      <c r="A745" s="96"/>
      <c r="B745" s="97"/>
      <c r="C745" s="97"/>
      <c r="D745" s="97"/>
      <c r="E745" s="98"/>
      <c r="F745" s="99" t="str">
        <f>IF(H745&lt;&gt;"",H745-Accueil!N$6+1/60/24,"")</f>
        <v/>
      </c>
      <c r="G745" s="97"/>
      <c r="H745" s="99"/>
      <c r="I745" s="99"/>
      <c r="J745" s="100"/>
      <c r="K745" s="101"/>
      <c r="L745" s="102"/>
      <c r="M745" s="103"/>
      <c r="N745" s="104"/>
      <c r="O745" s="97"/>
      <c r="P745" s="97"/>
      <c r="Q745" s="97"/>
      <c r="R745" s="105"/>
      <c r="S745" s="97"/>
      <c r="T745" s="97"/>
      <c r="U745" s="97" t="str">
        <f t="shared" si="14"/>
        <v/>
      </c>
      <c r="V745" s="97"/>
      <c r="W745" s="97"/>
      <c r="X745" s="97"/>
      <c r="Y745" s="97"/>
      <c r="Z745" s="97"/>
      <c r="AA745" s="97"/>
      <c r="AB745" s="97"/>
      <c r="AC745" s="97"/>
      <c r="AD745" s="97"/>
      <c r="AE745" s="97"/>
      <c r="AF745" s="97"/>
      <c r="AG745" s="97"/>
      <c r="AH745" s="97"/>
      <c r="AI745" s="97"/>
      <c r="AJ745" s="97"/>
      <c r="AK745" s="97"/>
      <c r="AL745" s="97"/>
      <c r="AM745" s="97"/>
      <c r="AN745" s="97"/>
      <c r="AO745" s="97"/>
      <c r="AP745" s="97"/>
      <c r="AQ745" s="97"/>
      <c r="AR745" s="97"/>
      <c r="AS745" s="97"/>
      <c r="AT745" s="97"/>
      <c r="AU745" s="97"/>
      <c r="AV745" s="97"/>
      <c r="AW745" s="97"/>
      <c r="AX745" s="97"/>
      <c r="AY745" s="97"/>
      <c r="AZ745" s="97"/>
      <c r="BA745" s="97"/>
      <c r="BB745" s="97"/>
      <c r="BC745" s="97"/>
      <c r="BD745" s="97"/>
      <c r="BE745" s="97"/>
      <c r="BF745" s="97"/>
      <c r="BG745" s="97"/>
      <c r="BH745" s="97"/>
    </row>
    <row r="746" spans="1:60" x14ac:dyDescent="0.25">
      <c r="A746" s="106"/>
      <c r="B746" s="107"/>
      <c r="C746" s="107"/>
      <c r="D746" s="107"/>
      <c r="E746" s="108"/>
      <c r="F746" s="109" t="str">
        <f>IF(H746&lt;&gt;"",H746-Accueil!N$6+1/60/24,"")</f>
        <v/>
      </c>
      <c r="G746" s="107"/>
      <c r="H746" s="109"/>
      <c r="I746" s="110"/>
      <c r="J746" s="110"/>
      <c r="K746" s="111"/>
      <c r="L746" s="112"/>
      <c r="M746" s="113"/>
      <c r="N746" s="114"/>
      <c r="O746" s="107"/>
      <c r="P746" s="107"/>
      <c r="Q746" s="115"/>
      <c r="R746" s="116"/>
      <c r="S746" s="107"/>
      <c r="T746" s="107"/>
      <c r="U746" s="107" t="str">
        <f t="shared" si="14"/>
        <v/>
      </c>
      <c r="V746" s="107"/>
      <c r="W746" s="107"/>
      <c r="X746" s="107"/>
      <c r="Y746" s="107"/>
      <c r="Z746" s="107"/>
      <c r="AA746" s="107"/>
      <c r="AB746" s="107"/>
      <c r="AC746" s="107"/>
      <c r="AD746" s="107"/>
      <c r="AE746" s="107"/>
      <c r="AF746" s="107"/>
      <c r="AG746" s="107"/>
      <c r="AH746" s="107"/>
      <c r="AI746" s="107"/>
      <c r="AJ746" s="107"/>
      <c r="AK746" s="107"/>
      <c r="AL746" s="107"/>
      <c r="AM746" s="107"/>
      <c r="AN746" s="107"/>
      <c r="AO746" s="107"/>
      <c r="AP746" s="107"/>
      <c r="AQ746" s="107"/>
      <c r="AR746" s="107"/>
      <c r="AS746" s="107"/>
      <c r="AT746" s="107"/>
      <c r="AU746" s="107"/>
      <c r="AV746" s="107"/>
      <c r="AW746" s="107"/>
      <c r="AX746" s="107"/>
      <c r="AY746" s="107"/>
      <c r="AZ746" s="107"/>
      <c r="BA746" s="107"/>
      <c r="BB746" s="107"/>
      <c r="BC746" s="107"/>
      <c r="BD746" s="107"/>
      <c r="BE746" s="107"/>
      <c r="BF746" s="107"/>
      <c r="BG746" s="107"/>
      <c r="BH746" s="107"/>
    </row>
    <row r="747" spans="1:60" x14ac:dyDescent="0.25">
      <c r="A747" s="96"/>
      <c r="B747" s="97"/>
      <c r="C747" s="97"/>
      <c r="D747" s="97"/>
      <c r="E747" s="98"/>
      <c r="F747" s="99" t="str">
        <f>IF(H747&lt;&gt;"",H747-Accueil!N$6+1/60/24,"")</f>
        <v/>
      </c>
      <c r="G747" s="97"/>
      <c r="H747" s="99"/>
      <c r="I747" s="99"/>
      <c r="J747" s="100"/>
      <c r="K747" s="101"/>
      <c r="L747" s="102"/>
      <c r="M747" s="103"/>
      <c r="N747" s="104"/>
      <c r="O747" s="97"/>
      <c r="P747" s="97"/>
      <c r="Q747" s="97"/>
      <c r="R747" s="105"/>
      <c r="S747" s="97"/>
      <c r="T747" s="97"/>
      <c r="U747" s="97" t="str">
        <f t="shared" si="14"/>
        <v/>
      </c>
      <c r="V747" s="97"/>
      <c r="W747" s="97"/>
      <c r="X747" s="97"/>
      <c r="Y747" s="97"/>
      <c r="Z747" s="97"/>
      <c r="AA747" s="97"/>
      <c r="AB747" s="97"/>
      <c r="AC747" s="97"/>
      <c r="AD747" s="97"/>
      <c r="AE747" s="97"/>
      <c r="AF747" s="97"/>
      <c r="AG747" s="97"/>
      <c r="AH747" s="97"/>
      <c r="AI747" s="97"/>
      <c r="AJ747" s="97"/>
      <c r="AK747" s="97"/>
      <c r="AL747" s="97"/>
      <c r="AM747" s="97"/>
      <c r="AN747" s="97"/>
      <c r="AO747" s="97"/>
      <c r="AP747" s="97"/>
      <c r="AQ747" s="97"/>
      <c r="AR747" s="97"/>
      <c r="AS747" s="97"/>
      <c r="AT747" s="97"/>
      <c r="AU747" s="97"/>
      <c r="AV747" s="97"/>
      <c r="AW747" s="97"/>
      <c r="AX747" s="97"/>
      <c r="AY747" s="97"/>
      <c r="AZ747" s="97"/>
      <c r="BA747" s="97"/>
      <c r="BB747" s="97"/>
      <c r="BC747" s="97"/>
      <c r="BD747" s="97"/>
      <c r="BE747" s="97"/>
      <c r="BF747" s="97"/>
      <c r="BG747" s="97"/>
      <c r="BH747" s="97"/>
    </row>
    <row r="748" spans="1:60" x14ac:dyDescent="0.25">
      <c r="A748" s="106"/>
      <c r="B748" s="107"/>
      <c r="C748" s="107"/>
      <c r="D748" s="107"/>
      <c r="E748" s="108"/>
      <c r="F748" s="109" t="str">
        <f>IF(H748&lt;&gt;"",H748-Accueil!N$6+1/60/24,"")</f>
        <v/>
      </c>
      <c r="G748" s="107"/>
      <c r="H748" s="109"/>
      <c r="I748" s="110"/>
      <c r="J748" s="110"/>
      <c r="K748" s="111"/>
      <c r="L748" s="112"/>
      <c r="M748" s="113"/>
      <c r="N748" s="114"/>
      <c r="O748" s="107"/>
      <c r="P748" s="107"/>
      <c r="Q748" s="115"/>
      <c r="R748" s="116"/>
      <c r="S748" s="107"/>
      <c r="T748" s="107"/>
      <c r="U748" s="107" t="str">
        <f t="shared" si="14"/>
        <v/>
      </c>
      <c r="V748" s="107"/>
      <c r="W748" s="107"/>
      <c r="X748" s="107"/>
      <c r="Y748" s="107"/>
      <c r="Z748" s="107"/>
      <c r="AA748" s="107"/>
      <c r="AB748" s="107"/>
      <c r="AC748" s="107"/>
      <c r="AD748" s="107"/>
      <c r="AE748" s="107"/>
      <c r="AF748" s="107"/>
      <c r="AG748" s="107"/>
      <c r="AH748" s="107"/>
      <c r="AI748" s="107"/>
      <c r="AJ748" s="107"/>
      <c r="AK748" s="107"/>
      <c r="AL748" s="107"/>
      <c r="AM748" s="107"/>
      <c r="AN748" s="107"/>
      <c r="AO748" s="107"/>
      <c r="AP748" s="107"/>
      <c r="AQ748" s="107"/>
      <c r="AR748" s="107"/>
      <c r="AS748" s="107"/>
      <c r="AT748" s="107"/>
      <c r="AU748" s="107"/>
      <c r="AV748" s="107"/>
      <c r="AW748" s="107"/>
      <c r="AX748" s="107"/>
      <c r="AY748" s="107"/>
      <c r="AZ748" s="107"/>
      <c r="BA748" s="107"/>
      <c r="BB748" s="107"/>
      <c r="BC748" s="107"/>
      <c r="BD748" s="107"/>
      <c r="BE748" s="107"/>
      <c r="BF748" s="107"/>
      <c r="BG748" s="107"/>
      <c r="BH748" s="107"/>
    </row>
    <row r="749" spans="1:60" x14ac:dyDescent="0.25">
      <c r="A749" s="96"/>
      <c r="B749" s="97"/>
      <c r="C749" s="97"/>
      <c r="D749" s="97"/>
      <c r="E749" s="98"/>
      <c r="F749" s="99" t="str">
        <f>IF(H749&lt;&gt;"",H749-Accueil!N$6+1/60/24,"")</f>
        <v/>
      </c>
      <c r="G749" s="97"/>
      <c r="H749" s="99"/>
      <c r="I749" s="99"/>
      <c r="J749" s="100"/>
      <c r="K749" s="101"/>
      <c r="L749" s="102"/>
      <c r="M749" s="103"/>
      <c r="N749" s="104"/>
      <c r="O749" s="97"/>
      <c r="P749" s="97"/>
      <c r="Q749" s="97"/>
      <c r="R749" s="105"/>
      <c r="S749" s="97"/>
      <c r="T749" s="97"/>
      <c r="U749" s="97" t="str">
        <f t="shared" si="14"/>
        <v/>
      </c>
      <c r="V749" s="97"/>
      <c r="W749" s="97"/>
      <c r="X749" s="97"/>
      <c r="Y749" s="97"/>
      <c r="Z749" s="97"/>
      <c r="AA749" s="97"/>
      <c r="AB749" s="97"/>
      <c r="AC749" s="97"/>
      <c r="AD749" s="97"/>
      <c r="AE749" s="97"/>
      <c r="AF749" s="97"/>
      <c r="AG749" s="97"/>
      <c r="AH749" s="97"/>
      <c r="AI749" s="97"/>
      <c r="AJ749" s="97"/>
      <c r="AK749" s="97"/>
      <c r="AL749" s="97"/>
      <c r="AM749" s="97"/>
      <c r="AN749" s="97"/>
      <c r="AO749" s="97"/>
      <c r="AP749" s="97"/>
      <c r="AQ749" s="97"/>
      <c r="AR749" s="97"/>
      <c r="AS749" s="97"/>
      <c r="AT749" s="97"/>
      <c r="AU749" s="97"/>
      <c r="AV749" s="97"/>
      <c r="AW749" s="97"/>
      <c r="AX749" s="97"/>
      <c r="AY749" s="97"/>
      <c r="AZ749" s="97"/>
      <c r="BA749" s="97"/>
      <c r="BB749" s="97"/>
      <c r="BC749" s="97"/>
      <c r="BD749" s="97"/>
      <c r="BE749" s="97"/>
      <c r="BF749" s="97"/>
      <c r="BG749" s="97"/>
      <c r="BH749" s="97"/>
    </row>
    <row r="750" spans="1:60" x14ac:dyDescent="0.25">
      <c r="A750" s="106"/>
      <c r="B750" s="107"/>
      <c r="C750" s="107"/>
      <c r="D750" s="107"/>
      <c r="E750" s="108"/>
      <c r="F750" s="109" t="str">
        <f>IF(H750&lt;&gt;"",H750-Accueil!N$6+1/60/24,"")</f>
        <v/>
      </c>
      <c r="G750" s="107"/>
      <c r="H750" s="109"/>
      <c r="I750" s="110"/>
      <c r="J750" s="110"/>
      <c r="K750" s="111"/>
      <c r="L750" s="112"/>
      <c r="M750" s="113"/>
      <c r="N750" s="114"/>
      <c r="O750" s="107"/>
      <c r="P750" s="107"/>
      <c r="Q750" s="115"/>
      <c r="R750" s="116"/>
      <c r="S750" s="107"/>
      <c r="T750" s="107"/>
      <c r="U750" s="107" t="str">
        <f t="shared" si="14"/>
        <v/>
      </c>
      <c r="V750" s="107"/>
      <c r="W750" s="107"/>
      <c r="X750" s="107"/>
      <c r="Y750" s="107"/>
      <c r="Z750" s="107"/>
      <c r="AA750" s="107"/>
      <c r="AB750" s="107"/>
      <c r="AC750" s="107"/>
      <c r="AD750" s="107"/>
      <c r="AE750" s="107"/>
      <c r="AF750" s="107"/>
      <c r="AG750" s="107"/>
      <c r="AH750" s="107"/>
      <c r="AI750" s="107"/>
      <c r="AJ750" s="107"/>
      <c r="AK750" s="107"/>
      <c r="AL750" s="107"/>
      <c r="AM750" s="107"/>
      <c r="AN750" s="107"/>
      <c r="AO750" s="107"/>
      <c r="AP750" s="107"/>
      <c r="AQ750" s="107"/>
      <c r="AR750" s="107"/>
      <c r="AS750" s="107"/>
      <c r="AT750" s="107"/>
      <c r="AU750" s="107"/>
      <c r="AV750" s="107"/>
      <c r="AW750" s="107"/>
      <c r="AX750" s="107"/>
      <c r="AY750" s="107"/>
      <c r="AZ750" s="107"/>
      <c r="BA750" s="107"/>
      <c r="BB750" s="107"/>
      <c r="BC750" s="107"/>
      <c r="BD750" s="107"/>
      <c r="BE750" s="107"/>
      <c r="BF750" s="107"/>
      <c r="BG750" s="107"/>
      <c r="BH750" s="107"/>
    </row>
    <row r="751" spans="1:60" x14ac:dyDescent="0.25">
      <c r="A751" s="96"/>
      <c r="B751" s="97"/>
      <c r="C751" s="97"/>
      <c r="D751" s="97"/>
      <c r="E751" s="98"/>
      <c r="F751" s="99" t="str">
        <f>IF(H751&lt;&gt;"",H751-Accueil!N$6+1/60/24,"")</f>
        <v/>
      </c>
      <c r="G751" s="97"/>
      <c r="H751" s="99"/>
      <c r="I751" s="99"/>
      <c r="J751" s="100"/>
      <c r="K751" s="101"/>
      <c r="L751" s="102"/>
      <c r="M751" s="103"/>
      <c r="N751" s="104"/>
      <c r="O751" s="97"/>
      <c r="P751" s="97"/>
      <c r="Q751" s="97"/>
      <c r="R751" s="105"/>
      <c r="S751" s="97"/>
      <c r="T751" s="97"/>
      <c r="U751" s="97" t="str">
        <f t="shared" si="14"/>
        <v/>
      </c>
      <c r="V751" s="97"/>
      <c r="W751" s="97"/>
      <c r="X751" s="97"/>
      <c r="Y751" s="97"/>
      <c r="Z751" s="97"/>
      <c r="AA751" s="97"/>
      <c r="AB751" s="97"/>
      <c r="AC751" s="97"/>
      <c r="AD751" s="97"/>
      <c r="AE751" s="97"/>
      <c r="AF751" s="97"/>
      <c r="AG751" s="97"/>
      <c r="AH751" s="97"/>
      <c r="AI751" s="97"/>
      <c r="AJ751" s="97"/>
      <c r="AK751" s="97"/>
      <c r="AL751" s="97"/>
      <c r="AM751" s="97"/>
      <c r="AN751" s="97"/>
      <c r="AO751" s="97"/>
      <c r="AP751" s="97"/>
      <c r="AQ751" s="97"/>
      <c r="AR751" s="97"/>
      <c r="AS751" s="97"/>
      <c r="AT751" s="97"/>
      <c r="AU751" s="97"/>
      <c r="AV751" s="97"/>
      <c r="AW751" s="97"/>
      <c r="AX751" s="97"/>
      <c r="AY751" s="97"/>
      <c r="AZ751" s="97"/>
      <c r="BA751" s="97"/>
      <c r="BB751" s="97"/>
      <c r="BC751" s="97"/>
      <c r="BD751" s="97"/>
      <c r="BE751" s="97"/>
      <c r="BF751" s="97"/>
      <c r="BG751" s="97"/>
      <c r="BH751" s="97"/>
    </row>
    <row r="752" spans="1:60" x14ac:dyDescent="0.25">
      <c r="A752" s="106"/>
      <c r="B752" s="107"/>
      <c r="C752" s="107"/>
      <c r="D752" s="107"/>
      <c r="E752" s="108"/>
      <c r="F752" s="109" t="str">
        <f>IF(H752&lt;&gt;"",H752-Accueil!N$6+1/60/24,"")</f>
        <v/>
      </c>
      <c r="G752" s="107"/>
      <c r="H752" s="109"/>
      <c r="I752" s="110"/>
      <c r="J752" s="110"/>
      <c r="K752" s="111"/>
      <c r="L752" s="112"/>
      <c r="M752" s="113"/>
      <c r="N752" s="114"/>
      <c r="O752" s="107"/>
      <c r="P752" s="107"/>
      <c r="Q752" s="115"/>
      <c r="R752" s="116"/>
      <c r="S752" s="107"/>
      <c r="T752" s="107"/>
      <c r="U752" s="107" t="str">
        <f t="shared" si="14"/>
        <v/>
      </c>
      <c r="V752" s="107"/>
      <c r="W752" s="107"/>
      <c r="X752" s="107"/>
      <c r="Y752" s="107"/>
      <c r="Z752" s="107"/>
      <c r="AA752" s="107"/>
      <c r="AB752" s="107"/>
      <c r="AC752" s="107"/>
      <c r="AD752" s="107"/>
      <c r="AE752" s="107"/>
      <c r="AF752" s="107"/>
      <c r="AG752" s="107"/>
      <c r="AH752" s="107"/>
      <c r="AI752" s="107"/>
      <c r="AJ752" s="107"/>
      <c r="AK752" s="107"/>
      <c r="AL752" s="107"/>
      <c r="AM752" s="107"/>
      <c r="AN752" s="107"/>
      <c r="AO752" s="107"/>
      <c r="AP752" s="107"/>
      <c r="AQ752" s="107"/>
      <c r="AR752" s="107"/>
      <c r="AS752" s="107"/>
      <c r="AT752" s="107"/>
      <c r="AU752" s="107"/>
      <c r="AV752" s="107"/>
      <c r="AW752" s="107"/>
      <c r="AX752" s="107"/>
      <c r="AY752" s="107"/>
      <c r="AZ752" s="107"/>
      <c r="BA752" s="107"/>
      <c r="BB752" s="107"/>
      <c r="BC752" s="107"/>
      <c r="BD752" s="107"/>
      <c r="BE752" s="107"/>
      <c r="BF752" s="107"/>
      <c r="BG752" s="107"/>
      <c r="BH752" s="107"/>
    </row>
    <row r="753" spans="1:60" x14ac:dyDescent="0.25">
      <c r="A753" s="96"/>
      <c r="B753" s="97"/>
      <c r="C753" s="97"/>
      <c r="D753" s="97"/>
      <c r="E753" s="98"/>
      <c r="F753" s="99" t="str">
        <f>IF(H753&lt;&gt;"",H753-Accueil!N$6+1/60/24,"")</f>
        <v/>
      </c>
      <c r="G753" s="97"/>
      <c r="H753" s="99"/>
      <c r="I753" s="99"/>
      <c r="J753" s="100"/>
      <c r="K753" s="101"/>
      <c r="L753" s="102"/>
      <c r="M753" s="103"/>
      <c r="N753" s="104"/>
      <c r="O753" s="97"/>
      <c r="P753" s="97"/>
      <c r="Q753" s="97"/>
      <c r="R753" s="105"/>
      <c r="S753" s="97"/>
      <c r="T753" s="97"/>
      <c r="U753" s="97" t="str">
        <f t="shared" si="14"/>
        <v/>
      </c>
      <c r="V753" s="97"/>
      <c r="W753" s="97"/>
      <c r="X753" s="97"/>
      <c r="Y753" s="97"/>
      <c r="Z753" s="97"/>
      <c r="AA753" s="97"/>
      <c r="AB753" s="97"/>
      <c r="AC753" s="97"/>
      <c r="AD753" s="97"/>
      <c r="AE753" s="97"/>
      <c r="AF753" s="97"/>
      <c r="AG753" s="97"/>
      <c r="AH753" s="97"/>
      <c r="AI753" s="97"/>
      <c r="AJ753" s="97"/>
      <c r="AK753" s="97"/>
      <c r="AL753" s="97"/>
      <c r="AM753" s="97"/>
      <c r="AN753" s="97"/>
      <c r="AO753" s="97"/>
      <c r="AP753" s="97"/>
      <c r="AQ753" s="97"/>
      <c r="AR753" s="97"/>
      <c r="AS753" s="97"/>
      <c r="AT753" s="97"/>
      <c r="AU753" s="97"/>
      <c r="AV753" s="97"/>
      <c r="AW753" s="97"/>
      <c r="AX753" s="97"/>
      <c r="AY753" s="97"/>
      <c r="AZ753" s="97"/>
      <c r="BA753" s="97"/>
      <c r="BB753" s="97"/>
      <c r="BC753" s="97"/>
      <c r="BD753" s="97"/>
      <c r="BE753" s="97"/>
      <c r="BF753" s="97"/>
      <c r="BG753" s="97"/>
      <c r="BH753" s="97"/>
    </row>
    <row r="754" spans="1:60" x14ac:dyDescent="0.25">
      <c r="A754" s="106"/>
      <c r="B754" s="107"/>
      <c r="C754" s="107"/>
      <c r="D754" s="107"/>
      <c r="E754" s="108"/>
      <c r="F754" s="109" t="str">
        <f>IF(H754&lt;&gt;"",H754-Accueil!N$6+1/60/24,"")</f>
        <v/>
      </c>
      <c r="G754" s="107"/>
      <c r="H754" s="109"/>
      <c r="I754" s="110"/>
      <c r="J754" s="110"/>
      <c r="K754" s="111"/>
      <c r="L754" s="112"/>
      <c r="M754" s="113"/>
      <c r="N754" s="114"/>
      <c r="O754" s="107"/>
      <c r="P754" s="107"/>
      <c r="Q754" s="115"/>
      <c r="R754" s="116"/>
      <c r="S754" s="107"/>
      <c r="T754" s="107"/>
      <c r="U754" s="107" t="str">
        <f t="shared" si="14"/>
        <v/>
      </c>
      <c r="V754" s="107"/>
      <c r="W754" s="107"/>
      <c r="X754" s="107"/>
      <c r="Y754" s="107"/>
      <c r="Z754" s="107"/>
      <c r="AA754" s="107"/>
      <c r="AB754" s="107"/>
      <c r="AC754" s="107"/>
      <c r="AD754" s="107"/>
      <c r="AE754" s="107"/>
      <c r="AF754" s="107"/>
      <c r="AG754" s="107"/>
      <c r="AH754" s="107"/>
      <c r="AI754" s="107"/>
      <c r="AJ754" s="107"/>
      <c r="AK754" s="107"/>
      <c r="AL754" s="107"/>
      <c r="AM754" s="107"/>
      <c r="AN754" s="107"/>
      <c r="AO754" s="107"/>
      <c r="AP754" s="107"/>
      <c r="AQ754" s="107"/>
      <c r="AR754" s="107"/>
      <c r="AS754" s="107"/>
      <c r="AT754" s="107"/>
      <c r="AU754" s="107"/>
      <c r="AV754" s="107"/>
      <c r="AW754" s="107"/>
      <c r="AX754" s="107"/>
      <c r="AY754" s="107"/>
      <c r="AZ754" s="107"/>
      <c r="BA754" s="107"/>
      <c r="BB754" s="107"/>
      <c r="BC754" s="107"/>
      <c r="BD754" s="107"/>
      <c r="BE754" s="107"/>
      <c r="BF754" s="107"/>
      <c r="BG754" s="107"/>
      <c r="BH754" s="107"/>
    </row>
    <row r="755" spans="1:60" x14ac:dyDescent="0.25">
      <c r="A755" s="96"/>
      <c r="B755" s="97"/>
      <c r="C755" s="97"/>
      <c r="D755" s="97"/>
      <c r="E755" s="98"/>
      <c r="F755" s="99" t="str">
        <f>IF(H755&lt;&gt;"",H755-Accueil!N$6+1/60/24,"")</f>
        <v/>
      </c>
      <c r="G755" s="97"/>
      <c r="H755" s="99"/>
      <c r="I755" s="99"/>
      <c r="J755" s="100"/>
      <c r="K755" s="101"/>
      <c r="L755" s="102"/>
      <c r="M755" s="103"/>
      <c r="N755" s="104"/>
      <c r="O755" s="97"/>
      <c r="P755" s="97"/>
      <c r="Q755" s="97"/>
      <c r="R755" s="105"/>
      <c r="S755" s="97"/>
      <c r="T755" s="97"/>
      <c r="U755" s="97" t="str">
        <f t="shared" si="14"/>
        <v/>
      </c>
      <c r="V755" s="97"/>
      <c r="W755" s="97"/>
      <c r="X755" s="97"/>
      <c r="Y755" s="97"/>
      <c r="Z755" s="97"/>
      <c r="AA755" s="97"/>
      <c r="AB755" s="97"/>
      <c r="AC755" s="97"/>
      <c r="AD755" s="97"/>
      <c r="AE755" s="97"/>
      <c r="AF755" s="97"/>
      <c r="AG755" s="97"/>
      <c r="AH755" s="97"/>
      <c r="AI755" s="97"/>
      <c r="AJ755" s="97"/>
      <c r="AK755" s="97"/>
      <c r="AL755" s="97"/>
      <c r="AM755" s="97"/>
      <c r="AN755" s="97"/>
      <c r="AO755" s="97"/>
      <c r="AP755" s="97"/>
      <c r="AQ755" s="97"/>
      <c r="AR755" s="97"/>
      <c r="AS755" s="97"/>
      <c r="AT755" s="97"/>
      <c r="AU755" s="97"/>
      <c r="AV755" s="97"/>
      <c r="AW755" s="97"/>
      <c r="AX755" s="97"/>
      <c r="AY755" s="97"/>
      <c r="AZ755" s="97"/>
      <c r="BA755" s="97"/>
      <c r="BB755" s="97"/>
      <c r="BC755" s="97"/>
      <c r="BD755" s="97"/>
      <c r="BE755" s="97"/>
      <c r="BF755" s="97"/>
      <c r="BG755" s="97"/>
      <c r="BH755" s="97"/>
    </row>
    <row r="756" spans="1:60" x14ac:dyDescent="0.25">
      <c r="A756" s="106"/>
      <c r="B756" s="107"/>
      <c r="C756" s="107"/>
      <c r="D756" s="107"/>
      <c r="E756" s="108"/>
      <c r="F756" s="109" t="str">
        <f>IF(H756&lt;&gt;"",H756-Accueil!N$6+1/60/24,"")</f>
        <v/>
      </c>
      <c r="G756" s="107"/>
      <c r="H756" s="109"/>
      <c r="I756" s="110"/>
      <c r="J756" s="110"/>
      <c r="K756" s="111"/>
      <c r="L756" s="112"/>
      <c r="M756" s="113"/>
      <c r="N756" s="114"/>
      <c r="O756" s="107"/>
      <c r="P756" s="107"/>
      <c r="Q756" s="115"/>
      <c r="R756" s="116"/>
      <c r="S756" s="107"/>
      <c r="T756" s="107"/>
      <c r="U756" s="107" t="str">
        <f t="shared" si="14"/>
        <v/>
      </c>
      <c r="V756" s="107"/>
      <c r="W756" s="107"/>
      <c r="X756" s="107"/>
      <c r="Y756" s="107"/>
      <c r="Z756" s="107"/>
      <c r="AA756" s="107"/>
      <c r="AB756" s="107"/>
      <c r="AC756" s="107"/>
      <c r="AD756" s="107"/>
      <c r="AE756" s="107"/>
      <c r="AF756" s="107"/>
      <c r="AG756" s="107"/>
      <c r="AH756" s="107"/>
      <c r="AI756" s="107"/>
      <c r="AJ756" s="107"/>
      <c r="AK756" s="107"/>
      <c r="AL756" s="107"/>
      <c r="AM756" s="107"/>
      <c r="AN756" s="107"/>
      <c r="AO756" s="107"/>
      <c r="AP756" s="107"/>
      <c r="AQ756" s="107"/>
      <c r="AR756" s="107"/>
      <c r="AS756" s="107"/>
      <c r="AT756" s="107"/>
      <c r="AU756" s="107"/>
      <c r="AV756" s="107"/>
      <c r="AW756" s="107"/>
      <c r="AX756" s="107"/>
      <c r="AY756" s="107"/>
      <c r="AZ756" s="107"/>
      <c r="BA756" s="107"/>
      <c r="BB756" s="107"/>
      <c r="BC756" s="107"/>
      <c r="BD756" s="107"/>
      <c r="BE756" s="107"/>
      <c r="BF756" s="107"/>
      <c r="BG756" s="107"/>
      <c r="BH756" s="107"/>
    </row>
    <row r="757" spans="1:60" x14ac:dyDescent="0.25">
      <c r="A757" s="96"/>
      <c r="B757" s="97"/>
      <c r="C757" s="97"/>
      <c r="D757" s="97"/>
      <c r="E757" s="98"/>
      <c r="F757" s="99" t="str">
        <f>IF(H757&lt;&gt;"",H757-Accueil!N$6+1/60/24,"")</f>
        <v/>
      </c>
      <c r="G757" s="97"/>
      <c r="H757" s="99"/>
      <c r="I757" s="99"/>
      <c r="J757" s="100"/>
      <c r="K757" s="101"/>
      <c r="L757" s="102"/>
      <c r="M757" s="103"/>
      <c r="N757" s="104"/>
      <c r="O757" s="97"/>
      <c r="P757" s="97"/>
      <c r="Q757" s="97"/>
      <c r="R757" s="105"/>
      <c r="S757" s="97"/>
      <c r="T757" s="97"/>
      <c r="U757" s="97" t="str">
        <f t="shared" si="14"/>
        <v/>
      </c>
      <c r="V757" s="97"/>
      <c r="W757" s="97"/>
      <c r="X757" s="97"/>
      <c r="Y757" s="97"/>
      <c r="Z757" s="97"/>
      <c r="AA757" s="97"/>
      <c r="AB757" s="97"/>
      <c r="AC757" s="97"/>
      <c r="AD757" s="97"/>
      <c r="AE757" s="97"/>
      <c r="AF757" s="97"/>
      <c r="AG757" s="97"/>
      <c r="AH757" s="97"/>
      <c r="AI757" s="97"/>
      <c r="AJ757" s="97"/>
      <c r="AK757" s="97"/>
      <c r="AL757" s="97"/>
      <c r="AM757" s="97"/>
      <c r="AN757" s="97"/>
      <c r="AO757" s="97"/>
      <c r="AP757" s="97"/>
      <c r="AQ757" s="97"/>
      <c r="AR757" s="97"/>
      <c r="AS757" s="97"/>
      <c r="AT757" s="97"/>
      <c r="AU757" s="97"/>
      <c r="AV757" s="97"/>
      <c r="AW757" s="97"/>
      <c r="AX757" s="97"/>
      <c r="AY757" s="97"/>
      <c r="AZ757" s="97"/>
      <c r="BA757" s="97"/>
      <c r="BB757" s="97"/>
      <c r="BC757" s="97"/>
      <c r="BD757" s="97"/>
      <c r="BE757" s="97"/>
      <c r="BF757" s="97"/>
      <c r="BG757" s="97"/>
      <c r="BH757" s="97"/>
    </row>
    <row r="758" spans="1:60" x14ac:dyDescent="0.25">
      <c r="A758" s="106"/>
      <c r="B758" s="107"/>
      <c r="C758" s="107"/>
      <c r="D758" s="107"/>
      <c r="E758" s="108"/>
      <c r="F758" s="109" t="str">
        <f>IF(H758&lt;&gt;"",H758-Accueil!N$6+1/60/24,"")</f>
        <v/>
      </c>
      <c r="G758" s="107"/>
      <c r="H758" s="109"/>
      <c r="I758" s="110"/>
      <c r="J758" s="110"/>
      <c r="K758" s="111"/>
      <c r="L758" s="112"/>
      <c r="M758" s="113"/>
      <c r="N758" s="114"/>
      <c r="O758" s="107"/>
      <c r="P758" s="107"/>
      <c r="Q758" s="115"/>
      <c r="R758" s="116"/>
      <c r="S758" s="107"/>
      <c r="T758" s="107"/>
      <c r="U758" s="107" t="str">
        <f t="shared" si="14"/>
        <v/>
      </c>
      <c r="V758" s="107"/>
      <c r="W758" s="107"/>
      <c r="X758" s="107"/>
      <c r="Y758" s="107"/>
      <c r="Z758" s="107"/>
      <c r="AA758" s="107"/>
      <c r="AB758" s="107"/>
      <c r="AC758" s="107"/>
      <c r="AD758" s="107"/>
      <c r="AE758" s="107"/>
      <c r="AF758" s="107"/>
      <c r="AG758" s="107"/>
      <c r="AH758" s="107"/>
      <c r="AI758" s="107"/>
      <c r="AJ758" s="107"/>
      <c r="AK758" s="107"/>
      <c r="AL758" s="107"/>
      <c r="AM758" s="107"/>
      <c r="AN758" s="107"/>
      <c r="AO758" s="107"/>
      <c r="AP758" s="107"/>
      <c r="AQ758" s="107"/>
      <c r="AR758" s="107"/>
      <c r="AS758" s="107"/>
      <c r="AT758" s="107"/>
      <c r="AU758" s="107"/>
      <c r="AV758" s="107"/>
      <c r="AW758" s="107"/>
      <c r="AX758" s="107"/>
      <c r="AY758" s="107"/>
      <c r="AZ758" s="107"/>
      <c r="BA758" s="107"/>
      <c r="BB758" s="107"/>
      <c r="BC758" s="107"/>
      <c r="BD758" s="107"/>
      <c r="BE758" s="107"/>
      <c r="BF758" s="107"/>
      <c r="BG758" s="107"/>
      <c r="BH758" s="107"/>
    </row>
    <row r="759" spans="1:60" x14ac:dyDescent="0.25">
      <c r="A759" s="96"/>
      <c r="B759" s="97"/>
      <c r="C759" s="97"/>
      <c r="D759" s="97"/>
      <c r="E759" s="98"/>
      <c r="F759" s="99" t="str">
        <f>IF(H759&lt;&gt;"",H759-Accueil!N$6+1/60/24,"")</f>
        <v/>
      </c>
      <c r="G759" s="97"/>
      <c r="H759" s="99"/>
      <c r="I759" s="99"/>
      <c r="J759" s="100"/>
      <c r="K759" s="101"/>
      <c r="L759" s="102"/>
      <c r="M759" s="103"/>
      <c r="N759" s="104"/>
      <c r="O759" s="97"/>
      <c r="P759" s="97"/>
      <c r="Q759" s="97"/>
      <c r="R759" s="105"/>
      <c r="S759" s="97"/>
      <c r="T759" s="97"/>
      <c r="U759" s="97" t="str">
        <f t="shared" si="14"/>
        <v/>
      </c>
      <c r="V759" s="97"/>
      <c r="W759" s="97"/>
      <c r="X759" s="97"/>
      <c r="Y759" s="97"/>
      <c r="Z759" s="97"/>
      <c r="AA759" s="97"/>
      <c r="AB759" s="97"/>
      <c r="AC759" s="97"/>
      <c r="AD759" s="97"/>
      <c r="AE759" s="97"/>
      <c r="AF759" s="97"/>
      <c r="AG759" s="97"/>
      <c r="AH759" s="97"/>
      <c r="AI759" s="97"/>
      <c r="AJ759" s="97"/>
      <c r="AK759" s="97"/>
      <c r="AL759" s="97"/>
      <c r="AM759" s="97"/>
      <c r="AN759" s="97"/>
      <c r="AO759" s="97"/>
      <c r="AP759" s="97"/>
      <c r="AQ759" s="97"/>
      <c r="AR759" s="97"/>
      <c r="AS759" s="97"/>
      <c r="AT759" s="97"/>
      <c r="AU759" s="97"/>
      <c r="AV759" s="97"/>
      <c r="AW759" s="97"/>
      <c r="AX759" s="97"/>
      <c r="AY759" s="97"/>
      <c r="AZ759" s="97"/>
      <c r="BA759" s="97"/>
      <c r="BB759" s="97"/>
      <c r="BC759" s="97"/>
      <c r="BD759" s="97"/>
      <c r="BE759" s="97"/>
      <c r="BF759" s="97"/>
      <c r="BG759" s="97"/>
      <c r="BH759" s="97"/>
    </row>
    <row r="760" spans="1:60" x14ac:dyDescent="0.25">
      <c r="A760" s="106"/>
      <c r="B760" s="107"/>
      <c r="C760" s="107"/>
      <c r="D760" s="107"/>
      <c r="E760" s="108"/>
      <c r="F760" s="109" t="str">
        <f>IF(H760&lt;&gt;"",H760-Accueil!N$6+1/60/24,"")</f>
        <v/>
      </c>
      <c r="G760" s="107"/>
      <c r="H760" s="109"/>
      <c r="I760" s="110"/>
      <c r="J760" s="110"/>
      <c r="K760" s="111"/>
      <c r="L760" s="112"/>
      <c r="M760" s="113"/>
      <c r="N760" s="114"/>
      <c r="O760" s="107"/>
      <c r="P760" s="107"/>
      <c r="Q760" s="115"/>
      <c r="R760" s="116"/>
      <c r="S760" s="107"/>
      <c r="T760" s="107"/>
      <c r="U760" s="107" t="str">
        <f t="shared" si="14"/>
        <v/>
      </c>
      <c r="V760" s="107"/>
      <c r="W760" s="107"/>
      <c r="X760" s="107"/>
      <c r="Y760" s="107"/>
      <c r="Z760" s="107"/>
      <c r="AA760" s="107"/>
      <c r="AB760" s="107"/>
      <c r="AC760" s="107"/>
      <c r="AD760" s="107"/>
      <c r="AE760" s="107"/>
      <c r="AF760" s="107"/>
      <c r="AG760" s="107"/>
      <c r="AH760" s="107"/>
      <c r="AI760" s="107"/>
      <c r="AJ760" s="107"/>
      <c r="AK760" s="107"/>
      <c r="AL760" s="107"/>
      <c r="AM760" s="107"/>
      <c r="AN760" s="107"/>
      <c r="AO760" s="107"/>
      <c r="AP760" s="107"/>
      <c r="AQ760" s="107"/>
      <c r="AR760" s="107"/>
      <c r="AS760" s="107"/>
      <c r="AT760" s="107"/>
      <c r="AU760" s="107"/>
      <c r="AV760" s="107"/>
      <c r="AW760" s="107"/>
      <c r="AX760" s="107"/>
      <c r="AY760" s="107"/>
      <c r="AZ760" s="107"/>
      <c r="BA760" s="107"/>
      <c r="BB760" s="107"/>
      <c r="BC760" s="107"/>
      <c r="BD760" s="107"/>
      <c r="BE760" s="107"/>
      <c r="BF760" s="107"/>
      <c r="BG760" s="107"/>
      <c r="BH760" s="107"/>
    </row>
    <row r="761" spans="1:60" x14ac:dyDescent="0.25">
      <c r="A761" s="96"/>
      <c r="B761" s="97"/>
      <c r="C761" s="97"/>
      <c r="D761" s="97"/>
      <c r="E761" s="98"/>
      <c r="F761" s="99" t="str">
        <f>IF(H761&lt;&gt;"",H761-Accueil!N$6+1/60/24,"")</f>
        <v/>
      </c>
      <c r="G761" s="97"/>
      <c r="H761" s="99"/>
      <c r="I761" s="99"/>
      <c r="J761" s="100"/>
      <c r="K761" s="101"/>
      <c r="L761" s="102"/>
      <c r="M761" s="103"/>
      <c r="N761" s="104"/>
      <c r="O761" s="97"/>
      <c r="P761" s="97"/>
      <c r="Q761" s="97"/>
      <c r="R761" s="105"/>
      <c r="S761" s="97"/>
      <c r="T761" s="97"/>
      <c r="U761" s="97" t="str">
        <f t="shared" si="14"/>
        <v/>
      </c>
      <c r="V761" s="97"/>
      <c r="W761" s="97"/>
      <c r="X761" s="97"/>
      <c r="Y761" s="97"/>
      <c r="Z761" s="97"/>
      <c r="AA761" s="97"/>
      <c r="AB761" s="97"/>
      <c r="AC761" s="97"/>
      <c r="AD761" s="97"/>
      <c r="AE761" s="97"/>
      <c r="AF761" s="97"/>
      <c r="AG761" s="97"/>
      <c r="AH761" s="97"/>
      <c r="AI761" s="97"/>
      <c r="AJ761" s="97"/>
      <c r="AK761" s="97"/>
      <c r="AL761" s="97"/>
      <c r="AM761" s="97"/>
      <c r="AN761" s="97"/>
      <c r="AO761" s="97"/>
      <c r="AP761" s="97"/>
      <c r="AQ761" s="97"/>
      <c r="AR761" s="97"/>
      <c r="AS761" s="97"/>
      <c r="AT761" s="97"/>
      <c r="AU761" s="97"/>
      <c r="AV761" s="97"/>
      <c r="AW761" s="97"/>
      <c r="AX761" s="97"/>
      <c r="AY761" s="97"/>
      <c r="AZ761" s="97"/>
      <c r="BA761" s="97"/>
      <c r="BB761" s="97"/>
      <c r="BC761" s="97"/>
      <c r="BD761" s="97"/>
      <c r="BE761" s="97"/>
      <c r="BF761" s="97"/>
      <c r="BG761" s="97"/>
      <c r="BH761" s="97"/>
    </row>
    <row r="762" spans="1:60" x14ac:dyDescent="0.25">
      <c r="A762" s="106"/>
      <c r="B762" s="107"/>
      <c r="C762" s="107"/>
      <c r="D762" s="107"/>
      <c r="E762" s="108"/>
      <c r="F762" s="109" t="str">
        <f>IF(H762&lt;&gt;"",H762-Accueil!N$6+1/60/24,"")</f>
        <v/>
      </c>
      <c r="G762" s="107"/>
      <c r="H762" s="109"/>
      <c r="I762" s="110"/>
      <c r="J762" s="110"/>
      <c r="K762" s="111"/>
      <c r="L762" s="112"/>
      <c r="M762" s="113"/>
      <c r="N762" s="114"/>
      <c r="O762" s="107"/>
      <c r="P762" s="107"/>
      <c r="Q762" s="115"/>
      <c r="R762" s="116"/>
      <c r="S762" s="107"/>
      <c r="T762" s="107"/>
      <c r="U762" s="107" t="str">
        <f t="shared" si="14"/>
        <v/>
      </c>
      <c r="V762" s="107"/>
      <c r="W762" s="107"/>
      <c r="X762" s="107"/>
      <c r="Y762" s="107"/>
      <c r="Z762" s="107"/>
      <c r="AA762" s="107"/>
      <c r="AB762" s="107"/>
      <c r="AC762" s="107"/>
      <c r="AD762" s="107"/>
      <c r="AE762" s="107"/>
      <c r="AF762" s="107"/>
      <c r="AG762" s="107"/>
      <c r="AH762" s="107"/>
      <c r="AI762" s="107"/>
      <c r="AJ762" s="107"/>
      <c r="AK762" s="107"/>
      <c r="AL762" s="107"/>
      <c r="AM762" s="107"/>
      <c r="AN762" s="107"/>
      <c r="AO762" s="107"/>
      <c r="AP762" s="107"/>
      <c r="AQ762" s="107"/>
      <c r="AR762" s="107"/>
      <c r="AS762" s="107"/>
      <c r="AT762" s="107"/>
      <c r="AU762" s="107"/>
      <c r="AV762" s="107"/>
      <c r="AW762" s="107"/>
      <c r="AX762" s="107"/>
      <c r="AY762" s="107"/>
      <c r="AZ762" s="107"/>
      <c r="BA762" s="107"/>
      <c r="BB762" s="107"/>
      <c r="BC762" s="107"/>
      <c r="BD762" s="107"/>
      <c r="BE762" s="107"/>
      <c r="BF762" s="107"/>
      <c r="BG762" s="107"/>
      <c r="BH762" s="107"/>
    </row>
    <row r="763" spans="1:60" x14ac:dyDescent="0.25">
      <c r="A763" s="96"/>
      <c r="B763" s="97"/>
      <c r="C763" s="97"/>
      <c r="D763" s="97"/>
      <c r="E763" s="98"/>
      <c r="F763" s="99" t="str">
        <f>IF(H763&lt;&gt;"",H763-Accueil!N$6+1/60/24,"")</f>
        <v/>
      </c>
      <c r="G763" s="97"/>
      <c r="H763" s="99"/>
      <c r="I763" s="99"/>
      <c r="J763" s="100"/>
      <c r="K763" s="101"/>
      <c r="L763" s="102"/>
      <c r="M763" s="103"/>
      <c r="N763" s="104"/>
      <c r="O763" s="97"/>
      <c r="P763" s="97"/>
      <c r="Q763" s="97"/>
      <c r="R763" s="105"/>
      <c r="S763" s="97"/>
      <c r="T763" s="97"/>
      <c r="U763" s="97" t="str">
        <f t="shared" si="14"/>
        <v/>
      </c>
      <c r="V763" s="97"/>
      <c r="W763" s="97"/>
      <c r="X763" s="97"/>
      <c r="Y763" s="97"/>
      <c r="Z763" s="97"/>
      <c r="AA763" s="97"/>
      <c r="AB763" s="97"/>
      <c r="AC763" s="97"/>
      <c r="AD763" s="97"/>
      <c r="AE763" s="97"/>
      <c r="AF763" s="97"/>
      <c r="AG763" s="97"/>
      <c r="AH763" s="97"/>
      <c r="AI763" s="97"/>
      <c r="AJ763" s="97"/>
      <c r="AK763" s="97"/>
      <c r="AL763" s="97"/>
      <c r="AM763" s="97"/>
      <c r="AN763" s="97"/>
      <c r="AO763" s="97"/>
      <c r="AP763" s="97"/>
      <c r="AQ763" s="97"/>
      <c r="AR763" s="97"/>
      <c r="AS763" s="97"/>
      <c r="AT763" s="97"/>
      <c r="AU763" s="97"/>
      <c r="AV763" s="97"/>
      <c r="AW763" s="97"/>
      <c r="AX763" s="97"/>
      <c r="AY763" s="97"/>
      <c r="AZ763" s="97"/>
      <c r="BA763" s="97"/>
      <c r="BB763" s="97"/>
      <c r="BC763" s="97"/>
      <c r="BD763" s="97"/>
      <c r="BE763" s="97"/>
      <c r="BF763" s="97"/>
      <c r="BG763" s="97"/>
      <c r="BH763" s="97"/>
    </row>
    <row r="764" spans="1:60" x14ac:dyDescent="0.25">
      <c r="A764" s="106"/>
      <c r="B764" s="107"/>
      <c r="C764" s="107"/>
      <c r="D764" s="107"/>
      <c r="E764" s="108"/>
      <c r="F764" s="109" t="str">
        <f>IF(H764&lt;&gt;"",H764-Accueil!N$6+1/60/24,"")</f>
        <v/>
      </c>
      <c r="G764" s="107"/>
      <c r="H764" s="109"/>
      <c r="I764" s="110"/>
      <c r="J764" s="110"/>
      <c r="K764" s="111"/>
      <c r="L764" s="112"/>
      <c r="M764" s="113"/>
      <c r="N764" s="114"/>
      <c r="O764" s="107"/>
      <c r="P764" s="107"/>
      <c r="Q764" s="115"/>
      <c r="R764" s="116"/>
      <c r="S764" s="107"/>
      <c r="T764" s="107"/>
      <c r="U764" s="107" t="str">
        <f t="shared" si="14"/>
        <v/>
      </c>
      <c r="V764" s="107"/>
      <c r="W764" s="107"/>
      <c r="X764" s="107"/>
      <c r="Y764" s="107"/>
      <c r="Z764" s="107"/>
      <c r="AA764" s="107"/>
      <c r="AB764" s="107"/>
      <c r="AC764" s="107"/>
      <c r="AD764" s="107"/>
      <c r="AE764" s="107"/>
      <c r="AF764" s="107"/>
      <c r="AG764" s="107"/>
      <c r="AH764" s="107"/>
      <c r="AI764" s="107"/>
      <c r="AJ764" s="107"/>
      <c r="AK764" s="107"/>
      <c r="AL764" s="107"/>
      <c r="AM764" s="107"/>
      <c r="AN764" s="107"/>
      <c r="AO764" s="107"/>
      <c r="AP764" s="107"/>
      <c r="AQ764" s="107"/>
      <c r="AR764" s="107"/>
      <c r="AS764" s="107"/>
      <c r="AT764" s="107"/>
      <c r="AU764" s="107"/>
      <c r="AV764" s="107"/>
      <c r="AW764" s="107"/>
      <c r="AX764" s="107"/>
      <c r="AY764" s="107"/>
      <c r="AZ764" s="107"/>
      <c r="BA764" s="107"/>
      <c r="BB764" s="107"/>
      <c r="BC764" s="107"/>
      <c r="BD764" s="107"/>
      <c r="BE764" s="107"/>
      <c r="BF764" s="107"/>
      <c r="BG764" s="107"/>
      <c r="BH764" s="107"/>
    </row>
    <row r="765" spans="1:60" x14ac:dyDescent="0.25">
      <c r="A765" s="96"/>
      <c r="B765" s="97"/>
      <c r="C765" s="97"/>
      <c r="D765" s="97"/>
      <c r="E765" s="98"/>
      <c r="F765" s="99" t="str">
        <f>IF(H765&lt;&gt;"",H765-Accueil!N$6+1/60/24,"")</f>
        <v/>
      </c>
      <c r="G765" s="97"/>
      <c r="H765" s="99"/>
      <c r="I765" s="99"/>
      <c r="J765" s="100"/>
      <c r="K765" s="101"/>
      <c r="L765" s="102"/>
      <c r="M765" s="103"/>
      <c r="N765" s="104"/>
      <c r="O765" s="97"/>
      <c r="P765" s="97"/>
      <c r="Q765" s="97"/>
      <c r="R765" s="105"/>
      <c r="S765" s="97"/>
      <c r="T765" s="97"/>
      <c r="U765" s="97" t="str">
        <f t="shared" si="14"/>
        <v/>
      </c>
      <c r="V765" s="97"/>
      <c r="W765" s="97"/>
      <c r="X765" s="97"/>
      <c r="Y765" s="97"/>
      <c r="Z765" s="97"/>
      <c r="AA765" s="97"/>
      <c r="AB765" s="97"/>
      <c r="AC765" s="97"/>
      <c r="AD765" s="97"/>
      <c r="AE765" s="97"/>
      <c r="AF765" s="97"/>
      <c r="AG765" s="97"/>
      <c r="AH765" s="97"/>
      <c r="AI765" s="97"/>
      <c r="AJ765" s="97"/>
      <c r="AK765" s="97"/>
      <c r="AL765" s="97"/>
      <c r="AM765" s="97"/>
      <c r="AN765" s="97"/>
      <c r="AO765" s="97"/>
      <c r="AP765" s="97"/>
      <c r="AQ765" s="97"/>
      <c r="AR765" s="97"/>
      <c r="AS765" s="97"/>
      <c r="AT765" s="97"/>
      <c r="AU765" s="97"/>
      <c r="AV765" s="97"/>
      <c r="AW765" s="97"/>
      <c r="AX765" s="97"/>
      <c r="AY765" s="97"/>
      <c r="AZ765" s="97"/>
      <c r="BA765" s="97"/>
      <c r="BB765" s="97"/>
      <c r="BC765" s="97"/>
      <c r="BD765" s="97"/>
      <c r="BE765" s="97"/>
      <c r="BF765" s="97"/>
      <c r="BG765" s="97"/>
      <c r="BH765" s="97"/>
    </row>
    <row r="766" spans="1:60" x14ac:dyDescent="0.25">
      <c r="A766" s="106"/>
      <c r="B766" s="107"/>
      <c r="C766" s="107"/>
      <c r="D766" s="107"/>
      <c r="E766" s="108"/>
      <c r="F766" s="109" t="str">
        <f>IF(H766&lt;&gt;"",H766-Accueil!N$6+1/60/24,"")</f>
        <v/>
      </c>
      <c r="G766" s="107"/>
      <c r="H766" s="109"/>
      <c r="I766" s="110"/>
      <c r="J766" s="110"/>
      <c r="K766" s="111"/>
      <c r="L766" s="112"/>
      <c r="M766" s="113"/>
      <c r="N766" s="114"/>
      <c r="O766" s="107"/>
      <c r="P766" s="107"/>
      <c r="Q766" s="115"/>
      <c r="R766" s="116"/>
      <c r="S766" s="107"/>
      <c r="T766" s="107"/>
      <c r="U766" s="107" t="str">
        <f t="shared" si="14"/>
        <v/>
      </c>
      <c r="V766" s="107"/>
      <c r="W766" s="107"/>
      <c r="X766" s="107"/>
      <c r="Y766" s="107"/>
      <c r="Z766" s="107"/>
      <c r="AA766" s="107"/>
      <c r="AB766" s="107"/>
      <c r="AC766" s="107"/>
      <c r="AD766" s="107"/>
      <c r="AE766" s="107"/>
      <c r="AF766" s="107"/>
      <c r="AG766" s="107"/>
      <c r="AH766" s="107"/>
      <c r="AI766" s="107"/>
      <c r="AJ766" s="107"/>
      <c r="AK766" s="107"/>
      <c r="AL766" s="107"/>
      <c r="AM766" s="107"/>
      <c r="AN766" s="107"/>
      <c r="AO766" s="107"/>
      <c r="AP766" s="107"/>
      <c r="AQ766" s="107"/>
      <c r="AR766" s="107"/>
      <c r="AS766" s="107"/>
      <c r="AT766" s="107"/>
      <c r="AU766" s="107"/>
      <c r="AV766" s="107"/>
      <c r="AW766" s="107"/>
      <c r="AX766" s="107"/>
      <c r="AY766" s="107"/>
      <c r="AZ766" s="107"/>
      <c r="BA766" s="107"/>
      <c r="BB766" s="107"/>
      <c r="BC766" s="107"/>
      <c r="BD766" s="107"/>
      <c r="BE766" s="107"/>
      <c r="BF766" s="107"/>
      <c r="BG766" s="107"/>
      <c r="BH766" s="107"/>
    </row>
    <row r="767" spans="1:60" x14ac:dyDescent="0.25">
      <c r="A767" s="96"/>
      <c r="B767" s="97"/>
      <c r="C767" s="97"/>
      <c r="D767" s="97"/>
      <c r="E767" s="98"/>
      <c r="F767" s="99" t="str">
        <f>IF(H767&lt;&gt;"",H767-Accueil!N$6+1/60/24,"")</f>
        <v/>
      </c>
      <c r="G767" s="97"/>
      <c r="H767" s="99"/>
      <c r="I767" s="99"/>
      <c r="J767" s="100"/>
      <c r="K767" s="101"/>
      <c r="L767" s="102"/>
      <c r="M767" s="103"/>
      <c r="N767" s="104"/>
      <c r="O767" s="97"/>
      <c r="P767" s="97"/>
      <c r="Q767" s="97"/>
      <c r="R767" s="105"/>
      <c r="S767" s="97"/>
      <c r="T767" s="97"/>
      <c r="U767" s="97" t="str">
        <f t="shared" si="14"/>
        <v/>
      </c>
      <c r="V767" s="97"/>
      <c r="W767" s="97"/>
      <c r="X767" s="97"/>
      <c r="Y767" s="97"/>
      <c r="Z767" s="97"/>
      <c r="AA767" s="97"/>
      <c r="AB767" s="97"/>
      <c r="AC767" s="97"/>
      <c r="AD767" s="97"/>
      <c r="AE767" s="97"/>
      <c r="AF767" s="97"/>
      <c r="AG767" s="97"/>
      <c r="AH767" s="97"/>
      <c r="AI767" s="97"/>
      <c r="AJ767" s="97"/>
      <c r="AK767" s="97"/>
      <c r="AL767" s="97"/>
      <c r="AM767" s="97"/>
      <c r="AN767" s="97"/>
      <c r="AO767" s="97"/>
      <c r="AP767" s="97"/>
      <c r="AQ767" s="97"/>
      <c r="AR767" s="97"/>
      <c r="AS767" s="97"/>
      <c r="AT767" s="97"/>
      <c r="AU767" s="97"/>
      <c r="AV767" s="97"/>
      <c r="AW767" s="97"/>
      <c r="AX767" s="97"/>
      <c r="AY767" s="97"/>
      <c r="AZ767" s="97"/>
      <c r="BA767" s="97"/>
      <c r="BB767" s="97"/>
      <c r="BC767" s="97"/>
      <c r="BD767" s="97"/>
      <c r="BE767" s="97"/>
      <c r="BF767" s="97"/>
      <c r="BG767" s="97"/>
      <c r="BH767" s="97"/>
    </row>
    <row r="768" spans="1:60" x14ac:dyDescent="0.25">
      <c r="A768" s="106"/>
      <c r="B768" s="107"/>
      <c r="C768" s="107"/>
      <c r="D768" s="107"/>
      <c r="E768" s="108"/>
      <c r="F768" s="109" t="str">
        <f>IF(H768&lt;&gt;"",H768-Accueil!N$6+1/60/24,"")</f>
        <v/>
      </c>
      <c r="G768" s="107"/>
      <c r="H768" s="109"/>
      <c r="I768" s="110"/>
      <c r="J768" s="110"/>
      <c r="K768" s="111"/>
      <c r="L768" s="112"/>
      <c r="M768" s="113"/>
      <c r="N768" s="114"/>
      <c r="O768" s="107"/>
      <c r="P768" s="107"/>
      <c r="Q768" s="115"/>
      <c r="R768" s="116"/>
      <c r="S768" s="107"/>
      <c r="T768" s="107"/>
      <c r="U768" s="107" t="str">
        <f t="shared" si="14"/>
        <v/>
      </c>
      <c r="V768" s="107"/>
      <c r="W768" s="107"/>
      <c r="X768" s="107"/>
      <c r="Y768" s="107"/>
      <c r="Z768" s="107"/>
      <c r="AA768" s="107"/>
      <c r="AB768" s="107"/>
      <c r="AC768" s="107"/>
      <c r="AD768" s="107"/>
      <c r="AE768" s="107"/>
      <c r="AF768" s="107"/>
      <c r="AG768" s="107"/>
      <c r="AH768" s="107"/>
      <c r="AI768" s="107"/>
      <c r="AJ768" s="107"/>
      <c r="AK768" s="107"/>
      <c r="AL768" s="107"/>
      <c r="AM768" s="107"/>
      <c r="AN768" s="107"/>
      <c r="AO768" s="107"/>
      <c r="AP768" s="107"/>
      <c r="AQ768" s="107"/>
      <c r="AR768" s="107"/>
      <c r="AS768" s="107"/>
      <c r="AT768" s="107"/>
      <c r="AU768" s="107"/>
      <c r="AV768" s="107"/>
      <c r="AW768" s="107"/>
      <c r="AX768" s="107"/>
      <c r="AY768" s="107"/>
      <c r="AZ768" s="107"/>
      <c r="BA768" s="107"/>
      <c r="BB768" s="107"/>
      <c r="BC768" s="107"/>
      <c r="BD768" s="107"/>
      <c r="BE768" s="107"/>
      <c r="BF768" s="107"/>
      <c r="BG768" s="107"/>
      <c r="BH768" s="107"/>
    </row>
    <row r="769" spans="1:60" x14ac:dyDescent="0.25">
      <c r="A769" s="96"/>
      <c r="B769" s="97"/>
      <c r="C769" s="97"/>
      <c r="D769" s="97"/>
      <c r="E769" s="98"/>
      <c r="F769" s="99" t="str">
        <f>IF(H769&lt;&gt;"",H769-Accueil!N$6+1/60/24,"")</f>
        <v/>
      </c>
      <c r="G769" s="97"/>
      <c r="H769" s="99"/>
      <c r="I769" s="99"/>
      <c r="J769" s="100"/>
      <c r="K769" s="101"/>
      <c r="L769" s="102"/>
      <c r="M769" s="103"/>
      <c r="N769" s="104"/>
      <c r="O769" s="97"/>
      <c r="P769" s="97"/>
      <c r="Q769" s="97"/>
      <c r="R769" s="105"/>
      <c r="S769" s="97"/>
      <c r="T769" s="97"/>
      <c r="U769" s="97" t="str">
        <f t="shared" si="14"/>
        <v/>
      </c>
      <c r="V769" s="97"/>
      <c r="W769" s="97"/>
      <c r="X769" s="97"/>
      <c r="Y769" s="97"/>
      <c r="Z769" s="97"/>
      <c r="AA769" s="97"/>
      <c r="AB769" s="97"/>
      <c r="AC769" s="97"/>
      <c r="AD769" s="97"/>
      <c r="AE769" s="97"/>
      <c r="AF769" s="97"/>
      <c r="AG769" s="97"/>
      <c r="AH769" s="97"/>
      <c r="AI769" s="97"/>
      <c r="AJ769" s="97"/>
      <c r="AK769" s="97"/>
      <c r="AL769" s="97"/>
      <c r="AM769" s="97"/>
      <c r="AN769" s="97"/>
      <c r="AO769" s="97"/>
      <c r="AP769" s="97"/>
      <c r="AQ769" s="97"/>
      <c r="AR769" s="97"/>
      <c r="AS769" s="97"/>
      <c r="AT769" s="97"/>
      <c r="AU769" s="97"/>
      <c r="AV769" s="97"/>
      <c r="AW769" s="97"/>
      <c r="AX769" s="97"/>
      <c r="AY769" s="97"/>
      <c r="AZ769" s="97"/>
      <c r="BA769" s="97"/>
      <c r="BB769" s="97"/>
      <c r="BC769" s="97"/>
      <c r="BD769" s="97"/>
      <c r="BE769" s="97"/>
      <c r="BF769" s="97"/>
      <c r="BG769" s="97"/>
      <c r="BH769" s="97"/>
    </row>
    <row r="770" spans="1:60" x14ac:dyDescent="0.25">
      <c r="A770" s="106"/>
      <c r="B770" s="107"/>
      <c r="C770" s="107"/>
      <c r="D770" s="107"/>
      <c r="E770" s="108"/>
      <c r="F770" s="109" t="str">
        <f>IF(H770&lt;&gt;"",H770-Accueil!N$6+1/60/24,"")</f>
        <v/>
      </c>
      <c r="G770" s="107"/>
      <c r="H770" s="109"/>
      <c r="I770" s="110"/>
      <c r="J770" s="110"/>
      <c r="K770" s="111"/>
      <c r="L770" s="112"/>
      <c r="M770" s="113"/>
      <c r="N770" s="114"/>
      <c r="O770" s="107"/>
      <c r="P770" s="107"/>
      <c r="Q770" s="115"/>
      <c r="R770" s="116"/>
      <c r="S770" s="107"/>
      <c r="T770" s="107"/>
      <c r="U770" s="107" t="str">
        <f t="shared" si="14"/>
        <v/>
      </c>
      <c r="V770" s="107"/>
      <c r="W770" s="107"/>
      <c r="X770" s="107"/>
      <c r="Y770" s="107"/>
      <c r="Z770" s="107"/>
      <c r="AA770" s="107"/>
      <c r="AB770" s="107"/>
      <c r="AC770" s="107"/>
      <c r="AD770" s="107"/>
      <c r="AE770" s="107"/>
      <c r="AF770" s="107"/>
      <c r="AG770" s="107"/>
      <c r="AH770" s="107"/>
      <c r="AI770" s="107"/>
      <c r="AJ770" s="107"/>
      <c r="AK770" s="107"/>
      <c r="AL770" s="107"/>
      <c r="AM770" s="107"/>
      <c r="AN770" s="107"/>
      <c r="AO770" s="107"/>
      <c r="AP770" s="107"/>
      <c r="AQ770" s="107"/>
      <c r="AR770" s="107"/>
      <c r="AS770" s="107"/>
      <c r="AT770" s="107"/>
      <c r="AU770" s="107"/>
      <c r="AV770" s="107"/>
      <c r="AW770" s="107"/>
      <c r="AX770" s="107"/>
      <c r="AY770" s="107"/>
      <c r="AZ770" s="107"/>
      <c r="BA770" s="107"/>
      <c r="BB770" s="107"/>
      <c r="BC770" s="107"/>
      <c r="BD770" s="107"/>
      <c r="BE770" s="107"/>
      <c r="BF770" s="107"/>
      <c r="BG770" s="107"/>
      <c r="BH770" s="107"/>
    </row>
    <row r="771" spans="1:60" x14ac:dyDescent="0.25">
      <c r="A771" s="96"/>
      <c r="B771" s="97"/>
      <c r="C771" s="97"/>
      <c r="D771" s="97"/>
      <c r="E771" s="98"/>
      <c r="F771" s="99" t="str">
        <f>IF(H771&lt;&gt;"",H771-Accueil!N$6+1/60/24,"")</f>
        <v/>
      </c>
      <c r="G771" s="97"/>
      <c r="H771" s="99"/>
      <c r="I771" s="99"/>
      <c r="J771" s="100"/>
      <c r="K771" s="101"/>
      <c r="L771" s="102"/>
      <c r="M771" s="103"/>
      <c r="N771" s="104"/>
      <c r="O771" s="97"/>
      <c r="P771" s="97"/>
      <c r="Q771" s="97"/>
      <c r="R771" s="105"/>
      <c r="S771" s="97"/>
      <c r="T771" s="97"/>
      <c r="U771" s="97" t="str">
        <f t="shared" ref="U771:U834" si="15">IF(B771="","",IF(I771="",0,1))</f>
        <v/>
      </c>
      <c r="V771" s="97"/>
      <c r="W771" s="97"/>
      <c r="X771" s="97"/>
      <c r="Y771" s="97"/>
      <c r="Z771" s="97"/>
      <c r="AA771" s="97"/>
      <c r="AB771" s="97"/>
      <c r="AC771" s="97"/>
      <c r="AD771" s="97"/>
      <c r="AE771" s="97"/>
      <c r="AF771" s="97"/>
      <c r="AG771" s="97"/>
      <c r="AH771" s="97"/>
      <c r="AI771" s="97"/>
      <c r="AJ771" s="97"/>
      <c r="AK771" s="97"/>
      <c r="AL771" s="97"/>
      <c r="AM771" s="97"/>
      <c r="AN771" s="97"/>
      <c r="AO771" s="97"/>
      <c r="AP771" s="97"/>
      <c r="AQ771" s="97"/>
      <c r="AR771" s="97"/>
      <c r="AS771" s="97"/>
      <c r="AT771" s="97"/>
      <c r="AU771" s="97"/>
      <c r="AV771" s="97"/>
      <c r="AW771" s="97"/>
      <c r="AX771" s="97"/>
      <c r="AY771" s="97"/>
      <c r="AZ771" s="97"/>
      <c r="BA771" s="97"/>
      <c r="BB771" s="97"/>
      <c r="BC771" s="97"/>
      <c r="BD771" s="97"/>
      <c r="BE771" s="97"/>
      <c r="BF771" s="97"/>
      <c r="BG771" s="97"/>
      <c r="BH771" s="97"/>
    </row>
    <row r="772" spans="1:60" x14ac:dyDescent="0.25">
      <c r="A772" s="106"/>
      <c r="B772" s="107"/>
      <c r="C772" s="107"/>
      <c r="D772" s="107"/>
      <c r="E772" s="108"/>
      <c r="F772" s="109" t="str">
        <f>IF(H772&lt;&gt;"",H772-Accueil!N$6+1/60/24,"")</f>
        <v/>
      </c>
      <c r="G772" s="107"/>
      <c r="H772" s="109"/>
      <c r="I772" s="110"/>
      <c r="J772" s="110"/>
      <c r="K772" s="111"/>
      <c r="L772" s="112"/>
      <c r="M772" s="113"/>
      <c r="N772" s="114"/>
      <c r="O772" s="107"/>
      <c r="P772" s="107"/>
      <c r="Q772" s="115"/>
      <c r="R772" s="116"/>
      <c r="S772" s="107"/>
      <c r="T772" s="107"/>
      <c r="U772" s="107" t="str">
        <f t="shared" si="15"/>
        <v/>
      </c>
      <c r="V772" s="107"/>
      <c r="W772" s="107"/>
      <c r="X772" s="107"/>
      <c r="Y772" s="107"/>
      <c r="Z772" s="107"/>
      <c r="AA772" s="107"/>
      <c r="AB772" s="107"/>
      <c r="AC772" s="107"/>
      <c r="AD772" s="107"/>
      <c r="AE772" s="107"/>
      <c r="AF772" s="107"/>
      <c r="AG772" s="107"/>
      <c r="AH772" s="107"/>
      <c r="AI772" s="107"/>
      <c r="AJ772" s="107"/>
      <c r="AK772" s="107"/>
      <c r="AL772" s="107"/>
      <c r="AM772" s="107"/>
      <c r="AN772" s="107"/>
      <c r="AO772" s="107"/>
      <c r="AP772" s="107"/>
      <c r="AQ772" s="107"/>
      <c r="AR772" s="107"/>
      <c r="AS772" s="107"/>
      <c r="AT772" s="107"/>
      <c r="AU772" s="107"/>
      <c r="AV772" s="107"/>
      <c r="AW772" s="107"/>
      <c r="AX772" s="107"/>
      <c r="AY772" s="107"/>
      <c r="AZ772" s="107"/>
      <c r="BA772" s="107"/>
      <c r="BB772" s="107"/>
      <c r="BC772" s="107"/>
      <c r="BD772" s="107"/>
      <c r="BE772" s="107"/>
      <c r="BF772" s="107"/>
      <c r="BG772" s="107"/>
      <c r="BH772" s="107"/>
    </row>
    <row r="773" spans="1:60" x14ac:dyDescent="0.25">
      <c r="A773" s="96"/>
      <c r="B773" s="97"/>
      <c r="C773" s="97"/>
      <c r="D773" s="97"/>
      <c r="E773" s="98"/>
      <c r="F773" s="99" t="str">
        <f>IF(H773&lt;&gt;"",H773-Accueil!N$6+1/60/24,"")</f>
        <v/>
      </c>
      <c r="G773" s="97"/>
      <c r="H773" s="99"/>
      <c r="I773" s="99"/>
      <c r="J773" s="100"/>
      <c r="K773" s="101"/>
      <c r="L773" s="102"/>
      <c r="M773" s="103"/>
      <c r="N773" s="104"/>
      <c r="O773" s="97"/>
      <c r="P773" s="97"/>
      <c r="Q773" s="97"/>
      <c r="R773" s="105"/>
      <c r="S773" s="97"/>
      <c r="T773" s="97"/>
      <c r="U773" s="97" t="str">
        <f t="shared" si="15"/>
        <v/>
      </c>
      <c r="V773" s="97"/>
      <c r="W773" s="97"/>
      <c r="X773" s="97"/>
      <c r="Y773" s="97"/>
      <c r="Z773" s="97"/>
      <c r="AA773" s="97"/>
      <c r="AB773" s="97"/>
      <c r="AC773" s="97"/>
      <c r="AD773" s="97"/>
      <c r="AE773" s="97"/>
      <c r="AF773" s="97"/>
      <c r="AG773" s="97"/>
      <c r="AH773" s="97"/>
      <c r="AI773" s="97"/>
      <c r="AJ773" s="97"/>
      <c r="AK773" s="97"/>
      <c r="AL773" s="97"/>
      <c r="AM773" s="97"/>
      <c r="AN773" s="97"/>
      <c r="AO773" s="97"/>
      <c r="AP773" s="97"/>
      <c r="AQ773" s="97"/>
      <c r="AR773" s="97"/>
      <c r="AS773" s="97"/>
      <c r="AT773" s="97"/>
      <c r="AU773" s="97"/>
      <c r="AV773" s="97"/>
      <c r="AW773" s="97"/>
      <c r="AX773" s="97"/>
      <c r="AY773" s="97"/>
      <c r="AZ773" s="97"/>
      <c r="BA773" s="97"/>
      <c r="BB773" s="97"/>
      <c r="BC773" s="97"/>
      <c r="BD773" s="97"/>
      <c r="BE773" s="97"/>
      <c r="BF773" s="97"/>
      <c r="BG773" s="97"/>
      <c r="BH773" s="97"/>
    </row>
    <row r="774" spans="1:60" x14ac:dyDescent="0.25">
      <c r="A774" s="106"/>
      <c r="B774" s="107"/>
      <c r="C774" s="107"/>
      <c r="D774" s="107"/>
      <c r="E774" s="108"/>
      <c r="F774" s="109" t="str">
        <f>IF(H774&lt;&gt;"",H774-Accueil!N$6+1/60/24,"")</f>
        <v/>
      </c>
      <c r="G774" s="107"/>
      <c r="H774" s="109"/>
      <c r="I774" s="110"/>
      <c r="J774" s="110"/>
      <c r="K774" s="111"/>
      <c r="L774" s="112"/>
      <c r="M774" s="113"/>
      <c r="N774" s="114"/>
      <c r="O774" s="107"/>
      <c r="P774" s="107"/>
      <c r="Q774" s="115"/>
      <c r="R774" s="116"/>
      <c r="S774" s="107"/>
      <c r="T774" s="107"/>
      <c r="U774" s="107" t="str">
        <f t="shared" si="15"/>
        <v/>
      </c>
      <c r="V774" s="107"/>
      <c r="W774" s="107"/>
      <c r="X774" s="107"/>
      <c r="Y774" s="107"/>
      <c r="Z774" s="107"/>
      <c r="AA774" s="107"/>
      <c r="AB774" s="107"/>
      <c r="AC774" s="107"/>
      <c r="AD774" s="107"/>
      <c r="AE774" s="107"/>
      <c r="AF774" s="107"/>
      <c r="AG774" s="107"/>
      <c r="AH774" s="107"/>
      <c r="AI774" s="107"/>
      <c r="AJ774" s="107"/>
      <c r="AK774" s="107"/>
      <c r="AL774" s="107"/>
      <c r="AM774" s="107"/>
      <c r="AN774" s="107"/>
      <c r="AO774" s="107"/>
      <c r="AP774" s="107"/>
      <c r="AQ774" s="107"/>
      <c r="AR774" s="107"/>
      <c r="AS774" s="107"/>
      <c r="AT774" s="107"/>
      <c r="AU774" s="107"/>
      <c r="AV774" s="107"/>
      <c r="AW774" s="107"/>
      <c r="AX774" s="107"/>
      <c r="AY774" s="107"/>
      <c r="AZ774" s="107"/>
      <c r="BA774" s="107"/>
      <c r="BB774" s="107"/>
      <c r="BC774" s="107"/>
      <c r="BD774" s="107"/>
      <c r="BE774" s="107"/>
      <c r="BF774" s="107"/>
      <c r="BG774" s="107"/>
      <c r="BH774" s="107"/>
    </row>
    <row r="775" spans="1:60" x14ac:dyDescent="0.25">
      <c r="A775" s="96"/>
      <c r="B775" s="97"/>
      <c r="C775" s="97"/>
      <c r="D775" s="97"/>
      <c r="E775" s="98"/>
      <c r="F775" s="99" t="str">
        <f>IF(H775&lt;&gt;"",H775-Accueil!N$6+1/60/24,"")</f>
        <v/>
      </c>
      <c r="G775" s="97"/>
      <c r="H775" s="99"/>
      <c r="I775" s="99"/>
      <c r="J775" s="100"/>
      <c r="K775" s="101"/>
      <c r="L775" s="102"/>
      <c r="M775" s="103"/>
      <c r="N775" s="104"/>
      <c r="O775" s="97"/>
      <c r="P775" s="97"/>
      <c r="Q775" s="97"/>
      <c r="R775" s="105"/>
      <c r="S775" s="97"/>
      <c r="T775" s="97"/>
      <c r="U775" s="97" t="str">
        <f t="shared" si="15"/>
        <v/>
      </c>
      <c r="V775" s="97"/>
      <c r="W775" s="97"/>
      <c r="X775" s="97"/>
      <c r="Y775" s="97"/>
      <c r="Z775" s="97"/>
      <c r="AA775" s="97"/>
      <c r="AB775" s="97"/>
      <c r="AC775" s="97"/>
      <c r="AD775" s="97"/>
      <c r="AE775" s="97"/>
      <c r="AF775" s="97"/>
      <c r="AG775" s="97"/>
      <c r="AH775" s="97"/>
      <c r="AI775" s="97"/>
      <c r="AJ775" s="97"/>
      <c r="AK775" s="97"/>
      <c r="AL775" s="97"/>
      <c r="AM775" s="97"/>
      <c r="AN775" s="97"/>
      <c r="AO775" s="97"/>
      <c r="AP775" s="97"/>
      <c r="AQ775" s="97"/>
      <c r="AR775" s="97"/>
      <c r="AS775" s="97"/>
      <c r="AT775" s="97"/>
      <c r="AU775" s="97"/>
      <c r="AV775" s="97"/>
      <c r="AW775" s="97"/>
      <c r="AX775" s="97"/>
      <c r="AY775" s="97"/>
      <c r="AZ775" s="97"/>
      <c r="BA775" s="97"/>
      <c r="BB775" s="97"/>
      <c r="BC775" s="97"/>
      <c r="BD775" s="97"/>
      <c r="BE775" s="97"/>
      <c r="BF775" s="97"/>
      <c r="BG775" s="97"/>
      <c r="BH775" s="97"/>
    </row>
    <row r="776" spans="1:60" x14ac:dyDescent="0.25">
      <c r="A776" s="106"/>
      <c r="B776" s="107"/>
      <c r="C776" s="107"/>
      <c r="D776" s="107"/>
      <c r="E776" s="108"/>
      <c r="F776" s="109" t="str">
        <f>IF(H776&lt;&gt;"",H776-Accueil!N$6+1/60/24,"")</f>
        <v/>
      </c>
      <c r="G776" s="107"/>
      <c r="H776" s="109"/>
      <c r="I776" s="110"/>
      <c r="J776" s="110"/>
      <c r="K776" s="111"/>
      <c r="L776" s="112"/>
      <c r="M776" s="113"/>
      <c r="N776" s="114"/>
      <c r="O776" s="107"/>
      <c r="P776" s="107"/>
      <c r="Q776" s="115"/>
      <c r="R776" s="116"/>
      <c r="S776" s="107"/>
      <c r="T776" s="107"/>
      <c r="U776" s="107" t="str">
        <f t="shared" si="15"/>
        <v/>
      </c>
      <c r="V776" s="107"/>
      <c r="W776" s="107"/>
      <c r="X776" s="107"/>
      <c r="Y776" s="107"/>
      <c r="Z776" s="107"/>
      <c r="AA776" s="107"/>
      <c r="AB776" s="107"/>
      <c r="AC776" s="107"/>
      <c r="AD776" s="107"/>
      <c r="AE776" s="107"/>
      <c r="AF776" s="107"/>
      <c r="AG776" s="107"/>
      <c r="AH776" s="107"/>
      <c r="AI776" s="107"/>
      <c r="AJ776" s="107"/>
      <c r="AK776" s="107"/>
      <c r="AL776" s="107"/>
      <c r="AM776" s="107"/>
      <c r="AN776" s="107"/>
      <c r="AO776" s="107"/>
      <c r="AP776" s="107"/>
      <c r="AQ776" s="107"/>
      <c r="AR776" s="107"/>
      <c r="AS776" s="107"/>
      <c r="AT776" s="107"/>
      <c r="AU776" s="107"/>
      <c r="AV776" s="107"/>
      <c r="AW776" s="107"/>
      <c r="AX776" s="107"/>
      <c r="AY776" s="107"/>
      <c r="AZ776" s="107"/>
      <c r="BA776" s="107"/>
      <c r="BB776" s="107"/>
      <c r="BC776" s="107"/>
      <c r="BD776" s="107"/>
      <c r="BE776" s="107"/>
      <c r="BF776" s="107"/>
      <c r="BG776" s="107"/>
      <c r="BH776" s="107"/>
    </row>
    <row r="777" spans="1:60" x14ac:dyDescent="0.25">
      <c r="A777" s="96"/>
      <c r="B777" s="97"/>
      <c r="C777" s="97"/>
      <c r="D777" s="97"/>
      <c r="E777" s="98"/>
      <c r="F777" s="99" t="str">
        <f>IF(H777&lt;&gt;"",H777-Accueil!N$6+1/60/24,"")</f>
        <v/>
      </c>
      <c r="G777" s="97"/>
      <c r="H777" s="99"/>
      <c r="I777" s="99"/>
      <c r="J777" s="100"/>
      <c r="K777" s="101"/>
      <c r="L777" s="102"/>
      <c r="M777" s="103"/>
      <c r="N777" s="104"/>
      <c r="O777" s="97"/>
      <c r="P777" s="97"/>
      <c r="Q777" s="97"/>
      <c r="R777" s="105"/>
      <c r="S777" s="97"/>
      <c r="T777" s="97"/>
      <c r="U777" s="97" t="str">
        <f t="shared" si="15"/>
        <v/>
      </c>
      <c r="V777" s="97"/>
      <c r="W777" s="97"/>
      <c r="X777" s="97"/>
      <c r="Y777" s="97"/>
      <c r="Z777" s="97"/>
      <c r="AA777" s="97"/>
      <c r="AB777" s="97"/>
      <c r="AC777" s="97"/>
      <c r="AD777" s="97"/>
      <c r="AE777" s="97"/>
      <c r="AF777" s="97"/>
      <c r="AG777" s="97"/>
      <c r="AH777" s="97"/>
      <c r="AI777" s="97"/>
      <c r="AJ777" s="97"/>
      <c r="AK777" s="97"/>
      <c r="AL777" s="97"/>
      <c r="AM777" s="97"/>
      <c r="AN777" s="97"/>
      <c r="AO777" s="97"/>
      <c r="AP777" s="97"/>
      <c r="AQ777" s="97"/>
      <c r="AR777" s="97"/>
      <c r="AS777" s="97"/>
      <c r="AT777" s="97"/>
      <c r="AU777" s="97"/>
      <c r="AV777" s="97"/>
      <c r="AW777" s="97"/>
      <c r="AX777" s="97"/>
      <c r="AY777" s="97"/>
      <c r="AZ777" s="97"/>
      <c r="BA777" s="97"/>
      <c r="BB777" s="97"/>
      <c r="BC777" s="97"/>
      <c r="BD777" s="97"/>
      <c r="BE777" s="97"/>
      <c r="BF777" s="97"/>
      <c r="BG777" s="97"/>
      <c r="BH777" s="97"/>
    </row>
    <row r="778" spans="1:60" x14ac:dyDescent="0.25">
      <c r="A778" s="106"/>
      <c r="B778" s="107"/>
      <c r="C778" s="107"/>
      <c r="D778" s="107"/>
      <c r="E778" s="108"/>
      <c r="F778" s="109" t="str">
        <f>IF(H778&lt;&gt;"",H778-Accueil!N$6+1/60/24,"")</f>
        <v/>
      </c>
      <c r="G778" s="107"/>
      <c r="H778" s="109"/>
      <c r="I778" s="110"/>
      <c r="J778" s="110"/>
      <c r="K778" s="111"/>
      <c r="L778" s="112"/>
      <c r="M778" s="113"/>
      <c r="N778" s="114"/>
      <c r="O778" s="107"/>
      <c r="P778" s="107"/>
      <c r="Q778" s="115"/>
      <c r="R778" s="116"/>
      <c r="S778" s="107"/>
      <c r="T778" s="107"/>
      <c r="U778" s="107" t="str">
        <f t="shared" si="15"/>
        <v/>
      </c>
      <c r="V778" s="107"/>
      <c r="W778" s="107"/>
      <c r="X778" s="107"/>
      <c r="Y778" s="107"/>
      <c r="Z778" s="107"/>
      <c r="AA778" s="107"/>
      <c r="AB778" s="107"/>
      <c r="AC778" s="107"/>
      <c r="AD778" s="107"/>
      <c r="AE778" s="107"/>
      <c r="AF778" s="107"/>
      <c r="AG778" s="107"/>
      <c r="AH778" s="107"/>
      <c r="AI778" s="107"/>
      <c r="AJ778" s="107"/>
      <c r="AK778" s="107"/>
      <c r="AL778" s="107"/>
      <c r="AM778" s="107"/>
      <c r="AN778" s="107"/>
      <c r="AO778" s="107"/>
      <c r="AP778" s="107"/>
      <c r="AQ778" s="107"/>
      <c r="AR778" s="107"/>
      <c r="AS778" s="107"/>
      <c r="AT778" s="107"/>
      <c r="AU778" s="107"/>
      <c r="AV778" s="107"/>
      <c r="AW778" s="107"/>
      <c r="AX778" s="107"/>
      <c r="AY778" s="107"/>
      <c r="AZ778" s="107"/>
      <c r="BA778" s="107"/>
      <c r="BB778" s="107"/>
      <c r="BC778" s="107"/>
      <c r="BD778" s="107"/>
      <c r="BE778" s="107"/>
      <c r="BF778" s="107"/>
      <c r="BG778" s="107"/>
      <c r="BH778" s="107"/>
    </row>
    <row r="779" spans="1:60" x14ac:dyDescent="0.25">
      <c r="A779" s="96"/>
      <c r="B779" s="97"/>
      <c r="C779" s="97"/>
      <c r="D779" s="97"/>
      <c r="E779" s="98"/>
      <c r="F779" s="99" t="str">
        <f>IF(H779&lt;&gt;"",H779-Accueil!N$6+1/60/24,"")</f>
        <v/>
      </c>
      <c r="G779" s="97"/>
      <c r="H779" s="99"/>
      <c r="I779" s="99"/>
      <c r="J779" s="100"/>
      <c r="K779" s="101"/>
      <c r="L779" s="102"/>
      <c r="M779" s="103"/>
      <c r="N779" s="104"/>
      <c r="O779" s="97"/>
      <c r="P779" s="97"/>
      <c r="Q779" s="97"/>
      <c r="R779" s="105"/>
      <c r="S779" s="97"/>
      <c r="T779" s="97"/>
      <c r="U779" s="97" t="str">
        <f t="shared" si="15"/>
        <v/>
      </c>
      <c r="V779" s="97"/>
      <c r="W779" s="97"/>
      <c r="X779" s="97"/>
      <c r="Y779" s="97"/>
      <c r="Z779" s="97"/>
      <c r="AA779" s="97"/>
      <c r="AB779" s="97"/>
      <c r="AC779" s="97"/>
      <c r="AD779" s="97"/>
      <c r="AE779" s="97"/>
      <c r="AF779" s="97"/>
      <c r="AG779" s="97"/>
      <c r="AH779" s="97"/>
      <c r="AI779" s="97"/>
      <c r="AJ779" s="97"/>
      <c r="AK779" s="97"/>
      <c r="AL779" s="97"/>
      <c r="AM779" s="97"/>
      <c r="AN779" s="97"/>
      <c r="AO779" s="97"/>
      <c r="AP779" s="97"/>
      <c r="AQ779" s="97"/>
      <c r="AR779" s="97"/>
      <c r="AS779" s="97"/>
      <c r="AT779" s="97"/>
      <c r="AU779" s="97"/>
      <c r="AV779" s="97"/>
      <c r="AW779" s="97"/>
      <c r="AX779" s="97"/>
      <c r="AY779" s="97"/>
      <c r="AZ779" s="97"/>
      <c r="BA779" s="97"/>
      <c r="BB779" s="97"/>
      <c r="BC779" s="97"/>
      <c r="BD779" s="97"/>
      <c r="BE779" s="97"/>
      <c r="BF779" s="97"/>
      <c r="BG779" s="97"/>
      <c r="BH779" s="97"/>
    </row>
    <row r="780" spans="1:60" x14ac:dyDescent="0.25">
      <c r="A780" s="106"/>
      <c r="B780" s="107"/>
      <c r="C780" s="107"/>
      <c r="D780" s="107"/>
      <c r="E780" s="108"/>
      <c r="F780" s="109" t="str">
        <f>IF(H780&lt;&gt;"",H780-Accueil!N$6+1/60/24,"")</f>
        <v/>
      </c>
      <c r="G780" s="107"/>
      <c r="H780" s="109"/>
      <c r="I780" s="110"/>
      <c r="J780" s="110"/>
      <c r="K780" s="111"/>
      <c r="L780" s="112"/>
      <c r="M780" s="113"/>
      <c r="N780" s="114"/>
      <c r="O780" s="107"/>
      <c r="P780" s="107"/>
      <c r="Q780" s="115"/>
      <c r="R780" s="116"/>
      <c r="S780" s="107"/>
      <c r="T780" s="107"/>
      <c r="U780" s="107" t="str">
        <f t="shared" si="15"/>
        <v/>
      </c>
      <c r="V780" s="107"/>
      <c r="W780" s="107"/>
      <c r="X780" s="107"/>
      <c r="Y780" s="107"/>
      <c r="Z780" s="107"/>
      <c r="AA780" s="107"/>
      <c r="AB780" s="107"/>
      <c r="AC780" s="107"/>
      <c r="AD780" s="107"/>
      <c r="AE780" s="107"/>
      <c r="AF780" s="107"/>
      <c r="AG780" s="107"/>
      <c r="AH780" s="107"/>
      <c r="AI780" s="107"/>
      <c r="AJ780" s="107"/>
      <c r="AK780" s="107"/>
      <c r="AL780" s="107"/>
      <c r="AM780" s="107"/>
      <c r="AN780" s="107"/>
      <c r="AO780" s="107"/>
      <c r="AP780" s="107"/>
      <c r="AQ780" s="107"/>
      <c r="AR780" s="107"/>
      <c r="AS780" s="107"/>
      <c r="AT780" s="107"/>
      <c r="AU780" s="107"/>
      <c r="AV780" s="107"/>
      <c r="AW780" s="107"/>
      <c r="AX780" s="107"/>
      <c r="AY780" s="107"/>
      <c r="AZ780" s="107"/>
      <c r="BA780" s="107"/>
      <c r="BB780" s="107"/>
      <c r="BC780" s="107"/>
      <c r="BD780" s="107"/>
      <c r="BE780" s="107"/>
      <c r="BF780" s="107"/>
      <c r="BG780" s="107"/>
      <c r="BH780" s="107"/>
    </row>
    <row r="781" spans="1:60" x14ac:dyDescent="0.25">
      <c r="A781" s="96"/>
      <c r="B781" s="97"/>
      <c r="C781" s="97"/>
      <c r="D781" s="97"/>
      <c r="E781" s="98"/>
      <c r="F781" s="99" t="str">
        <f>IF(H781&lt;&gt;"",H781-Accueil!N$6+1/60/24,"")</f>
        <v/>
      </c>
      <c r="G781" s="97"/>
      <c r="H781" s="99"/>
      <c r="I781" s="99"/>
      <c r="J781" s="100"/>
      <c r="K781" s="101"/>
      <c r="L781" s="102"/>
      <c r="M781" s="103"/>
      <c r="N781" s="104"/>
      <c r="O781" s="97"/>
      <c r="P781" s="97"/>
      <c r="Q781" s="97"/>
      <c r="R781" s="105"/>
      <c r="S781" s="97"/>
      <c r="T781" s="97"/>
      <c r="U781" s="97" t="str">
        <f t="shared" si="15"/>
        <v/>
      </c>
      <c r="V781" s="97"/>
      <c r="W781" s="97"/>
      <c r="X781" s="97"/>
      <c r="Y781" s="97"/>
      <c r="Z781" s="97"/>
      <c r="AA781" s="97"/>
      <c r="AB781" s="97"/>
      <c r="AC781" s="97"/>
      <c r="AD781" s="97"/>
      <c r="AE781" s="97"/>
      <c r="AF781" s="97"/>
      <c r="AG781" s="97"/>
      <c r="AH781" s="97"/>
      <c r="AI781" s="97"/>
      <c r="AJ781" s="97"/>
      <c r="AK781" s="97"/>
      <c r="AL781" s="97"/>
      <c r="AM781" s="97"/>
      <c r="AN781" s="97"/>
      <c r="AO781" s="97"/>
      <c r="AP781" s="97"/>
      <c r="AQ781" s="97"/>
      <c r="AR781" s="97"/>
      <c r="AS781" s="97"/>
      <c r="AT781" s="97"/>
      <c r="AU781" s="97"/>
      <c r="AV781" s="97"/>
      <c r="AW781" s="97"/>
      <c r="AX781" s="97"/>
      <c r="AY781" s="97"/>
      <c r="AZ781" s="97"/>
      <c r="BA781" s="97"/>
      <c r="BB781" s="97"/>
      <c r="BC781" s="97"/>
      <c r="BD781" s="97"/>
      <c r="BE781" s="97"/>
      <c r="BF781" s="97"/>
      <c r="BG781" s="97"/>
      <c r="BH781" s="97"/>
    </row>
    <row r="782" spans="1:60" x14ac:dyDescent="0.25">
      <c r="A782" s="106"/>
      <c r="B782" s="107"/>
      <c r="C782" s="107"/>
      <c r="D782" s="107"/>
      <c r="E782" s="108"/>
      <c r="F782" s="109" t="str">
        <f>IF(H782&lt;&gt;"",H782-Accueil!N$6+1/60/24,"")</f>
        <v/>
      </c>
      <c r="G782" s="107"/>
      <c r="H782" s="109"/>
      <c r="I782" s="110"/>
      <c r="J782" s="110"/>
      <c r="K782" s="111"/>
      <c r="L782" s="112"/>
      <c r="M782" s="113"/>
      <c r="N782" s="114"/>
      <c r="O782" s="107"/>
      <c r="P782" s="107"/>
      <c r="Q782" s="115"/>
      <c r="R782" s="116"/>
      <c r="S782" s="107"/>
      <c r="T782" s="107"/>
      <c r="U782" s="107" t="str">
        <f t="shared" si="15"/>
        <v/>
      </c>
      <c r="V782" s="107"/>
      <c r="W782" s="107"/>
      <c r="X782" s="107"/>
      <c r="Y782" s="107"/>
      <c r="Z782" s="107"/>
      <c r="AA782" s="107"/>
      <c r="AB782" s="107"/>
      <c r="AC782" s="107"/>
      <c r="AD782" s="107"/>
      <c r="AE782" s="107"/>
      <c r="AF782" s="107"/>
      <c r="AG782" s="107"/>
      <c r="AH782" s="107"/>
      <c r="AI782" s="107"/>
      <c r="AJ782" s="107"/>
      <c r="AK782" s="107"/>
      <c r="AL782" s="107"/>
      <c r="AM782" s="107"/>
      <c r="AN782" s="107"/>
      <c r="AO782" s="107"/>
      <c r="AP782" s="107"/>
      <c r="AQ782" s="107"/>
      <c r="AR782" s="107"/>
      <c r="AS782" s="107"/>
      <c r="AT782" s="107"/>
      <c r="AU782" s="107"/>
      <c r="AV782" s="107"/>
      <c r="AW782" s="107"/>
      <c r="AX782" s="107"/>
      <c r="AY782" s="107"/>
      <c r="AZ782" s="107"/>
      <c r="BA782" s="107"/>
      <c r="BB782" s="107"/>
      <c r="BC782" s="107"/>
      <c r="BD782" s="107"/>
      <c r="BE782" s="107"/>
      <c r="BF782" s="107"/>
      <c r="BG782" s="107"/>
      <c r="BH782" s="107"/>
    </row>
    <row r="783" spans="1:60" x14ac:dyDescent="0.25">
      <c r="A783" s="96"/>
      <c r="B783" s="97"/>
      <c r="C783" s="97"/>
      <c r="D783" s="97"/>
      <c r="E783" s="98"/>
      <c r="F783" s="99" t="str">
        <f>IF(H783&lt;&gt;"",H783-Accueil!N$6+1/60/24,"")</f>
        <v/>
      </c>
      <c r="G783" s="97"/>
      <c r="H783" s="99"/>
      <c r="I783" s="99"/>
      <c r="J783" s="100"/>
      <c r="K783" s="101"/>
      <c r="L783" s="102"/>
      <c r="M783" s="103"/>
      <c r="N783" s="104"/>
      <c r="O783" s="97"/>
      <c r="P783" s="97"/>
      <c r="Q783" s="97"/>
      <c r="R783" s="105"/>
      <c r="S783" s="97"/>
      <c r="T783" s="97"/>
      <c r="U783" s="97" t="str">
        <f t="shared" si="15"/>
        <v/>
      </c>
      <c r="V783" s="97"/>
      <c r="W783" s="97"/>
      <c r="X783" s="97"/>
      <c r="Y783" s="97"/>
      <c r="Z783" s="97"/>
      <c r="AA783" s="97"/>
      <c r="AB783" s="97"/>
      <c r="AC783" s="97"/>
      <c r="AD783" s="97"/>
      <c r="AE783" s="97"/>
      <c r="AF783" s="97"/>
      <c r="AG783" s="97"/>
      <c r="AH783" s="97"/>
      <c r="AI783" s="97"/>
      <c r="AJ783" s="97"/>
      <c r="AK783" s="97"/>
      <c r="AL783" s="97"/>
      <c r="AM783" s="97"/>
      <c r="AN783" s="97"/>
      <c r="AO783" s="97"/>
      <c r="AP783" s="97"/>
      <c r="AQ783" s="97"/>
      <c r="AR783" s="97"/>
      <c r="AS783" s="97"/>
      <c r="AT783" s="97"/>
      <c r="AU783" s="97"/>
      <c r="AV783" s="97"/>
      <c r="AW783" s="97"/>
      <c r="AX783" s="97"/>
      <c r="AY783" s="97"/>
      <c r="AZ783" s="97"/>
      <c r="BA783" s="97"/>
      <c r="BB783" s="97"/>
      <c r="BC783" s="97"/>
      <c r="BD783" s="97"/>
      <c r="BE783" s="97"/>
      <c r="BF783" s="97"/>
      <c r="BG783" s="97"/>
      <c r="BH783" s="97"/>
    </row>
    <row r="784" spans="1:60" x14ac:dyDescent="0.25">
      <c r="A784" s="106"/>
      <c r="B784" s="107"/>
      <c r="C784" s="107"/>
      <c r="D784" s="107"/>
      <c r="E784" s="108"/>
      <c r="F784" s="109" t="str">
        <f>IF(H784&lt;&gt;"",H784-Accueil!N$6+1/60/24,"")</f>
        <v/>
      </c>
      <c r="G784" s="107"/>
      <c r="H784" s="109"/>
      <c r="I784" s="110"/>
      <c r="J784" s="110"/>
      <c r="K784" s="111"/>
      <c r="L784" s="112"/>
      <c r="M784" s="113"/>
      <c r="N784" s="114"/>
      <c r="O784" s="107"/>
      <c r="P784" s="107"/>
      <c r="Q784" s="115"/>
      <c r="R784" s="116"/>
      <c r="S784" s="107"/>
      <c r="T784" s="107"/>
      <c r="U784" s="107" t="str">
        <f t="shared" si="15"/>
        <v/>
      </c>
      <c r="V784" s="107"/>
      <c r="W784" s="107"/>
      <c r="X784" s="107"/>
      <c r="Y784" s="107"/>
      <c r="Z784" s="107"/>
      <c r="AA784" s="107"/>
      <c r="AB784" s="107"/>
      <c r="AC784" s="107"/>
      <c r="AD784" s="107"/>
      <c r="AE784" s="107"/>
      <c r="AF784" s="107"/>
      <c r="AG784" s="107"/>
      <c r="AH784" s="107"/>
      <c r="AI784" s="107"/>
      <c r="AJ784" s="107"/>
      <c r="AK784" s="107"/>
      <c r="AL784" s="107"/>
      <c r="AM784" s="107"/>
      <c r="AN784" s="107"/>
      <c r="AO784" s="107"/>
      <c r="AP784" s="107"/>
      <c r="AQ784" s="107"/>
      <c r="AR784" s="107"/>
      <c r="AS784" s="107"/>
      <c r="AT784" s="107"/>
      <c r="AU784" s="107"/>
      <c r="AV784" s="107"/>
      <c r="AW784" s="107"/>
      <c r="AX784" s="107"/>
      <c r="AY784" s="107"/>
      <c r="AZ784" s="107"/>
      <c r="BA784" s="107"/>
      <c r="BB784" s="107"/>
      <c r="BC784" s="107"/>
      <c r="BD784" s="107"/>
      <c r="BE784" s="107"/>
      <c r="BF784" s="107"/>
      <c r="BG784" s="107"/>
      <c r="BH784" s="107"/>
    </row>
    <row r="785" spans="1:60" x14ac:dyDescent="0.25">
      <c r="A785" s="96"/>
      <c r="B785" s="97"/>
      <c r="C785" s="97"/>
      <c r="D785" s="97"/>
      <c r="E785" s="98"/>
      <c r="F785" s="99" t="str">
        <f>IF(H785&lt;&gt;"",H785-Accueil!N$6+1/60/24,"")</f>
        <v/>
      </c>
      <c r="G785" s="97"/>
      <c r="H785" s="99"/>
      <c r="I785" s="99"/>
      <c r="J785" s="100"/>
      <c r="K785" s="101"/>
      <c r="L785" s="102"/>
      <c r="M785" s="103"/>
      <c r="N785" s="104"/>
      <c r="O785" s="97"/>
      <c r="P785" s="97"/>
      <c r="Q785" s="97"/>
      <c r="R785" s="105"/>
      <c r="S785" s="97"/>
      <c r="T785" s="97"/>
      <c r="U785" s="97" t="str">
        <f t="shared" si="15"/>
        <v/>
      </c>
      <c r="V785" s="97"/>
      <c r="W785" s="97"/>
      <c r="X785" s="97"/>
      <c r="Y785" s="97"/>
      <c r="Z785" s="97"/>
      <c r="AA785" s="97"/>
      <c r="AB785" s="97"/>
      <c r="AC785" s="97"/>
      <c r="AD785" s="97"/>
      <c r="AE785" s="97"/>
      <c r="AF785" s="97"/>
      <c r="AG785" s="97"/>
      <c r="AH785" s="97"/>
      <c r="AI785" s="97"/>
      <c r="AJ785" s="97"/>
      <c r="AK785" s="97"/>
      <c r="AL785" s="97"/>
      <c r="AM785" s="97"/>
      <c r="AN785" s="97"/>
      <c r="AO785" s="97"/>
      <c r="AP785" s="97"/>
      <c r="AQ785" s="97"/>
      <c r="AR785" s="97"/>
      <c r="AS785" s="97"/>
      <c r="AT785" s="97"/>
      <c r="AU785" s="97"/>
      <c r="AV785" s="97"/>
      <c r="AW785" s="97"/>
      <c r="AX785" s="97"/>
      <c r="AY785" s="97"/>
      <c r="AZ785" s="97"/>
      <c r="BA785" s="97"/>
      <c r="BB785" s="97"/>
      <c r="BC785" s="97"/>
      <c r="BD785" s="97"/>
      <c r="BE785" s="97"/>
      <c r="BF785" s="97"/>
      <c r="BG785" s="97"/>
      <c r="BH785" s="97"/>
    </row>
    <row r="786" spans="1:60" x14ac:dyDescent="0.25">
      <c r="A786" s="106"/>
      <c r="B786" s="107"/>
      <c r="C786" s="107"/>
      <c r="D786" s="107"/>
      <c r="E786" s="108"/>
      <c r="F786" s="109" t="str">
        <f>IF(H786&lt;&gt;"",H786-Accueil!N$6+1/60/24,"")</f>
        <v/>
      </c>
      <c r="G786" s="107"/>
      <c r="H786" s="109"/>
      <c r="I786" s="110"/>
      <c r="J786" s="110"/>
      <c r="K786" s="111"/>
      <c r="L786" s="112"/>
      <c r="M786" s="113"/>
      <c r="N786" s="114"/>
      <c r="O786" s="107"/>
      <c r="P786" s="107"/>
      <c r="Q786" s="115"/>
      <c r="R786" s="116"/>
      <c r="S786" s="107"/>
      <c r="T786" s="107"/>
      <c r="U786" s="107" t="str">
        <f t="shared" si="15"/>
        <v/>
      </c>
      <c r="V786" s="107"/>
      <c r="W786" s="107"/>
      <c r="X786" s="107"/>
      <c r="Y786" s="107"/>
      <c r="Z786" s="107"/>
      <c r="AA786" s="107"/>
      <c r="AB786" s="107"/>
      <c r="AC786" s="107"/>
      <c r="AD786" s="107"/>
      <c r="AE786" s="107"/>
      <c r="AF786" s="107"/>
      <c r="AG786" s="107"/>
      <c r="AH786" s="107"/>
      <c r="AI786" s="107"/>
      <c r="AJ786" s="107"/>
      <c r="AK786" s="107"/>
      <c r="AL786" s="107"/>
      <c r="AM786" s="107"/>
      <c r="AN786" s="107"/>
      <c r="AO786" s="107"/>
      <c r="AP786" s="107"/>
      <c r="AQ786" s="107"/>
      <c r="AR786" s="107"/>
      <c r="AS786" s="107"/>
      <c r="AT786" s="107"/>
      <c r="AU786" s="107"/>
      <c r="AV786" s="107"/>
      <c r="AW786" s="107"/>
      <c r="AX786" s="107"/>
      <c r="AY786" s="107"/>
      <c r="AZ786" s="107"/>
      <c r="BA786" s="107"/>
      <c r="BB786" s="107"/>
      <c r="BC786" s="107"/>
      <c r="BD786" s="107"/>
      <c r="BE786" s="107"/>
      <c r="BF786" s="107"/>
      <c r="BG786" s="107"/>
      <c r="BH786" s="107"/>
    </row>
    <row r="787" spans="1:60" x14ac:dyDescent="0.25">
      <c r="A787" s="96"/>
      <c r="B787" s="97"/>
      <c r="C787" s="97"/>
      <c r="D787" s="97"/>
      <c r="E787" s="98"/>
      <c r="F787" s="99" t="str">
        <f>IF(H787&lt;&gt;"",H787-Accueil!N$6+1/60/24,"")</f>
        <v/>
      </c>
      <c r="G787" s="97"/>
      <c r="H787" s="99"/>
      <c r="I787" s="99"/>
      <c r="J787" s="100"/>
      <c r="K787" s="101"/>
      <c r="L787" s="102"/>
      <c r="M787" s="103"/>
      <c r="N787" s="104"/>
      <c r="O787" s="97"/>
      <c r="P787" s="97"/>
      <c r="Q787" s="97"/>
      <c r="R787" s="105"/>
      <c r="S787" s="97"/>
      <c r="T787" s="97"/>
      <c r="U787" s="97" t="str">
        <f t="shared" si="15"/>
        <v/>
      </c>
      <c r="V787" s="97"/>
      <c r="W787" s="97"/>
      <c r="X787" s="97"/>
      <c r="Y787" s="97"/>
      <c r="Z787" s="97"/>
      <c r="AA787" s="97"/>
      <c r="AB787" s="97"/>
      <c r="AC787" s="97"/>
      <c r="AD787" s="97"/>
      <c r="AE787" s="97"/>
      <c r="AF787" s="97"/>
      <c r="AG787" s="97"/>
      <c r="AH787" s="97"/>
      <c r="AI787" s="97"/>
      <c r="AJ787" s="97"/>
      <c r="AK787" s="97"/>
      <c r="AL787" s="97"/>
      <c r="AM787" s="97"/>
      <c r="AN787" s="97"/>
      <c r="AO787" s="97"/>
      <c r="AP787" s="97"/>
      <c r="AQ787" s="97"/>
      <c r="AR787" s="97"/>
      <c r="AS787" s="97"/>
      <c r="AT787" s="97"/>
      <c r="AU787" s="97"/>
      <c r="AV787" s="97"/>
      <c r="AW787" s="97"/>
      <c r="AX787" s="97"/>
      <c r="AY787" s="97"/>
      <c r="AZ787" s="97"/>
      <c r="BA787" s="97"/>
      <c r="BB787" s="97"/>
      <c r="BC787" s="97"/>
      <c r="BD787" s="97"/>
      <c r="BE787" s="97"/>
      <c r="BF787" s="97"/>
      <c r="BG787" s="97"/>
      <c r="BH787" s="97"/>
    </row>
    <row r="788" spans="1:60" x14ac:dyDescent="0.25">
      <c r="A788" s="106"/>
      <c r="B788" s="107"/>
      <c r="C788" s="107"/>
      <c r="D788" s="107"/>
      <c r="E788" s="108"/>
      <c r="F788" s="109" t="str">
        <f>IF(H788&lt;&gt;"",H788-Accueil!N$6+1/60/24,"")</f>
        <v/>
      </c>
      <c r="G788" s="107"/>
      <c r="H788" s="109"/>
      <c r="I788" s="110"/>
      <c r="J788" s="110"/>
      <c r="K788" s="111"/>
      <c r="L788" s="112"/>
      <c r="M788" s="113"/>
      <c r="N788" s="114"/>
      <c r="O788" s="107"/>
      <c r="P788" s="107"/>
      <c r="Q788" s="115"/>
      <c r="R788" s="116"/>
      <c r="S788" s="107"/>
      <c r="T788" s="107"/>
      <c r="U788" s="107" t="str">
        <f t="shared" si="15"/>
        <v/>
      </c>
      <c r="V788" s="107"/>
      <c r="W788" s="107"/>
      <c r="X788" s="107"/>
      <c r="Y788" s="107"/>
      <c r="Z788" s="107"/>
      <c r="AA788" s="107"/>
      <c r="AB788" s="107"/>
      <c r="AC788" s="107"/>
      <c r="AD788" s="107"/>
      <c r="AE788" s="107"/>
      <c r="AF788" s="107"/>
      <c r="AG788" s="107"/>
      <c r="AH788" s="107"/>
      <c r="AI788" s="107"/>
      <c r="AJ788" s="107"/>
      <c r="AK788" s="107"/>
      <c r="AL788" s="107"/>
      <c r="AM788" s="107"/>
      <c r="AN788" s="107"/>
      <c r="AO788" s="107"/>
      <c r="AP788" s="107"/>
      <c r="AQ788" s="107"/>
      <c r="AR788" s="107"/>
      <c r="AS788" s="107"/>
      <c r="AT788" s="107"/>
      <c r="AU788" s="107"/>
      <c r="AV788" s="107"/>
      <c r="AW788" s="107"/>
      <c r="AX788" s="107"/>
      <c r="AY788" s="107"/>
      <c r="AZ788" s="107"/>
      <c r="BA788" s="107"/>
      <c r="BB788" s="107"/>
      <c r="BC788" s="107"/>
      <c r="BD788" s="107"/>
      <c r="BE788" s="107"/>
      <c r="BF788" s="107"/>
      <c r="BG788" s="107"/>
      <c r="BH788" s="107"/>
    </row>
    <row r="789" spans="1:60" x14ac:dyDescent="0.25">
      <c r="A789" s="96"/>
      <c r="B789" s="97"/>
      <c r="C789" s="97"/>
      <c r="D789" s="97"/>
      <c r="E789" s="98"/>
      <c r="F789" s="99" t="str">
        <f>IF(H789&lt;&gt;"",H789-Accueil!N$6+1/60/24,"")</f>
        <v/>
      </c>
      <c r="G789" s="97"/>
      <c r="H789" s="99"/>
      <c r="I789" s="99"/>
      <c r="J789" s="100"/>
      <c r="K789" s="101"/>
      <c r="L789" s="102"/>
      <c r="M789" s="103"/>
      <c r="N789" s="104"/>
      <c r="O789" s="97"/>
      <c r="P789" s="97"/>
      <c r="Q789" s="97"/>
      <c r="R789" s="105"/>
      <c r="S789" s="97"/>
      <c r="T789" s="97"/>
      <c r="U789" s="97" t="str">
        <f t="shared" si="15"/>
        <v/>
      </c>
      <c r="V789" s="97"/>
      <c r="W789" s="97"/>
      <c r="X789" s="97"/>
      <c r="Y789" s="97"/>
      <c r="Z789" s="97"/>
      <c r="AA789" s="97"/>
      <c r="AB789" s="97"/>
      <c r="AC789" s="97"/>
      <c r="AD789" s="97"/>
      <c r="AE789" s="97"/>
      <c r="AF789" s="97"/>
      <c r="AG789" s="97"/>
      <c r="AH789" s="97"/>
      <c r="AI789" s="97"/>
      <c r="AJ789" s="97"/>
      <c r="AK789" s="97"/>
      <c r="AL789" s="97"/>
      <c r="AM789" s="97"/>
      <c r="AN789" s="97"/>
      <c r="AO789" s="97"/>
      <c r="AP789" s="97"/>
      <c r="AQ789" s="97"/>
      <c r="AR789" s="97"/>
      <c r="AS789" s="97"/>
      <c r="AT789" s="97"/>
      <c r="AU789" s="97"/>
      <c r="AV789" s="97"/>
      <c r="AW789" s="97"/>
      <c r="AX789" s="97"/>
      <c r="AY789" s="97"/>
      <c r="AZ789" s="97"/>
      <c r="BA789" s="97"/>
      <c r="BB789" s="97"/>
      <c r="BC789" s="97"/>
      <c r="BD789" s="97"/>
      <c r="BE789" s="97"/>
      <c r="BF789" s="97"/>
      <c r="BG789" s="97"/>
      <c r="BH789" s="97"/>
    </row>
    <row r="790" spans="1:60" x14ac:dyDescent="0.25">
      <c r="A790" s="106"/>
      <c r="B790" s="107"/>
      <c r="C790" s="107"/>
      <c r="D790" s="107"/>
      <c r="E790" s="108"/>
      <c r="F790" s="109" t="str">
        <f>IF(H790&lt;&gt;"",H790-Accueil!N$6+1/60/24,"")</f>
        <v/>
      </c>
      <c r="G790" s="107"/>
      <c r="H790" s="109"/>
      <c r="I790" s="110"/>
      <c r="J790" s="110"/>
      <c r="K790" s="111"/>
      <c r="L790" s="112"/>
      <c r="M790" s="113"/>
      <c r="N790" s="114"/>
      <c r="O790" s="107"/>
      <c r="P790" s="107"/>
      <c r="Q790" s="115"/>
      <c r="R790" s="116"/>
      <c r="S790" s="107"/>
      <c r="T790" s="107"/>
      <c r="U790" s="107" t="str">
        <f t="shared" si="15"/>
        <v/>
      </c>
      <c r="V790" s="107"/>
      <c r="W790" s="107"/>
      <c r="X790" s="107"/>
      <c r="Y790" s="107"/>
      <c r="Z790" s="107"/>
      <c r="AA790" s="107"/>
      <c r="AB790" s="107"/>
      <c r="AC790" s="107"/>
      <c r="AD790" s="107"/>
      <c r="AE790" s="107"/>
      <c r="AF790" s="107"/>
      <c r="AG790" s="107"/>
      <c r="AH790" s="107"/>
      <c r="AI790" s="107"/>
      <c r="AJ790" s="107"/>
      <c r="AK790" s="107"/>
      <c r="AL790" s="107"/>
      <c r="AM790" s="107"/>
      <c r="AN790" s="107"/>
      <c r="AO790" s="107"/>
      <c r="AP790" s="107"/>
      <c r="AQ790" s="107"/>
      <c r="AR790" s="107"/>
      <c r="AS790" s="107"/>
      <c r="AT790" s="107"/>
      <c r="AU790" s="107"/>
      <c r="AV790" s="107"/>
      <c r="AW790" s="107"/>
      <c r="AX790" s="107"/>
      <c r="AY790" s="107"/>
      <c r="AZ790" s="107"/>
      <c r="BA790" s="107"/>
      <c r="BB790" s="107"/>
      <c r="BC790" s="107"/>
      <c r="BD790" s="107"/>
      <c r="BE790" s="107"/>
      <c r="BF790" s="107"/>
      <c r="BG790" s="107"/>
      <c r="BH790" s="107"/>
    </row>
    <row r="791" spans="1:60" x14ac:dyDescent="0.25">
      <c r="A791" s="96"/>
      <c r="B791" s="97"/>
      <c r="C791" s="97"/>
      <c r="D791" s="97"/>
      <c r="E791" s="98"/>
      <c r="F791" s="99" t="str">
        <f>IF(H791&lt;&gt;"",H791-Accueil!N$6+1/60/24,"")</f>
        <v/>
      </c>
      <c r="G791" s="97"/>
      <c r="H791" s="99"/>
      <c r="I791" s="99"/>
      <c r="J791" s="100"/>
      <c r="K791" s="101"/>
      <c r="L791" s="102"/>
      <c r="M791" s="103"/>
      <c r="N791" s="104"/>
      <c r="O791" s="97"/>
      <c r="P791" s="97"/>
      <c r="Q791" s="97"/>
      <c r="R791" s="105"/>
      <c r="S791" s="97"/>
      <c r="T791" s="97"/>
      <c r="U791" s="97" t="str">
        <f t="shared" si="15"/>
        <v/>
      </c>
      <c r="V791" s="97"/>
      <c r="W791" s="97"/>
      <c r="X791" s="97"/>
      <c r="Y791" s="97"/>
      <c r="Z791" s="97"/>
      <c r="AA791" s="97"/>
      <c r="AB791" s="97"/>
      <c r="AC791" s="97"/>
      <c r="AD791" s="97"/>
      <c r="AE791" s="97"/>
      <c r="AF791" s="97"/>
      <c r="AG791" s="97"/>
      <c r="AH791" s="97"/>
      <c r="AI791" s="97"/>
      <c r="AJ791" s="97"/>
      <c r="AK791" s="97"/>
      <c r="AL791" s="97"/>
      <c r="AM791" s="97"/>
      <c r="AN791" s="97"/>
      <c r="AO791" s="97"/>
      <c r="AP791" s="97"/>
      <c r="AQ791" s="97"/>
      <c r="AR791" s="97"/>
      <c r="AS791" s="97"/>
      <c r="AT791" s="97"/>
      <c r="AU791" s="97"/>
      <c r="AV791" s="97"/>
      <c r="AW791" s="97"/>
      <c r="AX791" s="97"/>
      <c r="AY791" s="97"/>
      <c r="AZ791" s="97"/>
      <c r="BA791" s="97"/>
      <c r="BB791" s="97"/>
      <c r="BC791" s="97"/>
      <c r="BD791" s="97"/>
      <c r="BE791" s="97"/>
      <c r="BF791" s="97"/>
      <c r="BG791" s="97"/>
      <c r="BH791" s="97"/>
    </row>
    <row r="792" spans="1:60" x14ac:dyDescent="0.25">
      <c r="A792" s="106"/>
      <c r="B792" s="107"/>
      <c r="C792" s="107"/>
      <c r="D792" s="107"/>
      <c r="E792" s="108"/>
      <c r="F792" s="109" t="str">
        <f>IF(H792&lt;&gt;"",H792-Accueil!N$6+1/60/24,"")</f>
        <v/>
      </c>
      <c r="G792" s="107"/>
      <c r="H792" s="109"/>
      <c r="I792" s="110"/>
      <c r="J792" s="110"/>
      <c r="K792" s="111"/>
      <c r="L792" s="112"/>
      <c r="M792" s="113"/>
      <c r="N792" s="114"/>
      <c r="O792" s="107"/>
      <c r="P792" s="107"/>
      <c r="Q792" s="115"/>
      <c r="R792" s="116"/>
      <c r="S792" s="107"/>
      <c r="T792" s="107"/>
      <c r="U792" s="107" t="str">
        <f t="shared" si="15"/>
        <v/>
      </c>
      <c r="V792" s="107"/>
      <c r="W792" s="107"/>
      <c r="X792" s="107"/>
      <c r="Y792" s="107"/>
      <c r="Z792" s="107"/>
      <c r="AA792" s="107"/>
      <c r="AB792" s="107"/>
      <c r="AC792" s="107"/>
      <c r="AD792" s="107"/>
      <c r="AE792" s="107"/>
      <c r="AF792" s="107"/>
      <c r="AG792" s="107"/>
      <c r="AH792" s="107"/>
      <c r="AI792" s="107"/>
      <c r="AJ792" s="107"/>
      <c r="AK792" s="107"/>
      <c r="AL792" s="107"/>
      <c r="AM792" s="107"/>
      <c r="AN792" s="107"/>
      <c r="AO792" s="107"/>
      <c r="AP792" s="107"/>
      <c r="AQ792" s="107"/>
      <c r="AR792" s="107"/>
      <c r="AS792" s="107"/>
      <c r="AT792" s="107"/>
      <c r="AU792" s="107"/>
      <c r="AV792" s="107"/>
      <c r="AW792" s="107"/>
      <c r="AX792" s="107"/>
      <c r="AY792" s="107"/>
      <c r="AZ792" s="107"/>
      <c r="BA792" s="107"/>
      <c r="BB792" s="107"/>
      <c r="BC792" s="107"/>
      <c r="BD792" s="107"/>
      <c r="BE792" s="107"/>
      <c r="BF792" s="107"/>
      <c r="BG792" s="107"/>
      <c r="BH792" s="107"/>
    </row>
    <row r="793" spans="1:60" x14ac:dyDescent="0.25">
      <c r="A793" s="96"/>
      <c r="B793" s="97"/>
      <c r="C793" s="97"/>
      <c r="D793" s="97"/>
      <c r="E793" s="98"/>
      <c r="F793" s="99" t="str">
        <f>IF(H793&lt;&gt;"",H793-Accueil!N$6+1/60/24,"")</f>
        <v/>
      </c>
      <c r="G793" s="97"/>
      <c r="H793" s="99"/>
      <c r="I793" s="99"/>
      <c r="J793" s="100"/>
      <c r="K793" s="101"/>
      <c r="L793" s="102"/>
      <c r="M793" s="103"/>
      <c r="N793" s="104"/>
      <c r="O793" s="97"/>
      <c r="P793" s="97"/>
      <c r="Q793" s="97"/>
      <c r="R793" s="105"/>
      <c r="S793" s="97"/>
      <c r="T793" s="97"/>
      <c r="U793" s="97" t="str">
        <f t="shared" si="15"/>
        <v/>
      </c>
      <c r="V793" s="97"/>
      <c r="W793" s="97"/>
      <c r="X793" s="97"/>
      <c r="Y793" s="97"/>
      <c r="Z793" s="97"/>
      <c r="AA793" s="97"/>
      <c r="AB793" s="97"/>
      <c r="AC793" s="97"/>
      <c r="AD793" s="97"/>
      <c r="AE793" s="97"/>
      <c r="AF793" s="97"/>
      <c r="AG793" s="97"/>
      <c r="AH793" s="97"/>
      <c r="AI793" s="97"/>
      <c r="AJ793" s="97"/>
      <c r="AK793" s="97"/>
      <c r="AL793" s="97"/>
      <c r="AM793" s="97"/>
      <c r="AN793" s="97"/>
      <c r="AO793" s="97"/>
      <c r="AP793" s="97"/>
      <c r="AQ793" s="97"/>
      <c r="AR793" s="97"/>
      <c r="AS793" s="97"/>
      <c r="AT793" s="97"/>
      <c r="AU793" s="97"/>
      <c r="AV793" s="97"/>
      <c r="AW793" s="97"/>
      <c r="AX793" s="97"/>
      <c r="AY793" s="97"/>
      <c r="AZ793" s="97"/>
      <c r="BA793" s="97"/>
      <c r="BB793" s="97"/>
      <c r="BC793" s="97"/>
      <c r="BD793" s="97"/>
      <c r="BE793" s="97"/>
      <c r="BF793" s="97"/>
      <c r="BG793" s="97"/>
      <c r="BH793" s="97"/>
    </row>
    <row r="794" spans="1:60" x14ac:dyDescent="0.25">
      <c r="A794" s="106"/>
      <c r="B794" s="107"/>
      <c r="C794" s="107"/>
      <c r="D794" s="107"/>
      <c r="E794" s="108"/>
      <c r="F794" s="109" t="str">
        <f>IF(H794&lt;&gt;"",H794-Accueil!N$6+1/60/24,"")</f>
        <v/>
      </c>
      <c r="G794" s="107"/>
      <c r="H794" s="109"/>
      <c r="I794" s="110"/>
      <c r="J794" s="110"/>
      <c r="K794" s="111"/>
      <c r="L794" s="112"/>
      <c r="M794" s="113"/>
      <c r="N794" s="114"/>
      <c r="O794" s="107"/>
      <c r="P794" s="107"/>
      <c r="Q794" s="115"/>
      <c r="R794" s="116"/>
      <c r="S794" s="107"/>
      <c r="T794" s="107"/>
      <c r="U794" s="107" t="str">
        <f t="shared" si="15"/>
        <v/>
      </c>
      <c r="V794" s="107"/>
      <c r="W794" s="107"/>
      <c r="X794" s="107"/>
      <c r="Y794" s="107"/>
      <c r="Z794" s="107"/>
      <c r="AA794" s="107"/>
      <c r="AB794" s="107"/>
      <c r="AC794" s="107"/>
      <c r="AD794" s="107"/>
      <c r="AE794" s="107"/>
      <c r="AF794" s="107"/>
      <c r="AG794" s="107"/>
      <c r="AH794" s="107"/>
      <c r="AI794" s="107"/>
      <c r="AJ794" s="107"/>
      <c r="AK794" s="107"/>
      <c r="AL794" s="107"/>
      <c r="AM794" s="107"/>
      <c r="AN794" s="107"/>
      <c r="AO794" s="107"/>
      <c r="AP794" s="107"/>
      <c r="AQ794" s="107"/>
      <c r="AR794" s="107"/>
      <c r="AS794" s="107"/>
      <c r="AT794" s="107"/>
      <c r="AU794" s="107"/>
      <c r="AV794" s="107"/>
      <c r="AW794" s="107"/>
      <c r="AX794" s="107"/>
      <c r="AY794" s="107"/>
      <c r="AZ794" s="107"/>
      <c r="BA794" s="107"/>
      <c r="BB794" s="107"/>
      <c r="BC794" s="107"/>
      <c r="BD794" s="107"/>
      <c r="BE794" s="107"/>
      <c r="BF794" s="107"/>
      <c r="BG794" s="107"/>
      <c r="BH794" s="107"/>
    </row>
    <row r="795" spans="1:60" x14ac:dyDescent="0.25">
      <c r="A795" s="96"/>
      <c r="B795" s="97"/>
      <c r="C795" s="97"/>
      <c r="D795" s="97"/>
      <c r="E795" s="98"/>
      <c r="F795" s="99" t="str">
        <f>IF(H795&lt;&gt;"",H795-Accueil!N$6+1/60/24,"")</f>
        <v/>
      </c>
      <c r="G795" s="97"/>
      <c r="H795" s="99"/>
      <c r="I795" s="99"/>
      <c r="J795" s="100"/>
      <c r="K795" s="101"/>
      <c r="L795" s="102"/>
      <c r="M795" s="103"/>
      <c r="N795" s="104"/>
      <c r="O795" s="97"/>
      <c r="P795" s="97"/>
      <c r="Q795" s="97"/>
      <c r="R795" s="105"/>
      <c r="S795" s="97"/>
      <c r="T795" s="97"/>
      <c r="U795" s="97" t="str">
        <f t="shared" si="15"/>
        <v/>
      </c>
      <c r="V795" s="97"/>
      <c r="W795" s="97"/>
      <c r="X795" s="97"/>
      <c r="Y795" s="97"/>
      <c r="Z795" s="97"/>
      <c r="AA795" s="97"/>
      <c r="AB795" s="97"/>
      <c r="AC795" s="97"/>
      <c r="AD795" s="97"/>
      <c r="AE795" s="97"/>
      <c r="AF795" s="97"/>
      <c r="AG795" s="97"/>
      <c r="AH795" s="97"/>
      <c r="AI795" s="97"/>
      <c r="AJ795" s="97"/>
      <c r="AK795" s="97"/>
      <c r="AL795" s="97"/>
      <c r="AM795" s="97"/>
      <c r="AN795" s="97"/>
      <c r="AO795" s="97"/>
      <c r="AP795" s="97"/>
      <c r="AQ795" s="97"/>
      <c r="AR795" s="97"/>
      <c r="AS795" s="97"/>
      <c r="AT795" s="97"/>
      <c r="AU795" s="97"/>
      <c r="AV795" s="97"/>
      <c r="AW795" s="97"/>
      <c r="AX795" s="97"/>
      <c r="AY795" s="97"/>
      <c r="AZ795" s="97"/>
      <c r="BA795" s="97"/>
      <c r="BB795" s="97"/>
      <c r="BC795" s="97"/>
      <c r="BD795" s="97"/>
      <c r="BE795" s="97"/>
      <c r="BF795" s="97"/>
      <c r="BG795" s="97"/>
      <c r="BH795" s="97"/>
    </row>
    <row r="796" spans="1:60" x14ac:dyDescent="0.25">
      <c r="A796" s="106"/>
      <c r="B796" s="107"/>
      <c r="C796" s="107"/>
      <c r="D796" s="107"/>
      <c r="E796" s="108"/>
      <c r="F796" s="109" t="str">
        <f>IF(H796&lt;&gt;"",H796-Accueil!N$6+1/60/24,"")</f>
        <v/>
      </c>
      <c r="G796" s="107"/>
      <c r="H796" s="109"/>
      <c r="I796" s="110"/>
      <c r="J796" s="110"/>
      <c r="K796" s="111"/>
      <c r="L796" s="112"/>
      <c r="M796" s="113"/>
      <c r="N796" s="114"/>
      <c r="O796" s="107"/>
      <c r="P796" s="107"/>
      <c r="Q796" s="115"/>
      <c r="R796" s="116"/>
      <c r="S796" s="107"/>
      <c r="T796" s="107"/>
      <c r="U796" s="107" t="str">
        <f t="shared" si="15"/>
        <v/>
      </c>
      <c r="V796" s="107"/>
      <c r="W796" s="107"/>
      <c r="X796" s="107"/>
      <c r="Y796" s="107"/>
      <c r="Z796" s="107"/>
      <c r="AA796" s="107"/>
      <c r="AB796" s="107"/>
      <c r="AC796" s="107"/>
      <c r="AD796" s="107"/>
      <c r="AE796" s="107"/>
      <c r="AF796" s="107"/>
      <c r="AG796" s="107"/>
      <c r="AH796" s="107"/>
      <c r="AI796" s="107"/>
      <c r="AJ796" s="107"/>
      <c r="AK796" s="107"/>
      <c r="AL796" s="107"/>
      <c r="AM796" s="107"/>
      <c r="AN796" s="107"/>
      <c r="AO796" s="107"/>
      <c r="AP796" s="107"/>
      <c r="AQ796" s="107"/>
      <c r="AR796" s="107"/>
      <c r="AS796" s="107"/>
      <c r="AT796" s="107"/>
      <c r="AU796" s="107"/>
      <c r="AV796" s="107"/>
      <c r="AW796" s="107"/>
      <c r="AX796" s="107"/>
      <c r="AY796" s="107"/>
      <c r="AZ796" s="107"/>
      <c r="BA796" s="107"/>
      <c r="BB796" s="107"/>
      <c r="BC796" s="107"/>
      <c r="BD796" s="107"/>
      <c r="BE796" s="107"/>
      <c r="BF796" s="107"/>
      <c r="BG796" s="107"/>
      <c r="BH796" s="107"/>
    </row>
    <row r="797" spans="1:60" x14ac:dyDescent="0.25">
      <c r="A797" s="96"/>
      <c r="B797" s="97"/>
      <c r="C797" s="97"/>
      <c r="D797" s="97"/>
      <c r="E797" s="98"/>
      <c r="F797" s="99" t="str">
        <f>IF(H797&lt;&gt;"",H797-Accueil!N$6+1/60/24,"")</f>
        <v/>
      </c>
      <c r="G797" s="97"/>
      <c r="H797" s="99"/>
      <c r="I797" s="99"/>
      <c r="J797" s="100"/>
      <c r="K797" s="101"/>
      <c r="L797" s="102"/>
      <c r="M797" s="103"/>
      <c r="N797" s="104"/>
      <c r="O797" s="97"/>
      <c r="P797" s="97"/>
      <c r="Q797" s="97"/>
      <c r="R797" s="105"/>
      <c r="S797" s="97"/>
      <c r="T797" s="97"/>
      <c r="U797" s="97" t="str">
        <f t="shared" si="15"/>
        <v/>
      </c>
      <c r="V797" s="97"/>
      <c r="W797" s="97"/>
      <c r="X797" s="97"/>
      <c r="Y797" s="97"/>
      <c r="Z797" s="97"/>
      <c r="AA797" s="97"/>
      <c r="AB797" s="97"/>
      <c r="AC797" s="97"/>
      <c r="AD797" s="97"/>
      <c r="AE797" s="97"/>
      <c r="AF797" s="97"/>
      <c r="AG797" s="97"/>
      <c r="AH797" s="97"/>
      <c r="AI797" s="97"/>
      <c r="AJ797" s="97"/>
      <c r="AK797" s="97"/>
      <c r="AL797" s="97"/>
      <c r="AM797" s="97"/>
      <c r="AN797" s="97"/>
      <c r="AO797" s="97"/>
      <c r="AP797" s="97"/>
      <c r="AQ797" s="97"/>
      <c r="AR797" s="97"/>
      <c r="AS797" s="97"/>
      <c r="AT797" s="97"/>
      <c r="AU797" s="97"/>
      <c r="AV797" s="97"/>
      <c r="AW797" s="97"/>
      <c r="AX797" s="97"/>
      <c r="AY797" s="97"/>
      <c r="AZ797" s="97"/>
      <c r="BA797" s="97"/>
      <c r="BB797" s="97"/>
      <c r="BC797" s="97"/>
      <c r="BD797" s="97"/>
      <c r="BE797" s="97"/>
      <c r="BF797" s="97"/>
      <c r="BG797" s="97"/>
      <c r="BH797" s="97"/>
    </row>
    <row r="798" spans="1:60" x14ac:dyDescent="0.25">
      <c r="A798" s="106"/>
      <c r="B798" s="107"/>
      <c r="C798" s="107"/>
      <c r="D798" s="107"/>
      <c r="E798" s="108"/>
      <c r="F798" s="109" t="str">
        <f>IF(H798&lt;&gt;"",H798-Accueil!N$6+1/60/24,"")</f>
        <v/>
      </c>
      <c r="G798" s="107"/>
      <c r="H798" s="109"/>
      <c r="I798" s="110"/>
      <c r="J798" s="110"/>
      <c r="K798" s="111"/>
      <c r="L798" s="112"/>
      <c r="M798" s="113"/>
      <c r="N798" s="114"/>
      <c r="O798" s="107"/>
      <c r="P798" s="107"/>
      <c r="Q798" s="115"/>
      <c r="R798" s="116"/>
      <c r="S798" s="107"/>
      <c r="T798" s="107"/>
      <c r="U798" s="107" t="str">
        <f t="shared" si="15"/>
        <v/>
      </c>
      <c r="V798" s="107"/>
      <c r="W798" s="107"/>
      <c r="X798" s="107"/>
      <c r="Y798" s="107"/>
      <c r="Z798" s="107"/>
      <c r="AA798" s="107"/>
      <c r="AB798" s="107"/>
      <c r="AC798" s="107"/>
      <c r="AD798" s="107"/>
      <c r="AE798" s="107"/>
      <c r="AF798" s="107"/>
      <c r="AG798" s="107"/>
      <c r="AH798" s="107"/>
      <c r="AI798" s="107"/>
      <c r="AJ798" s="107"/>
      <c r="AK798" s="107"/>
      <c r="AL798" s="107"/>
      <c r="AM798" s="107"/>
      <c r="AN798" s="107"/>
      <c r="AO798" s="107"/>
      <c r="AP798" s="107"/>
      <c r="AQ798" s="107"/>
      <c r="AR798" s="107"/>
      <c r="AS798" s="107"/>
      <c r="AT798" s="107"/>
      <c r="AU798" s="107"/>
      <c r="AV798" s="107"/>
      <c r="AW798" s="107"/>
      <c r="AX798" s="107"/>
      <c r="AY798" s="107"/>
      <c r="AZ798" s="107"/>
      <c r="BA798" s="107"/>
      <c r="BB798" s="107"/>
      <c r="BC798" s="107"/>
      <c r="BD798" s="107"/>
      <c r="BE798" s="107"/>
      <c r="BF798" s="107"/>
      <c r="BG798" s="107"/>
      <c r="BH798" s="107"/>
    </row>
    <row r="799" spans="1:60" x14ac:dyDescent="0.25">
      <c r="A799" s="96"/>
      <c r="B799" s="97"/>
      <c r="C799" s="97"/>
      <c r="D799" s="97"/>
      <c r="E799" s="98"/>
      <c r="F799" s="99" t="str">
        <f>IF(H799&lt;&gt;"",H799-Accueil!N$6+1/60/24,"")</f>
        <v/>
      </c>
      <c r="G799" s="97"/>
      <c r="H799" s="99"/>
      <c r="I799" s="99"/>
      <c r="J799" s="100"/>
      <c r="K799" s="101"/>
      <c r="L799" s="102"/>
      <c r="M799" s="103"/>
      <c r="N799" s="104"/>
      <c r="O799" s="97"/>
      <c r="P799" s="97"/>
      <c r="Q799" s="97"/>
      <c r="R799" s="105"/>
      <c r="S799" s="97"/>
      <c r="T799" s="97"/>
      <c r="U799" s="97" t="str">
        <f t="shared" si="15"/>
        <v/>
      </c>
      <c r="V799" s="97"/>
      <c r="W799" s="97"/>
      <c r="X799" s="97"/>
      <c r="Y799" s="97"/>
      <c r="Z799" s="97"/>
      <c r="AA799" s="97"/>
      <c r="AB799" s="97"/>
      <c r="AC799" s="97"/>
      <c r="AD799" s="97"/>
      <c r="AE799" s="97"/>
      <c r="AF799" s="97"/>
      <c r="AG799" s="97"/>
      <c r="AH799" s="97"/>
      <c r="AI799" s="97"/>
      <c r="AJ799" s="97"/>
      <c r="AK799" s="97"/>
      <c r="AL799" s="97"/>
      <c r="AM799" s="97"/>
      <c r="AN799" s="97"/>
      <c r="AO799" s="97"/>
      <c r="AP799" s="97"/>
      <c r="AQ799" s="97"/>
      <c r="AR799" s="97"/>
      <c r="AS799" s="97"/>
      <c r="AT799" s="97"/>
      <c r="AU799" s="97"/>
      <c r="AV799" s="97"/>
      <c r="AW799" s="97"/>
      <c r="AX799" s="97"/>
      <c r="AY799" s="97"/>
      <c r="AZ799" s="97"/>
      <c r="BA799" s="97"/>
      <c r="BB799" s="97"/>
      <c r="BC799" s="97"/>
      <c r="BD799" s="97"/>
      <c r="BE799" s="97"/>
      <c r="BF799" s="97"/>
      <c r="BG799" s="97"/>
      <c r="BH799" s="97"/>
    </row>
    <row r="800" spans="1:60" x14ac:dyDescent="0.25">
      <c r="A800" s="106"/>
      <c r="B800" s="107"/>
      <c r="C800" s="107"/>
      <c r="D800" s="107"/>
      <c r="E800" s="108"/>
      <c r="F800" s="109" t="str">
        <f>IF(H800&lt;&gt;"",H800-Accueil!N$6+1/60/24,"")</f>
        <v/>
      </c>
      <c r="G800" s="107"/>
      <c r="H800" s="109"/>
      <c r="I800" s="110"/>
      <c r="J800" s="110"/>
      <c r="K800" s="111"/>
      <c r="L800" s="112"/>
      <c r="M800" s="113"/>
      <c r="N800" s="114"/>
      <c r="O800" s="107"/>
      <c r="P800" s="107"/>
      <c r="Q800" s="115"/>
      <c r="R800" s="116"/>
      <c r="S800" s="107"/>
      <c r="T800" s="107"/>
      <c r="U800" s="107" t="str">
        <f t="shared" si="15"/>
        <v/>
      </c>
      <c r="V800" s="107"/>
      <c r="W800" s="107"/>
      <c r="X800" s="107"/>
      <c r="Y800" s="107"/>
      <c r="Z800" s="107"/>
      <c r="AA800" s="107"/>
      <c r="AB800" s="107"/>
      <c r="AC800" s="107"/>
      <c r="AD800" s="107"/>
      <c r="AE800" s="107"/>
      <c r="AF800" s="107"/>
      <c r="AG800" s="107"/>
      <c r="AH800" s="107"/>
      <c r="AI800" s="107"/>
      <c r="AJ800" s="107"/>
      <c r="AK800" s="107"/>
      <c r="AL800" s="107"/>
      <c r="AM800" s="107"/>
      <c r="AN800" s="107"/>
      <c r="AO800" s="107"/>
      <c r="AP800" s="107"/>
      <c r="AQ800" s="107"/>
      <c r="AR800" s="107"/>
      <c r="AS800" s="107"/>
      <c r="AT800" s="107"/>
      <c r="AU800" s="107"/>
      <c r="AV800" s="107"/>
      <c r="AW800" s="107"/>
      <c r="AX800" s="107"/>
      <c r="AY800" s="107"/>
      <c r="AZ800" s="107"/>
      <c r="BA800" s="107"/>
      <c r="BB800" s="107"/>
      <c r="BC800" s="107"/>
      <c r="BD800" s="107"/>
      <c r="BE800" s="107"/>
      <c r="BF800" s="107"/>
      <c r="BG800" s="107"/>
      <c r="BH800" s="107"/>
    </row>
    <row r="801" spans="1:60" x14ac:dyDescent="0.25">
      <c r="A801" s="96"/>
      <c r="B801" s="97"/>
      <c r="C801" s="97"/>
      <c r="D801" s="97"/>
      <c r="E801" s="98"/>
      <c r="F801" s="99" t="str">
        <f>IF(H801&lt;&gt;"",H801-Accueil!N$6+1/60/24,"")</f>
        <v/>
      </c>
      <c r="G801" s="97"/>
      <c r="H801" s="99"/>
      <c r="I801" s="99"/>
      <c r="J801" s="100"/>
      <c r="K801" s="101"/>
      <c r="L801" s="102"/>
      <c r="M801" s="103"/>
      <c r="N801" s="104"/>
      <c r="O801" s="97"/>
      <c r="P801" s="97"/>
      <c r="Q801" s="97"/>
      <c r="R801" s="105"/>
      <c r="S801" s="97"/>
      <c r="T801" s="97"/>
      <c r="U801" s="97" t="str">
        <f t="shared" si="15"/>
        <v/>
      </c>
      <c r="V801" s="97"/>
      <c r="W801" s="97"/>
      <c r="X801" s="97"/>
      <c r="Y801" s="97"/>
      <c r="Z801" s="97"/>
      <c r="AA801" s="97"/>
      <c r="AB801" s="97"/>
      <c r="AC801" s="97"/>
      <c r="AD801" s="97"/>
      <c r="AE801" s="97"/>
      <c r="AF801" s="97"/>
      <c r="AG801" s="97"/>
      <c r="AH801" s="97"/>
      <c r="AI801" s="97"/>
      <c r="AJ801" s="97"/>
      <c r="AK801" s="97"/>
      <c r="AL801" s="97"/>
      <c r="AM801" s="97"/>
      <c r="AN801" s="97"/>
      <c r="AO801" s="97"/>
      <c r="AP801" s="97"/>
      <c r="AQ801" s="97"/>
      <c r="AR801" s="97"/>
      <c r="AS801" s="97"/>
      <c r="AT801" s="97"/>
      <c r="AU801" s="97"/>
      <c r="AV801" s="97"/>
      <c r="AW801" s="97"/>
      <c r="AX801" s="97"/>
      <c r="AY801" s="97"/>
      <c r="AZ801" s="97"/>
      <c r="BA801" s="97"/>
      <c r="BB801" s="97"/>
      <c r="BC801" s="97"/>
      <c r="BD801" s="97"/>
      <c r="BE801" s="97"/>
      <c r="BF801" s="97"/>
      <c r="BG801" s="97"/>
      <c r="BH801" s="97"/>
    </row>
    <row r="802" spans="1:60" x14ac:dyDescent="0.25">
      <c r="A802" s="106"/>
      <c r="B802" s="107"/>
      <c r="C802" s="107"/>
      <c r="D802" s="107"/>
      <c r="E802" s="108"/>
      <c r="F802" s="109" t="str">
        <f>IF(H802&lt;&gt;"",H802-Accueil!N$6+1/60/24,"")</f>
        <v/>
      </c>
      <c r="G802" s="107"/>
      <c r="H802" s="109"/>
      <c r="I802" s="110"/>
      <c r="J802" s="110"/>
      <c r="K802" s="111"/>
      <c r="L802" s="112"/>
      <c r="M802" s="113"/>
      <c r="N802" s="114"/>
      <c r="O802" s="107"/>
      <c r="P802" s="107"/>
      <c r="Q802" s="115"/>
      <c r="R802" s="116"/>
      <c r="S802" s="107"/>
      <c r="T802" s="107"/>
      <c r="U802" s="107" t="str">
        <f t="shared" si="15"/>
        <v/>
      </c>
      <c r="V802" s="107"/>
      <c r="W802" s="107"/>
      <c r="X802" s="107"/>
      <c r="Y802" s="107"/>
      <c r="Z802" s="107"/>
      <c r="AA802" s="107"/>
      <c r="AB802" s="107"/>
      <c r="AC802" s="107"/>
      <c r="AD802" s="107"/>
      <c r="AE802" s="107"/>
      <c r="AF802" s="107"/>
      <c r="AG802" s="107"/>
      <c r="AH802" s="107"/>
      <c r="AI802" s="107"/>
      <c r="AJ802" s="107"/>
      <c r="AK802" s="107"/>
      <c r="AL802" s="107"/>
      <c r="AM802" s="107"/>
      <c r="AN802" s="107"/>
      <c r="AO802" s="107"/>
      <c r="AP802" s="107"/>
      <c r="AQ802" s="107"/>
      <c r="AR802" s="107"/>
      <c r="AS802" s="107"/>
      <c r="AT802" s="107"/>
      <c r="AU802" s="107"/>
      <c r="AV802" s="107"/>
      <c r="AW802" s="107"/>
      <c r="AX802" s="107"/>
      <c r="AY802" s="107"/>
      <c r="AZ802" s="107"/>
      <c r="BA802" s="107"/>
      <c r="BB802" s="107"/>
      <c r="BC802" s="107"/>
      <c r="BD802" s="107"/>
      <c r="BE802" s="107"/>
      <c r="BF802" s="107"/>
      <c r="BG802" s="107"/>
      <c r="BH802" s="107"/>
    </row>
    <row r="803" spans="1:60" x14ac:dyDescent="0.25">
      <c r="A803" s="96"/>
      <c r="B803" s="97"/>
      <c r="C803" s="97"/>
      <c r="D803" s="97"/>
      <c r="E803" s="98"/>
      <c r="F803" s="99" t="str">
        <f>IF(H803&lt;&gt;"",H803-Accueil!N$6+1/60/24,"")</f>
        <v/>
      </c>
      <c r="G803" s="97"/>
      <c r="H803" s="99"/>
      <c r="I803" s="99"/>
      <c r="J803" s="100"/>
      <c r="K803" s="101"/>
      <c r="L803" s="102"/>
      <c r="M803" s="103"/>
      <c r="N803" s="104"/>
      <c r="O803" s="97"/>
      <c r="P803" s="97"/>
      <c r="Q803" s="97"/>
      <c r="R803" s="105"/>
      <c r="S803" s="97"/>
      <c r="T803" s="97"/>
      <c r="U803" s="97" t="str">
        <f t="shared" si="15"/>
        <v/>
      </c>
      <c r="V803" s="97"/>
      <c r="W803" s="97"/>
      <c r="X803" s="97"/>
      <c r="Y803" s="97"/>
      <c r="Z803" s="97"/>
      <c r="AA803" s="97"/>
      <c r="AB803" s="97"/>
      <c r="AC803" s="97"/>
      <c r="AD803" s="97"/>
      <c r="AE803" s="97"/>
      <c r="AF803" s="97"/>
      <c r="AG803" s="97"/>
      <c r="AH803" s="97"/>
      <c r="AI803" s="97"/>
      <c r="AJ803" s="97"/>
      <c r="AK803" s="97"/>
      <c r="AL803" s="97"/>
      <c r="AM803" s="97"/>
      <c r="AN803" s="97"/>
      <c r="AO803" s="97"/>
      <c r="AP803" s="97"/>
      <c r="AQ803" s="97"/>
      <c r="AR803" s="97"/>
      <c r="AS803" s="97"/>
      <c r="AT803" s="97"/>
      <c r="AU803" s="97"/>
      <c r="AV803" s="97"/>
      <c r="AW803" s="97"/>
      <c r="AX803" s="97"/>
      <c r="AY803" s="97"/>
      <c r="AZ803" s="97"/>
      <c r="BA803" s="97"/>
      <c r="BB803" s="97"/>
      <c r="BC803" s="97"/>
      <c r="BD803" s="97"/>
      <c r="BE803" s="97"/>
      <c r="BF803" s="97"/>
      <c r="BG803" s="97"/>
      <c r="BH803" s="97"/>
    </row>
    <row r="804" spans="1:60" x14ac:dyDescent="0.25">
      <c r="A804" s="106"/>
      <c r="B804" s="107"/>
      <c r="C804" s="107"/>
      <c r="D804" s="107"/>
      <c r="E804" s="108"/>
      <c r="F804" s="109" t="str">
        <f>IF(H804&lt;&gt;"",H804-Accueil!N$6+1/60/24,"")</f>
        <v/>
      </c>
      <c r="G804" s="107"/>
      <c r="H804" s="109"/>
      <c r="I804" s="110"/>
      <c r="J804" s="110"/>
      <c r="K804" s="111"/>
      <c r="L804" s="112"/>
      <c r="M804" s="113"/>
      <c r="N804" s="114"/>
      <c r="O804" s="107"/>
      <c r="P804" s="107"/>
      <c r="Q804" s="115"/>
      <c r="R804" s="116"/>
      <c r="S804" s="107"/>
      <c r="T804" s="107"/>
      <c r="U804" s="107" t="str">
        <f t="shared" si="15"/>
        <v/>
      </c>
      <c r="V804" s="107"/>
      <c r="W804" s="107"/>
      <c r="X804" s="107"/>
      <c r="Y804" s="107"/>
      <c r="Z804" s="107"/>
      <c r="AA804" s="107"/>
      <c r="AB804" s="107"/>
      <c r="AC804" s="107"/>
      <c r="AD804" s="107"/>
      <c r="AE804" s="107"/>
      <c r="AF804" s="107"/>
      <c r="AG804" s="107"/>
      <c r="AH804" s="107"/>
      <c r="AI804" s="107"/>
      <c r="AJ804" s="107"/>
      <c r="AK804" s="107"/>
      <c r="AL804" s="107"/>
      <c r="AM804" s="107"/>
      <c r="AN804" s="107"/>
      <c r="AO804" s="107"/>
      <c r="AP804" s="107"/>
      <c r="AQ804" s="107"/>
      <c r="AR804" s="107"/>
      <c r="AS804" s="107"/>
      <c r="AT804" s="107"/>
      <c r="AU804" s="107"/>
      <c r="AV804" s="107"/>
      <c r="AW804" s="107"/>
      <c r="AX804" s="107"/>
      <c r="AY804" s="107"/>
      <c r="AZ804" s="107"/>
      <c r="BA804" s="107"/>
      <c r="BB804" s="107"/>
      <c r="BC804" s="107"/>
      <c r="BD804" s="107"/>
      <c r="BE804" s="107"/>
      <c r="BF804" s="107"/>
      <c r="BG804" s="107"/>
      <c r="BH804" s="107"/>
    </row>
    <row r="805" spans="1:60" x14ac:dyDescent="0.25">
      <c r="A805" s="96"/>
      <c r="B805" s="97"/>
      <c r="C805" s="97"/>
      <c r="D805" s="97"/>
      <c r="E805" s="98"/>
      <c r="F805" s="99" t="str">
        <f>IF(H805&lt;&gt;"",H805-Accueil!N$6+1/60/24,"")</f>
        <v/>
      </c>
      <c r="G805" s="97"/>
      <c r="H805" s="99"/>
      <c r="I805" s="99"/>
      <c r="J805" s="100"/>
      <c r="K805" s="101"/>
      <c r="L805" s="102"/>
      <c r="M805" s="103"/>
      <c r="N805" s="104"/>
      <c r="O805" s="97"/>
      <c r="P805" s="97"/>
      <c r="Q805" s="97"/>
      <c r="R805" s="105"/>
      <c r="S805" s="97"/>
      <c r="T805" s="97"/>
      <c r="U805" s="97" t="str">
        <f t="shared" si="15"/>
        <v/>
      </c>
      <c r="V805" s="97"/>
      <c r="W805" s="97"/>
      <c r="X805" s="97"/>
      <c r="Y805" s="97"/>
      <c r="Z805" s="97"/>
      <c r="AA805" s="97"/>
      <c r="AB805" s="97"/>
      <c r="AC805" s="97"/>
      <c r="AD805" s="97"/>
      <c r="AE805" s="97"/>
      <c r="AF805" s="97"/>
      <c r="AG805" s="97"/>
      <c r="AH805" s="97"/>
      <c r="AI805" s="97"/>
      <c r="AJ805" s="97"/>
      <c r="AK805" s="97"/>
      <c r="AL805" s="97"/>
      <c r="AM805" s="97"/>
      <c r="AN805" s="97"/>
      <c r="AO805" s="97"/>
      <c r="AP805" s="97"/>
      <c r="AQ805" s="97"/>
      <c r="AR805" s="97"/>
      <c r="AS805" s="97"/>
      <c r="AT805" s="97"/>
      <c r="AU805" s="97"/>
      <c r="AV805" s="97"/>
      <c r="AW805" s="97"/>
      <c r="AX805" s="97"/>
      <c r="AY805" s="97"/>
      <c r="AZ805" s="97"/>
      <c r="BA805" s="97"/>
      <c r="BB805" s="97"/>
      <c r="BC805" s="97"/>
      <c r="BD805" s="97"/>
      <c r="BE805" s="97"/>
      <c r="BF805" s="97"/>
      <c r="BG805" s="97"/>
      <c r="BH805" s="97"/>
    </row>
    <row r="806" spans="1:60" x14ac:dyDescent="0.25">
      <c r="A806" s="106"/>
      <c r="B806" s="107"/>
      <c r="C806" s="107"/>
      <c r="D806" s="107"/>
      <c r="E806" s="108"/>
      <c r="F806" s="109" t="str">
        <f>IF(H806&lt;&gt;"",H806-Accueil!N$6+1/60/24,"")</f>
        <v/>
      </c>
      <c r="G806" s="107"/>
      <c r="H806" s="109"/>
      <c r="I806" s="110"/>
      <c r="J806" s="110"/>
      <c r="K806" s="111"/>
      <c r="L806" s="112"/>
      <c r="M806" s="113"/>
      <c r="N806" s="114"/>
      <c r="O806" s="107"/>
      <c r="P806" s="107"/>
      <c r="Q806" s="115"/>
      <c r="R806" s="116"/>
      <c r="S806" s="107"/>
      <c r="T806" s="107"/>
      <c r="U806" s="107" t="str">
        <f t="shared" si="15"/>
        <v/>
      </c>
      <c r="V806" s="107"/>
      <c r="W806" s="107"/>
      <c r="X806" s="107"/>
      <c r="Y806" s="107"/>
      <c r="Z806" s="107"/>
      <c r="AA806" s="107"/>
      <c r="AB806" s="107"/>
      <c r="AC806" s="107"/>
      <c r="AD806" s="107"/>
      <c r="AE806" s="107"/>
      <c r="AF806" s="107"/>
      <c r="AG806" s="107"/>
      <c r="AH806" s="107"/>
      <c r="AI806" s="107"/>
      <c r="AJ806" s="107"/>
      <c r="AK806" s="107"/>
      <c r="AL806" s="107"/>
      <c r="AM806" s="107"/>
      <c r="AN806" s="107"/>
      <c r="AO806" s="107"/>
      <c r="AP806" s="107"/>
      <c r="AQ806" s="107"/>
      <c r="AR806" s="107"/>
      <c r="AS806" s="107"/>
      <c r="AT806" s="107"/>
      <c r="AU806" s="107"/>
      <c r="AV806" s="107"/>
      <c r="AW806" s="107"/>
      <c r="AX806" s="107"/>
      <c r="AY806" s="107"/>
      <c r="AZ806" s="107"/>
      <c r="BA806" s="107"/>
      <c r="BB806" s="107"/>
      <c r="BC806" s="107"/>
      <c r="BD806" s="107"/>
      <c r="BE806" s="107"/>
      <c r="BF806" s="107"/>
      <c r="BG806" s="107"/>
      <c r="BH806" s="107"/>
    </row>
    <row r="807" spans="1:60" x14ac:dyDescent="0.25">
      <c r="A807" s="96"/>
      <c r="B807" s="97"/>
      <c r="C807" s="97"/>
      <c r="D807" s="97"/>
      <c r="E807" s="98"/>
      <c r="F807" s="99" t="str">
        <f>IF(H807&lt;&gt;"",H807-Accueil!N$6+1/60/24,"")</f>
        <v/>
      </c>
      <c r="G807" s="97"/>
      <c r="H807" s="99"/>
      <c r="I807" s="99"/>
      <c r="J807" s="100"/>
      <c r="K807" s="101"/>
      <c r="L807" s="102"/>
      <c r="M807" s="103"/>
      <c r="N807" s="104"/>
      <c r="O807" s="97"/>
      <c r="P807" s="97"/>
      <c r="Q807" s="97"/>
      <c r="R807" s="105"/>
      <c r="S807" s="97"/>
      <c r="T807" s="97"/>
      <c r="U807" s="97" t="str">
        <f t="shared" si="15"/>
        <v/>
      </c>
      <c r="V807" s="97"/>
      <c r="W807" s="97"/>
      <c r="X807" s="97"/>
      <c r="Y807" s="97"/>
      <c r="Z807" s="97"/>
      <c r="AA807" s="97"/>
      <c r="AB807" s="97"/>
      <c r="AC807" s="97"/>
      <c r="AD807" s="97"/>
      <c r="AE807" s="97"/>
      <c r="AF807" s="97"/>
      <c r="AG807" s="97"/>
      <c r="AH807" s="97"/>
      <c r="AI807" s="97"/>
      <c r="AJ807" s="97"/>
      <c r="AK807" s="97"/>
      <c r="AL807" s="97"/>
      <c r="AM807" s="97"/>
      <c r="AN807" s="97"/>
      <c r="AO807" s="97"/>
      <c r="AP807" s="97"/>
      <c r="AQ807" s="97"/>
      <c r="AR807" s="97"/>
      <c r="AS807" s="97"/>
      <c r="AT807" s="97"/>
      <c r="AU807" s="97"/>
      <c r="AV807" s="97"/>
      <c r="AW807" s="97"/>
      <c r="AX807" s="97"/>
      <c r="AY807" s="97"/>
      <c r="AZ807" s="97"/>
      <c r="BA807" s="97"/>
      <c r="BB807" s="97"/>
      <c r="BC807" s="97"/>
      <c r="BD807" s="97"/>
      <c r="BE807" s="97"/>
      <c r="BF807" s="97"/>
      <c r="BG807" s="97"/>
      <c r="BH807" s="97"/>
    </row>
    <row r="808" spans="1:60" x14ac:dyDescent="0.25">
      <c r="A808" s="106"/>
      <c r="B808" s="107"/>
      <c r="C808" s="107"/>
      <c r="D808" s="107"/>
      <c r="E808" s="108"/>
      <c r="F808" s="109" t="str">
        <f>IF(H808&lt;&gt;"",H808-Accueil!N$6+1/60/24,"")</f>
        <v/>
      </c>
      <c r="G808" s="107"/>
      <c r="H808" s="109"/>
      <c r="I808" s="110"/>
      <c r="J808" s="110"/>
      <c r="K808" s="111"/>
      <c r="L808" s="112"/>
      <c r="M808" s="113"/>
      <c r="N808" s="114"/>
      <c r="O808" s="107"/>
      <c r="P808" s="107"/>
      <c r="Q808" s="115"/>
      <c r="R808" s="116"/>
      <c r="S808" s="107"/>
      <c r="T808" s="107"/>
      <c r="U808" s="107" t="str">
        <f t="shared" si="15"/>
        <v/>
      </c>
      <c r="V808" s="107"/>
      <c r="W808" s="107"/>
      <c r="X808" s="107"/>
      <c r="Y808" s="107"/>
      <c r="Z808" s="107"/>
      <c r="AA808" s="107"/>
      <c r="AB808" s="107"/>
      <c r="AC808" s="107"/>
      <c r="AD808" s="107"/>
      <c r="AE808" s="107"/>
      <c r="AF808" s="107"/>
      <c r="AG808" s="107"/>
      <c r="AH808" s="107"/>
      <c r="AI808" s="107"/>
      <c r="AJ808" s="107"/>
      <c r="AK808" s="107"/>
      <c r="AL808" s="107"/>
      <c r="AM808" s="107"/>
      <c r="AN808" s="107"/>
      <c r="AO808" s="107"/>
      <c r="AP808" s="107"/>
      <c r="AQ808" s="107"/>
      <c r="AR808" s="107"/>
      <c r="AS808" s="107"/>
      <c r="AT808" s="107"/>
      <c r="AU808" s="107"/>
      <c r="AV808" s="107"/>
      <c r="AW808" s="107"/>
      <c r="AX808" s="107"/>
      <c r="AY808" s="107"/>
      <c r="AZ808" s="107"/>
      <c r="BA808" s="107"/>
      <c r="BB808" s="107"/>
      <c r="BC808" s="107"/>
      <c r="BD808" s="107"/>
      <c r="BE808" s="107"/>
      <c r="BF808" s="107"/>
      <c r="BG808" s="107"/>
      <c r="BH808" s="107"/>
    </row>
    <row r="809" spans="1:60" x14ac:dyDescent="0.25">
      <c r="A809" s="96"/>
      <c r="B809" s="97"/>
      <c r="C809" s="97"/>
      <c r="D809" s="97"/>
      <c r="E809" s="98"/>
      <c r="F809" s="99" t="str">
        <f>IF(H809&lt;&gt;"",H809-Accueil!N$6+1/60/24,"")</f>
        <v/>
      </c>
      <c r="G809" s="97"/>
      <c r="H809" s="99"/>
      <c r="I809" s="99"/>
      <c r="J809" s="100"/>
      <c r="K809" s="101"/>
      <c r="L809" s="102"/>
      <c r="M809" s="103"/>
      <c r="N809" s="104"/>
      <c r="O809" s="97"/>
      <c r="P809" s="97"/>
      <c r="Q809" s="97"/>
      <c r="R809" s="105"/>
      <c r="S809" s="97"/>
      <c r="T809" s="97"/>
      <c r="U809" s="97" t="str">
        <f t="shared" si="15"/>
        <v/>
      </c>
      <c r="V809" s="97"/>
      <c r="W809" s="97"/>
      <c r="X809" s="97"/>
      <c r="Y809" s="97"/>
      <c r="Z809" s="97"/>
      <c r="AA809" s="97"/>
      <c r="AB809" s="97"/>
      <c r="AC809" s="97"/>
      <c r="AD809" s="97"/>
      <c r="AE809" s="97"/>
      <c r="AF809" s="97"/>
      <c r="AG809" s="97"/>
      <c r="AH809" s="97"/>
      <c r="AI809" s="97"/>
      <c r="AJ809" s="97"/>
      <c r="AK809" s="97"/>
      <c r="AL809" s="97"/>
      <c r="AM809" s="97"/>
      <c r="AN809" s="97"/>
      <c r="AO809" s="97"/>
      <c r="AP809" s="97"/>
      <c r="AQ809" s="97"/>
      <c r="AR809" s="97"/>
      <c r="AS809" s="97"/>
      <c r="AT809" s="97"/>
      <c r="AU809" s="97"/>
      <c r="AV809" s="97"/>
      <c r="AW809" s="97"/>
      <c r="AX809" s="97"/>
      <c r="AY809" s="97"/>
      <c r="AZ809" s="97"/>
      <c r="BA809" s="97"/>
      <c r="BB809" s="97"/>
      <c r="BC809" s="97"/>
      <c r="BD809" s="97"/>
      <c r="BE809" s="97"/>
      <c r="BF809" s="97"/>
      <c r="BG809" s="97"/>
      <c r="BH809" s="97"/>
    </row>
    <row r="810" spans="1:60" x14ac:dyDescent="0.25">
      <c r="A810" s="106"/>
      <c r="B810" s="107"/>
      <c r="C810" s="107"/>
      <c r="D810" s="107"/>
      <c r="E810" s="108"/>
      <c r="F810" s="109" t="str">
        <f>IF(H810&lt;&gt;"",H810-Accueil!N$6+1/60/24,"")</f>
        <v/>
      </c>
      <c r="G810" s="107"/>
      <c r="H810" s="109"/>
      <c r="I810" s="110"/>
      <c r="J810" s="110"/>
      <c r="K810" s="111"/>
      <c r="L810" s="112"/>
      <c r="M810" s="113"/>
      <c r="N810" s="114"/>
      <c r="O810" s="107"/>
      <c r="P810" s="107"/>
      <c r="Q810" s="115"/>
      <c r="R810" s="116"/>
      <c r="S810" s="107"/>
      <c r="T810" s="107"/>
      <c r="U810" s="107" t="str">
        <f t="shared" si="15"/>
        <v/>
      </c>
      <c r="V810" s="107"/>
      <c r="W810" s="107"/>
      <c r="X810" s="107"/>
      <c r="Y810" s="107"/>
      <c r="Z810" s="107"/>
      <c r="AA810" s="107"/>
      <c r="AB810" s="107"/>
      <c r="AC810" s="107"/>
      <c r="AD810" s="107"/>
      <c r="AE810" s="107"/>
      <c r="AF810" s="107"/>
      <c r="AG810" s="107"/>
      <c r="AH810" s="107"/>
      <c r="AI810" s="107"/>
      <c r="AJ810" s="107"/>
      <c r="AK810" s="107"/>
      <c r="AL810" s="107"/>
      <c r="AM810" s="107"/>
      <c r="AN810" s="107"/>
      <c r="AO810" s="107"/>
      <c r="AP810" s="107"/>
      <c r="AQ810" s="107"/>
      <c r="AR810" s="107"/>
      <c r="AS810" s="107"/>
      <c r="AT810" s="107"/>
      <c r="AU810" s="107"/>
      <c r="AV810" s="107"/>
      <c r="AW810" s="107"/>
      <c r="AX810" s="107"/>
      <c r="AY810" s="107"/>
      <c r="AZ810" s="107"/>
      <c r="BA810" s="107"/>
      <c r="BB810" s="107"/>
      <c r="BC810" s="107"/>
      <c r="BD810" s="107"/>
      <c r="BE810" s="107"/>
      <c r="BF810" s="107"/>
      <c r="BG810" s="107"/>
      <c r="BH810" s="107"/>
    </row>
    <row r="811" spans="1:60" x14ac:dyDescent="0.25">
      <c r="A811" s="96"/>
      <c r="B811" s="97"/>
      <c r="C811" s="97"/>
      <c r="D811" s="97"/>
      <c r="E811" s="98"/>
      <c r="F811" s="99" t="str">
        <f>IF(H811&lt;&gt;"",H811-Accueil!N$6+1/60/24,"")</f>
        <v/>
      </c>
      <c r="G811" s="97"/>
      <c r="H811" s="99"/>
      <c r="I811" s="99"/>
      <c r="J811" s="100"/>
      <c r="K811" s="101"/>
      <c r="L811" s="102"/>
      <c r="M811" s="103"/>
      <c r="N811" s="104"/>
      <c r="O811" s="97"/>
      <c r="P811" s="97"/>
      <c r="Q811" s="97"/>
      <c r="R811" s="105"/>
      <c r="S811" s="97"/>
      <c r="T811" s="97"/>
      <c r="U811" s="97" t="str">
        <f t="shared" si="15"/>
        <v/>
      </c>
      <c r="V811" s="97"/>
      <c r="W811" s="97"/>
      <c r="X811" s="97"/>
      <c r="Y811" s="97"/>
      <c r="Z811" s="97"/>
      <c r="AA811" s="97"/>
      <c r="AB811" s="97"/>
      <c r="AC811" s="97"/>
      <c r="AD811" s="97"/>
      <c r="AE811" s="97"/>
      <c r="AF811" s="97"/>
      <c r="AG811" s="97"/>
      <c r="AH811" s="97"/>
      <c r="AI811" s="97"/>
      <c r="AJ811" s="97"/>
      <c r="AK811" s="97"/>
      <c r="AL811" s="97"/>
      <c r="AM811" s="97"/>
      <c r="AN811" s="97"/>
      <c r="AO811" s="97"/>
      <c r="AP811" s="97"/>
      <c r="AQ811" s="97"/>
      <c r="AR811" s="97"/>
      <c r="AS811" s="97"/>
      <c r="AT811" s="97"/>
      <c r="AU811" s="97"/>
      <c r="AV811" s="97"/>
      <c r="AW811" s="97"/>
      <c r="AX811" s="97"/>
      <c r="AY811" s="97"/>
      <c r="AZ811" s="97"/>
      <c r="BA811" s="97"/>
      <c r="BB811" s="97"/>
      <c r="BC811" s="97"/>
      <c r="BD811" s="97"/>
      <c r="BE811" s="97"/>
      <c r="BF811" s="97"/>
      <c r="BG811" s="97"/>
      <c r="BH811" s="97"/>
    </row>
    <row r="812" spans="1:60" x14ac:dyDescent="0.25">
      <c r="A812" s="106"/>
      <c r="B812" s="107"/>
      <c r="C812" s="107"/>
      <c r="D812" s="107"/>
      <c r="E812" s="108"/>
      <c r="F812" s="109" t="str">
        <f>IF(H812&lt;&gt;"",H812-Accueil!N$6+1/60/24,"")</f>
        <v/>
      </c>
      <c r="G812" s="107"/>
      <c r="H812" s="109"/>
      <c r="I812" s="110"/>
      <c r="J812" s="110"/>
      <c r="K812" s="111"/>
      <c r="L812" s="112"/>
      <c r="M812" s="113"/>
      <c r="N812" s="114"/>
      <c r="O812" s="107"/>
      <c r="P812" s="107"/>
      <c r="Q812" s="115"/>
      <c r="R812" s="116"/>
      <c r="S812" s="107"/>
      <c r="T812" s="107"/>
      <c r="U812" s="107" t="str">
        <f t="shared" si="15"/>
        <v/>
      </c>
      <c r="V812" s="107"/>
      <c r="W812" s="107"/>
      <c r="X812" s="107"/>
      <c r="Y812" s="107"/>
      <c r="Z812" s="107"/>
      <c r="AA812" s="107"/>
      <c r="AB812" s="107"/>
      <c r="AC812" s="107"/>
      <c r="AD812" s="107"/>
      <c r="AE812" s="107"/>
      <c r="AF812" s="107"/>
      <c r="AG812" s="107"/>
      <c r="AH812" s="107"/>
      <c r="AI812" s="107"/>
      <c r="AJ812" s="107"/>
      <c r="AK812" s="107"/>
      <c r="AL812" s="107"/>
      <c r="AM812" s="107"/>
      <c r="AN812" s="107"/>
      <c r="AO812" s="107"/>
      <c r="AP812" s="107"/>
      <c r="AQ812" s="107"/>
      <c r="AR812" s="107"/>
      <c r="AS812" s="107"/>
      <c r="AT812" s="107"/>
      <c r="AU812" s="107"/>
      <c r="AV812" s="107"/>
      <c r="AW812" s="107"/>
      <c r="AX812" s="107"/>
      <c r="AY812" s="107"/>
      <c r="AZ812" s="107"/>
      <c r="BA812" s="107"/>
      <c r="BB812" s="107"/>
      <c r="BC812" s="107"/>
      <c r="BD812" s="107"/>
      <c r="BE812" s="107"/>
      <c r="BF812" s="107"/>
      <c r="BG812" s="107"/>
      <c r="BH812" s="107"/>
    </row>
    <row r="813" spans="1:60" x14ac:dyDescent="0.25">
      <c r="A813" s="96"/>
      <c r="B813" s="97"/>
      <c r="C813" s="97"/>
      <c r="D813" s="97"/>
      <c r="E813" s="98"/>
      <c r="F813" s="99" t="str">
        <f>IF(H813&lt;&gt;"",H813-Accueil!N$6+1/60/24,"")</f>
        <v/>
      </c>
      <c r="G813" s="97"/>
      <c r="H813" s="99"/>
      <c r="I813" s="99"/>
      <c r="J813" s="100"/>
      <c r="K813" s="101"/>
      <c r="L813" s="102"/>
      <c r="M813" s="103"/>
      <c r="N813" s="104"/>
      <c r="O813" s="97"/>
      <c r="P813" s="97"/>
      <c r="Q813" s="97"/>
      <c r="R813" s="105"/>
      <c r="S813" s="97"/>
      <c r="T813" s="97"/>
      <c r="U813" s="97" t="str">
        <f t="shared" si="15"/>
        <v/>
      </c>
      <c r="V813" s="97"/>
      <c r="W813" s="97"/>
      <c r="X813" s="97"/>
      <c r="Y813" s="97"/>
      <c r="Z813" s="97"/>
      <c r="AA813" s="97"/>
      <c r="AB813" s="97"/>
      <c r="AC813" s="97"/>
      <c r="AD813" s="97"/>
      <c r="AE813" s="97"/>
      <c r="AF813" s="97"/>
      <c r="AG813" s="97"/>
      <c r="AH813" s="97"/>
      <c r="AI813" s="97"/>
      <c r="AJ813" s="97"/>
      <c r="AK813" s="97"/>
      <c r="AL813" s="97"/>
      <c r="AM813" s="97"/>
      <c r="AN813" s="97"/>
      <c r="AO813" s="97"/>
      <c r="AP813" s="97"/>
      <c r="AQ813" s="97"/>
      <c r="AR813" s="97"/>
      <c r="AS813" s="97"/>
      <c r="AT813" s="97"/>
      <c r="AU813" s="97"/>
      <c r="AV813" s="97"/>
      <c r="AW813" s="97"/>
      <c r="AX813" s="97"/>
      <c r="AY813" s="97"/>
      <c r="AZ813" s="97"/>
      <c r="BA813" s="97"/>
      <c r="BB813" s="97"/>
      <c r="BC813" s="97"/>
      <c r="BD813" s="97"/>
      <c r="BE813" s="97"/>
      <c r="BF813" s="97"/>
      <c r="BG813" s="97"/>
      <c r="BH813" s="97"/>
    </row>
    <row r="814" spans="1:60" x14ac:dyDescent="0.25">
      <c r="A814" s="106"/>
      <c r="B814" s="107"/>
      <c r="C814" s="107"/>
      <c r="D814" s="107"/>
      <c r="E814" s="108"/>
      <c r="F814" s="109" t="str">
        <f>IF(H814&lt;&gt;"",H814-Accueil!N$6+1/60/24,"")</f>
        <v/>
      </c>
      <c r="G814" s="107"/>
      <c r="H814" s="109"/>
      <c r="I814" s="110"/>
      <c r="J814" s="110"/>
      <c r="K814" s="111"/>
      <c r="L814" s="112"/>
      <c r="M814" s="113"/>
      <c r="N814" s="114"/>
      <c r="O814" s="107"/>
      <c r="P814" s="107"/>
      <c r="Q814" s="115"/>
      <c r="R814" s="116"/>
      <c r="S814" s="107"/>
      <c r="T814" s="107"/>
      <c r="U814" s="107" t="str">
        <f t="shared" si="15"/>
        <v/>
      </c>
      <c r="V814" s="107"/>
      <c r="W814" s="107"/>
      <c r="X814" s="107"/>
      <c r="Y814" s="107"/>
      <c r="Z814" s="107"/>
      <c r="AA814" s="107"/>
      <c r="AB814" s="107"/>
      <c r="AC814" s="107"/>
      <c r="AD814" s="107"/>
      <c r="AE814" s="107"/>
      <c r="AF814" s="107"/>
      <c r="AG814" s="107"/>
      <c r="AH814" s="107"/>
      <c r="AI814" s="107"/>
      <c r="AJ814" s="107"/>
      <c r="AK814" s="107"/>
      <c r="AL814" s="107"/>
      <c r="AM814" s="107"/>
      <c r="AN814" s="107"/>
      <c r="AO814" s="107"/>
      <c r="AP814" s="107"/>
      <c r="AQ814" s="107"/>
      <c r="AR814" s="107"/>
      <c r="AS814" s="107"/>
      <c r="AT814" s="107"/>
      <c r="AU814" s="107"/>
      <c r="AV814" s="107"/>
      <c r="AW814" s="107"/>
      <c r="AX814" s="107"/>
      <c r="AY814" s="107"/>
      <c r="AZ814" s="107"/>
      <c r="BA814" s="107"/>
      <c r="BB814" s="107"/>
      <c r="BC814" s="107"/>
      <c r="BD814" s="107"/>
      <c r="BE814" s="107"/>
      <c r="BF814" s="107"/>
      <c r="BG814" s="107"/>
      <c r="BH814" s="107"/>
    </row>
    <row r="815" spans="1:60" x14ac:dyDescent="0.25">
      <c r="A815" s="96"/>
      <c r="B815" s="97"/>
      <c r="C815" s="97"/>
      <c r="D815" s="97"/>
      <c r="E815" s="98"/>
      <c r="F815" s="99" t="str">
        <f>IF(H815&lt;&gt;"",H815-Accueil!N$6+1/60/24,"")</f>
        <v/>
      </c>
      <c r="G815" s="97"/>
      <c r="H815" s="99"/>
      <c r="I815" s="99"/>
      <c r="J815" s="100"/>
      <c r="K815" s="101"/>
      <c r="L815" s="102"/>
      <c r="M815" s="103"/>
      <c r="N815" s="104"/>
      <c r="O815" s="97"/>
      <c r="P815" s="97"/>
      <c r="Q815" s="97"/>
      <c r="R815" s="105"/>
      <c r="S815" s="97"/>
      <c r="T815" s="97"/>
      <c r="U815" s="97" t="str">
        <f t="shared" si="15"/>
        <v/>
      </c>
      <c r="V815" s="97"/>
      <c r="W815" s="97"/>
      <c r="X815" s="97"/>
      <c r="Y815" s="97"/>
      <c r="Z815" s="97"/>
      <c r="AA815" s="97"/>
      <c r="AB815" s="97"/>
      <c r="AC815" s="97"/>
      <c r="AD815" s="97"/>
      <c r="AE815" s="97"/>
      <c r="AF815" s="97"/>
      <c r="AG815" s="97"/>
      <c r="AH815" s="97"/>
      <c r="AI815" s="97"/>
      <c r="AJ815" s="97"/>
      <c r="AK815" s="97"/>
      <c r="AL815" s="97"/>
      <c r="AM815" s="97"/>
      <c r="AN815" s="97"/>
      <c r="AO815" s="97"/>
      <c r="AP815" s="97"/>
      <c r="AQ815" s="97"/>
      <c r="AR815" s="97"/>
      <c r="AS815" s="97"/>
      <c r="AT815" s="97"/>
      <c r="AU815" s="97"/>
      <c r="AV815" s="97"/>
      <c r="AW815" s="97"/>
      <c r="AX815" s="97"/>
      <c r="AY815" s="97"/>
      <c r="AZ815" s="97"/>
      <c r="BA815" s="97"/>
      <c r="BB815" s="97"/>
      <c r="BC815" s="97"/>
      <c r="BD815" s="97"/>
      <c r="BE815" s="97"/>
      <c r="BF815" s="97"/>
      <c r="BG815" s="97"/>
      <c r="BH815" s="97"/>
    </row>
    <row r="816" spans="1:60" x14ac:dyDescent="0.25">
      <c r="A816" s="106"/>
      <c r="B816" s="107"/>
      <c r="C816" s="107"/>
      <c r="D816" s="107"/>
      <c r="E816" s="108"/>
      <c r="F816" s="109" t="str">
        <f>IF(H816&lt;&gt;"",H816-Accueil!N$6+1/60/24,"")</f>
        <v/>
      </c>
      <c r="G816" s="107"/>
      <c r="H816" s="109"/>
      <c r="I816" s="110"/>
      <c r="J816" s="110"/>
      <c r="K816" s="111"/>
      <c r="L816" s="112"/>
      <c r="M816" s="113"/>
      <c r="N816" s="114"/>
      <c r="O816" s="107"/>
      <c r="P816" s="107"/>
      <c r="Q816" s="115"/>
      <c r="R816" s="116"/>
      <c r="S816" s="107"/>
      <c r="T816" s="107"/>
      <c r="U816" s="107" t="str">
        <f t="shared" si="15"/>
        <v/>
      </c>
      <c r="V816" s="107"/>
      <c r="W816" s="107"/>
      <c r="X816" s="107"/>
      <c r="Y816" s="107"/>
      <c r="Z816" s="107"/>
      <c r="AA816" s="107"/>
      <c r="AB816" s="107"/>
      <c r="AC816" s="107"/>
      <c r="AD816" s="107"/>
      <c r="AE816" s="107"/>
      <c r="AF816" s="107"/>
      <c r="AG816" s="107"/>
      <c r="AH816" s="107"/>
      <c r="AI816" s="107"/>
      <c r="AJ816" s="107"/>
      <c r="AK816" s="107"/>
      <c r="AL816" s="107"/>
      <c r="AM816" s="107"/>
      <c r="AN816" s="107"/>
      <c r="AO816" s="107"/>
      <c r="AP816" s="107"/>
      <c r="AQ816" s="107"/>
      <c r="AR816" s="107"/>
      <c r="AS816" s="107"/>
      <c r="AT816" s="107"/>
      <c r="AU816" s="107"/>
      <c r="AV816" s="107"/>
      <c r="AW816" s="107"/>
      <c r="AX816" s="107"/>
      <c r="AY816" s="107"/>
      <c r="AZ816" s="107"/>
      <c r="BA816" s="107"/>
      <c r="BB816" s="107"/>
      <c r="BC816" s="107"/>
      <c r="BD816" s="107"/>
      <c r="BE816" s="107"/>
      <c r="BF816" s="107"/>
      <c r="BG816" s="107"/>
      <c r="BH816" s="107"/>
    </row>
    <row r="817" spans="1:60" x14ac:dyDescent="0.25">
      <c r="A817" s="96"/>
      <c r="B817" s="97"/>
      <c r="C817" s="97"/>
      <c r="D817" s="97"/>
      <c r="E817" s="98"/>
      <c r="F817" s="99" t="str">
        <f>IF(H817&lt;&gt;"",H817-Accueil!N$6+1/60/24,"")</f>
        <v/>
      </c>
      <c r="G817" s="97"/>
      <c r="H817" s="99"/>
      <c r="I817" s="99"/>
      <c r="J817" s="100"/>
      <c r="K817" s="101"/>
      <c r="L817" s="102"/>
      <c r="M817" s="103"/>
      <c r="N817" s="104"/>
      <c r="O817" s="97"/>
      <c r="P817" s="97"/>
      <c r="Q817" s="97"/>
      <c r="R817" s="105"/>
      <c r="S817" s="97"/>
      <c r="T817" s="97"/>
      <c r="U817" s="97" t="str">
        <f t="shared" si="15"/>
        <v/>
      </c>
      <c r="V817" s="97"/>
      <c r="W817" s="97"/>
      <c r="X817" s="97"/>
      <c r="Y817" s="97"/>
      <c r="Z817" s="97"/>
      <c r="AA817" s="97"/>
      <c r="AB817" s="97"/>
      <c r="AC817" s="97"/>
      <c r="AD817" s="97"/>
      <c r="AE817" s="97"/>
      <c r="AF817" s="97"/>
      <c r="AG817" s="97"/>
      <c r="AH817" s="97"/>
      <c r="AI817" s="97"/>
      <c r="AJ817" s="97"/>
      <c r="AK817" s="97"/>
      <c r="AL817" s="97"/>
      <c r="AM817" s="97"/>
      <c r="AN817" s="97"/>
      <c r="AO817" s="97"/>
      <c r="AP817" s="97"/>
      <c r="AQ817" s="97"/>
      <c r="AR817" s="97"/>
      <c r="AS817" s="97"/>
      <c r="AT817" s="97"/>
      <c r="AU817" s="97"/>
      <c r="AV817" s="97"/>
      <c r="AW817" s="97"/>
      <c r="AX817" s="97"/>
      <c r="AY817" s="97"/>
      <c r="AZ817" s="97"/>
      <c r="BA817" s="97"/>
      <c r="BB817" s="97"/>
      <c r="BC817" s="97"/>
      <c r="BD817" s="97"/>
      <c r="BE817" s="97"/>
      <c r="BF817" s="97"/>
      <c r="BG817" s="97"/>
      <c r="BH817" s="97"/>
    </row>
    <row r="818" spans="1:60" x14ac:dyDescent="0.25">
      <c r="A818" s="106"/>
      <c r="B818" s="107"/>
      <c r="C818" s="107"/>
      <c r="D818" s="107"/>
      <c r="E818" s="108"/>
      <c r="F818" s="109" t="str">
        <f>IF(H818&lt;&gt;"",H818-Accueil!N$6+1/60/24,"")</f>
        <v/>
      </c>
      <c r="G818" s="107"/>
      <c r="H818" s="109"/>
      <c r="I818" s="110"/>
      <c r="J818" s="110"/>
      <c r="K818" s="111"/>
      <c r="L818" s="112"/>
      <c r="M818" s="113"/>
      <c r="N818" s="114"/>
      <c r="O818" s="107"/>
      <c r="P818" s="107"/>
      <c r="Q818" s="115"/>
      <c r="R818" s="116"/>
      <c r="S818" s="107"/>
      <c r="T818" s="107"/>
      <c r="U818" s="107" t="str">
        <f t="shared" si="15"/>
        <v/>
      </c>
      <c r="V818" s="107"/>
      <c r="W818" s="107"/>
      <c r="X818" s="107"/>
      <c r="Y818" s="107"/>
      <c r="Z818" s="107"/>
      <c r="AA818" s="107"/>
      <c r="AB818" s="107"/>
      <c r="AC818" s="107"/>
      <c r="AD818" s="107"/>
      <c r="AE818" s="107"/>
      <c r="AF818" s="107"/>
      <c r="AG818" s="107"/>
      <c r="AH818" s="107"/>
      <c r="AI818" s="107"/>
      <c r="AJ818" s="107"/>
      <c r="AK818" s="107"/>
      <c r="AL818" s="107"/>
      <c r="AM818" s="107"/>
      <c r="AN818" s="107"/>
      <c r="AO818" s="107"/>
      <c r="AP818" s="107"/>
      <c r="AQ818" s="107"/>
      <c r="AR818" s="107"/>
      <c r="AS818" s="107"/>
      <c r="AT818" s="107"/>
      <c r="AU818" s="107"/>
      <c r="AV818" s="107"/>
      <c r="AW818" s="107"/>
      <c r="AX818" s="107"/>
      <c r="AY818" s="107"/>
      <c r="AZ818" s="107"/>
      <c r="BA818" s="107"/>
      <c r="BB818" s="107"/>
      <c r="BC818" s="107"/>
      <c r="BD818" s="107"/>
      <c r="BE818" s="107"/>
      <c r="BF818" s="107"/>
      <c r="BG818" s="107"/>
      <c r="BH818" s="107"/>
    </row>
    <row r="819" spans="1:60" x14ac:dyDescent="0.25">
      <c r="A819" s="96"/>
      <c r="B819" s="97"/>
      <c r="C819" s="97"/>
      <c r="D819" s="97"/>
      <c r="E819" s="98"/>
      <c r="F819" s="99" t="str">
        <f>IF(H819&lt;&gt;"",H819-Accueil!N$6+1/60/24,"")</f>
        <v/>
      </c>
      <c r="G819" s="97"/>
      <c r="H819" s="99"/>
      <c r="I819" s="99"/>
      <c r="J819" s="100"/>
      <c r="K819" s="101"/>
      <c r="L819" s="102"/>
      <c r="M819" s="103"/>
      <c r="N819" s="104"/>
      <c r="O819" s="97"/>
      <c r="P819" s="97"/>
      <c r="Q819" s="97"/>
      <c r="R819" s="105"/>
      <c r="S819" s="97"/>
      <c r="T819" s="97"/>
      <c r="U819" s="97" t="str">
        <f t="shared" si="15"/>
        <v/>
      </c>
      <c r="V819" s="97"/>
      <c r="W819" s="97"/>
      <c r="X819" s="97"/>
      <c r="Y819" s="97"/>
      <c r="Z819" s="97"/>
      <c r="AA819" s="97"/>
      <c r="AB819" s="97"/>
      <c r="AC819" s="97"/>
      <c r="AD819" s="97"/>
      <c r="AE819" s="97"/>
      <c r="AF819" s="97"/>
      <c r="AG819" s="97"/>
      <c r="AH819" s="97"/>
      <c r="AI819" s="97"/>
      <c r="AJ819" s="97"/>
      <c r="AK819" s="97"/>
      <c r="AL819" s="97"/>
      <c r="AM819" s="97"/>
      <c r="AN819" s="97"/>
      <c r="AO819" s="97"/>
      <c r="AP819" s="97"/>
      <c r="AQ819" s="97"/>
      <c r="AR819" s="97"/>
      <c r="AS819" s="97"/>
      <c r="AT819" s="97"/>
      <c r="AU819" s="97"/>
      <c r="AV819" s="97"/>
      <c r="AW819" s="97"/>
      <c r="AX819" s="97"/>
      <c r="AY819" s="97"/>
      <c r="AZ819" s="97"/>
      <c r="BA819" s="97"/>
      <c r="BB819" s="97"/>
      <c r="BC819" s="97"/>
      <c r="BD819" s="97"/>
      <c r="BE819" s="97"/>
      <c r="BF819" s="97"/>
      <c r="BG819" s="97"/>
      <c r="BH819" s="97"/>
    </row>
    <row r="820" spans="1:60" x14ac:dyDescent="0.25">
      <c r="A820" s="106"/>
      <c r="B820" s="107"/>
      <c r="C820" s="107"/>
      <c r="D820" s="107"/>
      <c r="E820" s="108"/>
      <c r="F820" s="109" t="str">
        <f>IF(H820&lt;&gt;"",H820-Accueil!N$6+1/60/24,"")</f>
        <v/>
      </c>
      <c r="G820" s="107"/>
      <c r="H820" s="109"/>
      <c r="I820" s="110"/>
      <c r="J820" s="110"/>
      <c r="K820" s="111"/>
      <c r="L820" s="112"/>
      <c r="M820" s="113"/>
      <c r="N820" s="114"/>
      <c r="O820" s="107"/>
      <c r="P820" s="107"/>
      <c r="Q820" s="115"/>
      <c r="R820" s="116"/>
      <c r="S820" s="107"/>
      <c r="T820" s="107"/>
      <c r="U820" s="107" t="str">
        <f t="shared" si="15"/>
        <v/>
      </c>
      <c r="V820" s="107"/>
      <c r="W820" s="107"/>
      <c r="X820" s="107"/>
      <c r="Y820" s="107"/>
      <c r="Z820" s="107"/>
      <c r="AA820" s="107"/>
      <c r="AB820" s="107"/>
      <c r="AC820" s="107"/>
      <c r="AD820" s="107"/>
      <c r="AE820" s="107"/>
      <c r="AF820" s="107"/>
      <c r="AG820" s="107"/>
      <c r="AH820" s="107"/>
      <c r="AI820" s="107"/>
      <c r="AJ820" s="107"/>
      <c r="AK820" s="107"/>
      <c r="AL820" s="107"/>
      <c r="AM820" s="107"/>
      <c r="AN820" s="107"/>
      <c r="AO820" s="107"/>
      <c r="AP820" s="107"/>
      <c r="AQ820" s="107"/>
      <c r="AR820" s="107"/>
      <c r="AS820" s="107"/>
      <c r="AT820" s="107"/>
      <c r="AU820" s="107"/>
      <c r="AV820" s="107"/>
      <c r="AW820" s="107"/>
      <c r="AX820" s="107"/>
      <c r="AY820" s="107"/>
      <c r="AZ820" s="107"/>
      <c r="BA820" s="107"/>
      <c r="BB820" s="107"/>
      <c r="BC820" s="107"/>
      <c r="BD820" s="107"/>
      <c r="BE820" s="107"/>
      <c r="BF820" s="107"/>
      <c r="BG820" s="107"/>
      <c r="BH820" s="107"/>
    </row>
    <row r="821" spans="1:60" x14ac:dyDescent="0.25">
      <c r="A821" s="96"/>
      <c r="B821" s="97"/>
      <c r="C821" s="97"/>
      <c r="D821" s="97"/>
      <c r="E821" s="98"/>
      <c r="F821" s="99" t="str">
        <f>IF(H821&lt;&gt;"",H821-Accueil!N$6+1/60/24,"")</f>
        <v/>
      </c>
      <c r="G821" s="97"/>
      <c r="H821" s="99"/>
      <c r="I821" s="99"/>
      <c r="J821" s="100"/>
      <c r="K821" s="101"/>
      <c r="L821" s="102"/>
      <c r="M821" s="103"/>
      <c r="N821" s="104"/>
      <c r="O821" s="97"/>
      <c r="P821" s="97"/>
      <c r="Q821" s="97"/>
      <c r="R821" s="105"/>
      <c r="S821" s="97"/>
      <c r="T821" s="97"/>
      <c r="U821" s="97" t="str">
        <f t="shared" si="15"/>
        <v/>
      </c>
      <c r="V821" s="97"/>
      <c r="W821" s="97"/>
      <c r="X821" s="97"/>
      <c r="Y821" s="97"/>
      <c r="Z821" s="97"/>
      <c r="AA821" s="97"/>
      <c r="AB821" s="97"/>
      <c r="AC821" s="97"/>
      <c r="AD821" s="97"/>
      <c r="AE821" s="97"/>
      <c r="AF821" s="97"/>
      <c r="AG821" s="97"/>
      <c r="AH821" s="97"/>
      <c r="AI821" s="97"/>
      <c r="AJ821" s="97"/>
      <c r="AK821" s="97"/>
      <c r="AL821" s="97"/>
      <c r="AM821" s="97"/>
      <c r="AN821" s="97"/>
      <c r="AO821" s="97"/>
      <c r="AP821" s="97"/>
      <c r="AQ821" s="97"/>
      <c r="AR821" s="97"/>
      <c r="AS821" s="97"/>
      <c r="AT821" s="97"/>
      <c r="AU821" s="97"/>
      <c r="AV821" s="97"/>
      <c r="AW821" s="97"/>
      <c r="AX821" s="97"/>
      <c r="AY821" s="97"/>
      <c r="AZ821" s="97"/>
      <c r="BA821" s="97"/>
      <c r="BB821" s="97"/>
      <c r="BC821" s="97"/>
      <c r="BD821" s="97"/>
      <c r="BE821" s="97"/>
      <c r="BF821" s="97"/>
      <c r="BG821" s="97"/>
      <c r="BH821" s="97"/>
    </row>
    <row r="822" spans="1:60" x14ac:dyDescent="0.25">
      <c r="A822" s="106"/>
      <c r="B822" s="107"/>
      <c r="C822" s="107"/>
      <c r="D822" s="107"/>
      <c r="E822" s="108"/>
      <c r="F822" s="109" t="str">
        <f>IF(H822&lt;&gt;"",H822-Accueil!N$6+1/60/24,"")</f>
        <v/>
      </c>
      <c r="G822" s="107"/>
      <c r="H822" s="109"/>
      <c r="I822" s="110"/>
      <c r="J822" s="110"/>
      <c r="K822" s="111"/>
      <c r="L822" s="112"/>
      <c r="M822" s="113"/>
      <c r="N822" s="114"/>
      <c r="O822" s="107"/>
      <c r="P822" s="107"/>
      <c r="Q822" s="115"/>
      <c r="R822" s="116"/>
      <c r="S822" s="107"/>
      <c r="T822" s="107"/>
      <c r="U822" s="107" t="str">
        <f t="shared" si="15"/>
        <v/>
      </c>
      <c r="V822" s="107"/>
      <c r="W822" s="107"/>
      <c r="X822" s="107"/>
      <c r="Y822" s="107"/>
      <c r="Z822" s="107"/>
      <c r="AA822" s="107"/>
      <c r="AB822" s="107"/>
      <c r="AC822" s="107"/>
      <c r="AD822" s="107"/>
      <c r="AE822" s="107"/>
      <c r="AF822" s="107"/>
      <c r="AG822" s="107"/>
      <c r="AH822" s="107"/>
      <c r="AI822" s="107"/>
      <c r="AJ822" s="107"/>
      <c r="AK822" s="107"/>
      <c r="AL822" s="107"/>
      <c r="AM822" s="107"/>
      <c r="AN822" s="107"/>
      <c r="AO822" s="107"/>
      <c r="AP822" s="107"/>
      <c r="AQ822" s="107"/>
      <c r="AR822" s="107"/>
      <c r="AS822" s="107"/>
      <c r="AT822" s="107"/>
      <c r="AU822" s="107"/>
      <c r="AV822" s="107"/>
      <c r="AW822" s="107"/>
      <c r="AX822" s="107"/>
      <c r="AY822" s="107"/>
      <c r="AZ822" s="107"/>
      <c r="BA822" s="107"/>
      <c r="BB822" s="107"/>
      <c r="BC822" s="107"/>
      <c r="BD822" s="107"/>
      <c r="BE822" s="107"/>
      <c r="BF822" s="107"/>
      <c r="BG822" s="107"/>
      <c r="BH822" s="107"/>
    </row>
    <row r="823" spans="1:60" x14ac:dyDescent="0.25">
      <c r="A823" s="96"/>
      <c r="B823" s="97"/>
      <c r="C823" s="97"/>
      <c r="D823" s="97"/>
      <c r="E823" s="98"/>
      <c r="F823" s="99" t="str">
        <f>IF(H823&lt;&gt;"",H823-Accueil!N$6+1/60/24,"")</f>
        <v/>
      </c>
      <c r="G823" s="97"/>
      <c r="H823" s="99"/>
      <c r="I823" s="99"/>
      <c r="J823" s="100"/>
      <c r="K823" s="101"/>
      <c r="L823" s="102"/>
      <c r="M823" s="103"/>
      <c r="N823" s="104"/>
      <c r="O823" s="97"/>
      <c r="P823" s="97"/>
      <c r="Q823" s="97"/>
      <c r="R823" s="105"/>
      <c r="S823" s="97"/>
      <c r="T823" s="97"/>
      <c r="U823" s="97" t="str">
        <f t="shared" si="15"/>
        <v/>
      </c>
      <c r="V823" s="97"/>
      <c r="W823" s="97"/>
      <c r="X823" s="97"/>
      <c r="Y823" s="97"/>
      <c r="Z823" s="97"/>
      <c r="AA823" s="97"/>
      <c r="AB823" s="97"/>
      <c r="AC823" s="97"/>
      <c r="AD823" s="97"/>
      <c r="AE823" s="97"/>
      <c r="AF823" s="97"/>
      <c r="AG823" s="97"/>
      <c r="AH823" s="97"/>
      <c r="AI823" s="97"/>
      <c r="AJ823" s="97"/>
      <c r="AK823" s="97"/>
      <c r="AL823" s="97"/>
      <c r="AM823" s="97"/>
      <c r="AN823" s="97"/>
      <c r="AO823" s="97"/>
      <c r="AP823" s="97"/>
      <c r="AQ823" s="97"/>
      <c r="AR823" s="97"/>
      <c r="AS823" s="97"/>
      <c r="AT823" s="97"/>
      <c r="AU823" s="97"/>
      <c r="AV823" s="97"/>
      <c r="AW823" s="97"/>
      <c r="AX823" s="97"/>
      <c r="AY823" s="97"/>
      <c r="AZ823" s="97"/>
      <c r="BA823" s="97"/>
      <c r="BB823" s="97"/>
      <c r="BC823" s="97"/>
      <c r="BD823" s="97"/>
      <c r="BE823" s="97"/>
      <c r="BF823" s="97"/>
      <c r="BG823" s="97"/>
      <c r="BH823" s="97"/>
    </row>
    <row r="824" spans="1:60" x14ac:dyDescent="0.25">
      <c r="A824" s="106"/>
      <c r="B824" s="107"/>
      <c r="C824" s="107"/>
      <c r="D824" s="107"/>
      <c r="E824" s="108"/>
      <c r="F824" s="109" t="str">
        <f>IF(H824&lt;&gt;"",H824-Accueil!N$6+1/60/24,"")</f>
        <v/>
      </c>
      <c r="G824" s="107"/>
      <c r="H824" s="109"/>
      <c r="I824" s="110"/>
      <c r="J824" s="110"/>
      <c r="K824" s="111"/>
      <c r="L824" s="112"/>
      <c r="M824" s="113"/>
      <c r="N824" s="114"/>
      <c r="O824" s="107"/>
      <c r="P824" s="107"/>
      <c r="Q824" s="115"/>
      <c r="R824" s="116"/>
      <c r="S824" s="107"/>
      <c r="T824" s="107"/>
      <c r="U824" s="107" t="str">
        <f t="shared" si="15"/>
        <v/>
      </c>
      <c r="V824" s="107"/>
      <c r="W824" s="107"/>
      <c r="X824" s="107"/>
      <c r="Y824" s="107"/>
      <c r="Z824" s="107"/>
      <c r="AA824" s="107"/>
      <c r="AB824" s="107"/>
      <c r="AC824" s="107"/>
      <c r="AD824" s="107"/>
      <c r="AE824" s="107"/>
      <c r="AF824" s="107"/>
      <c r="AG824" s="107"/>
      <c r="AH824" s="107"/>
      <c r="AI824" s="107"/>
      <c r="AJ824" s="107"/>
      <c r="AK824" s="107"/>
      <c r="AL824" s="107"/>
      <c r="AM824" s="107"/>
      <c r="AN824" s="107"/>
      <c r="AO824" s="107"/>
      <c r="AP824" s="107"/>
      <c r="AQ824" s="107"/>
      <c r="AR824" s="107"/>
      <c r="AS824" s="107"/>
      <c r="AT824" s="107"/>
      <c r="AU824" s="107"/>
      <c r="AV824" s="107"/>
      <c r="AW824" s="107"/>
      <c r="AX824" s="107"/>
      <c r="AY824" s="107"/>
      <c r="AZ824" s="107"/>
      <c r="BA824" s="107"/>
      <c r="BB824" s="107"/>
      <c r="BC824" s="107"/>
      <c r="BD824" s="107"/>
      <c r="BE824" s="107"/>
      <c r="BF824" s="107"/>
      <c r="BG824" s="107"/>
      <c r="BH824" s="107"/>
    </row>
    <row r="825" spans="1:60" x14ac:dyDescent="0.25">
      <c r="A825" s="96"/>
      <c r="B825" s="97"/>
      <c r="C825" s="97"/>
      <c r="D825" s="97"/>
      <c r="E825" s="98"/>
      <c r="F825" s="99" t="str">
        <f>IF(H825&lt;&gt;"",H825-Accueil!N$6+1/60/24,"")</f>
        <v/>
      </c>
      <c r="G825" s="97"/>
      <c r="H825" s="99"/>
      <c r="I825" s="99"/>
      <c r="J825" s="100"/>
      <c r="K825" s="101"/>
      <c r="L825" s="102"/>
      <c r="M825" s="103"/>
      <c r="N825" s="104"/>
      <c r="O825" s="97"/>
      <c r="P825" s="97"/>
      <c r="Q825" s="97"/>
      <c r="R825" s="105"/>
      <c r="S825" s="97"/>
      <c r="T825" s="97"/>
      <c r="U825" s="97" t="str">
        <f t="shared" si="15"/>
        <v/>
      </c>
      <c r="V825" s="97"/>
      <c r="W825" s="97"/>
      <c r="X825" s="97"/>
      <c r="Y825" s="97"/>
      <c r="Z825" s="97"/>
      <c r="AA825" s="97"/>
      <c r="AB825" s="97"/>
      <c r="AC825" s="97"/>
      <c r="AD825" s="97"/>
      <c r="AE825" s="97"/>
      <c r="AF825" s="97"/>
      <c r="AG825" s="97"/>
      <c r="AH825" s="97"/>
      <c r="AI825" s="97"/>
      <c r="AJ825" s="97"/>
      <c r="AK825" s="97"/>
      <c r="AL825" s="97"/>
      <c r="AM825" s="97"/>
      <c r="AN825" s="97"/>
      <c r="AO825" s="97"/>
      <c r="AP825" s="97"/>
      <c r="AQ825" s="97"/>
      <c r="AR825" s="97"/>
      <c r="AS825" s="97"/>
      <c r="AT825" s="97"/>
      <c r="AU825" s="97"/>
      <c r="AV825" s="97"/>
      <c r="AW825" s="97"/>
      <c r="AX825" s="97"/>
      <c r="AY825" s="97"/>
      <c r="AZ825" s="97"/>
      <c r="BA825" s="97"/>
      <c r="BB825" s="97"/>
      <c r="BC825" s="97"/>
      <c r="BD825" s="97"/>
      <c r="BE825" s="97"/>
      <c r="BF825" s="97"/>
      <c r="BG825" s="97"/>
      <c r="BH825" s="97"/>
    </row>
    <row r="826" spans="1:60" x14ac:dyDescent="0.25">
      <c r="A826" s="106"/>
      <c r="B826" s="107"/>
      <c r="C826" s="107"/>
      <c r="D826" s="107"/>
      <c r="E826" s="108"/>
      <c r="F826" s="109" t="str">
        <f>IF(H826&lt;&gt;"",H826-Accueil!N$6+1/60/24,"")</f>
        <v/>
      </c>
      <c r="G826" s="107"/>
      <c r="H826" s="109"/>
      <c r="I826" s="110"/>
      <c r="J826" s="110"/>
      <c r="K826" s="111"/>
      <c r="L826" s="112"/>
      <c r="M826" s="113"/>
      <c r="N826" s="114"/>
      <c r="O826" s="107"/>
      <c r="P826" s="107"/>
      <c r="Q826" s="115"/>
      <c r="R826" s="116"/>
      <c r="S826" s="107"/>
      <c r="T826" s="107"/>
      <c r="U826" s="107" t="str">
        <f t="shared" si="15"/>
        <v/>
      </c>
      <c r="V826" s="107"/>
      <c r="W826" s="107"/>
      <c r="X826" s="107"/>
      <c r="Y826" s="107"/>
      <c r="Z826" s="107"/>
      <c r="AA826" s="107"/>
      <c r="AB826" s="107"/>
      <c r="AC826" s="107"/>
      <c r="AD826" s="107"/>
      <c r="AE826" s="107"/>
      <c r="AF826" s="107"/>
      <c r="AG826" s="107"/>
      <c r="AH826" s="107"/>
      <c r="AI826" s="107"/>
      <c r="AJ826" s="107"/>
      <c r="AK826" s="107"/>
      <c r="AL826" s="107"/>
      <c r="AM826" s="107"/>
      <c r="AN826" s="107"/>
      <c r="AO826" s="107"/>
      <c r="AP826" s="107"/>
      <c r="AQ826" s="107"/>
      <c r="AR826" s="107"/>
      <c r="AS826" s="107"/>
      <c r="AT826" s="107"/>
      <c r="AU826" s="107"/>
      <c r="AV826" s="107"/>
      <c r="AW826" s="107"/>
      <c r="AX826" s="107"/>
      <c r="AY826" s="107"/>
      <c r="AZ826" s="107"/>
      <c r="BA826" s="107"/>
      <c r="BB826" s="107"/>
      <c r="BC826" s="107"/>
      <c r="BD826" s="107"/>
      <c r="BE826" s="107"/>
      <c r="BF826" s="107"/>
      <c r="BG826" s="107"/>
      <c r="BH826" s="107"/>
    </row>
    <row r="827" spans="1:60" x14ac:dyDescent="0.25">
      <c r="A827" s="96"/>
      <c r="B827" s="97"/>
      <c r="C827" s="97"/>
      <c r="D827" s="97"/>
      <c r="E827" s="98"/>
      <c r="F827" s="99" t="str">
        <f>IF(H827&lt;&gt;"",H827-Accueil!N$6+1/60/24,"")</f>
        <v/>
      </c>
      <c r="G827" s="97"/>
      <c r="H827" s="99"/>
      <c r="I827" s="99"/>
      <c r="J827" s="100"/>
      <c r="K827" s="101"/>
      <c r="L827" s="102"/>
      <c r="M827" s="103"/>
      <c r="N827" s="104"/>
      <c r="O827" s="97"/>
      <c r="P827" s="97"/>
      <c r="Q827" s="97"/>
      <c r="R827" s="105"/>
      <c r="S827" s="97"/>
      <c r="T827" s="97"/>
      <c r="U827" s="97" t="str">
        <f t="shared" si="15"/>
        <v/>
      </c>
      <c r="V827" s="97"/>
      <c r="W827" s="97"/>
      <c r="X827" s="97"/>
      <c r="Y827" s="97"/>
      <c r="Z827" s="97"/>
      <c r="AA827" s="97"/>
      <c r="AB827" s="97"/>
      <c r="AC827" s="97"/>
      <c r="AD827" s="97"/>
      <c r="AE827" s="97"/>
      <c r="AF827" s="97"/>
      <c r="AG827" s="97"/>
      <c r="AH827" s="97"/>
      <c r="AI827" s="97"/>
      <c r="AJ827" s="97"/>
      <c r="AK827" s="97"/>
      <c r="AL827" s="97"/>
      <c r="AM827" s="97"/>
      <c r="AN827" s="97"/>
      <c r="AO827" s="97"/>
      <c r="AP827" s="97"/>
      <c r="AQ827" s="97"/>
      <c r="AR827" s="97"/>
      <c r="AS827" s="97"/>
      <c r="AT827" s="97"/>
      <c r="AU827" s="97"/>
      <c r="AV827" s="97"/>
      <c r="AW827" s="97"/>
      <c r="AX827" s="97"/>
      <c r="AY827" s="97"/>
      <c r="AZ827" s="97"/>
      <c r="BA827" s="97"/>
      <c r="BB827" s="97"/>
      <c r="BC827" s="97"/>
      <c r="BD827" s="97"/>
      <c r="BE827" s="97"/>
      <c r="BF827" s="97"/>
      <c r="BG827" s="97"/>
      <c r="BH827" s="97"/>
    </row>
    <row r="828" spans="1:60" x14ac:dyDescent="0.25">
      <c r="A828" s="106"/>
      <c r="B828" s="107"/>
      <c r="C828" s="107"/>
      <c r="D828" s="107"/>
      <c r="E828" s="108"/>
      <c r="F828" s="109" t="str">
        <f>IF(H828&lt;&gt;"",H828-Accueil!N$6+1/60/24,"")</f>
        <v/>
      </c>
      <c r="G828" s="107"/>
      <c r="H828" s="109"/>
      <c r="I828" s="110"/>
      <c r="J828" s="110"/>
      <c r="K828" s="111"/>
      <c r="L828" s="112"/>
      <c r="M828" s="113"/>
      <c r="N828" s="114"/>
      <c r="O828" s="107"/>
      <c r="P828" s="107"/>
      <c r="Q828" s="115"/>
      <c r="R828" s="116"/>
      <c r="S828" s="107"/>
      <c r="T828" s="107"/>
      <c r="U828" s="107" t="str">
        <f t="shared" si="15"/>
        <v/>
      </c>
      <c r="V828" s="107"/>
      <c r="W828" s="107"/>
      <c r="X828" s="107"/>
      <c r="Y828" s="107"/>
      <c r="Z828" s="107"/>
      <c r="AA828" s="107"/>
      <c r="AB828" s="107"/>
      <c r="AC828" s="107"/>
      <c r="AD828" s="107"/>
      <c r="AE828" s="107"/>
      <c r="AF828" s="107"/>
      <c r="AG828" s="107"/>
      <c r="AH828" s="107"/>
      <c r="AI828" s="107"/>
      <c r="AJ828" s="107"/>
      <c r="AK828" s="107"/>
      <c r="AL828" s="107"/>
      <c r="AM828" s="107"/>
      <c r="AN828" s="107"/>
      <c r="AO828" s="107"/>
      <c r="AP828" s="107"/>
      <c r="AQ828" s="107"/>
      <c r="AR828" s="107"/>
      <c r="AS828" s="107"/>
      <c r="AT828" s="107"/>
      <c r="AU828" s="107"/>
      <c r="AV828" s="107"/>
      <c r="AW828" s="107"/>
      <c r="AX828" s="107"/>
      <c r="AY828" s="107"/>
      <c r="AZ828" s="107"/>
      <c r="BA828" s="107"/>
      <c r="BB828" s="107"/>
      <c r="BC828" s="107"/>
      <c r="BD828" s="107"/>
      <c r="BE828" s="107"/>
      <c r="BF828" s="107"/>
      <c r="BG828" s="107"/>
      <c r="BH828" s="107"/>
    </row>
    <row r="829" spans="1:60" x14ac:dyDescent="0.25">
      <c r="A829" s="96"/>
      <c r="B829" s="97"/>
      <c r="C829" s="97"/>
      <c r="D829" s="97"/>
      <c r="E829" s="98"/>
      <c r="F829" s="99" t="str">
        <f>IF(H829&lt;&gt;"",H829-Accueil!N$6+1/60/24,"")</f>
        <v/>
      </c>
      <c r="G829" s="97"/>
      <c r="H829" s="99"/>
      <c r="I829" s="99"/>
      <c r="J829" s="100"/>
      <c r="K829" s="101"/>
      <c r="L829" s="102"/>
      <c r="M829" s="103"/>
      <c r="N829" s="104"/>
      <c r="O829" s="97"/>
      <c r="P829" s="97"/>
      <c r="Q829" s="97"/>
      <c r="R829" s="105"/>
      <c r="S829" s="97"/>
      <c r="T829" s="97"/>
      <c r="U829" s="97" t="str">
        <f t="shared" si="15"/>
        <v/>
      </c>
      <c r="V829" s="97"/>
      <c r="W829" s="97"/>
      <c r="X829" s="97"/>
      <c r="Y829" s="97"/>
      <c r="Z829" s="97"/>
      <c r="AA829" s="97"/>
      <c r="AB829" s="97"/>
      <c r="AC829" s="97"/>
      <c r="AD829" s="97"/>
      <c r="AE829" s="97"/>
      <c r="AF829" s="97"/>
      <c r="AG829" s="97"/>
      <c r="AH829" s="97"/>
      <c r="AI829" s="97"/>
      <c r="AJ829" s="97"/>
      <c r="AK829" s="97"/>
      <c r="AL829" s="97"/>
      <c r="AM829" s="97"/>
      <c r="AN829" s="97"/>
      <c r="AO829" s="97"/>
      <c r="AP829" s="97"/>
      <c r="AQ829" s="97"/>
      <c r="AR829" s="97"/>
      <c r="AS829" s="97"/>
      <c r="AT829" s="97"/>
      <c r="AU829" s="97"/>
      <c r="AV829" s="97"/>
      <c r="AW829" s="97"/>
      <c r="AX829" s="97"/>
      <c r="AY829" s="97"/>
      <c r="AZ829" s="97"/>
      <c r="BA829" s="97"/>
      <c r="BB829" s="97"/>
      <c r="BC829" s="97"/>
      <c r="BD829" s="97"/>
      <c r="BE829" s="97"/>
      <c r="BF829" s="97"/>
      <c r="BG829" s="97"/>
      <c r="BH829" s="97"/>
    </row>
    <row r="830" spans="1:60" x14ac:dyDescent="0.25">
      <c r="A830" s="106"/>
      <c r="B830" s="107"/>
      <c r="C830" s="107"/>
      <c r="D830" s="107"/>
      <c r="E830" s="108"/>
      <c r="F830" s="109" t="str">
        <f>IF(H830&lt;&gt;"",H830-Accueil!N$6+1/60/24,"")</f>
        <v/>
      </c>
      <c r="G830" s="107"/>
      <c r="H830" s="109"/>
      <c r="I830" s="110"/>
      <c r="J830" s="110"/>
      <c r="K830" s="111"/>
      <c r="L830" s="112"/>
      <c r="M830" s="113"/>
      <c r="N830" s="114"/>
      <c r="O830" s="107"/>
      <c r="P830" s="107"/>
      <c r="Q830" s="115"/>
      <c r="R830" s="116"/>
      <c r="S830" s="107"/>
      <c r="T830" s="107"/>
      <c r="U830" s="107" t="str">
        <f t="shared" si="15"/>
        <v/>
      </c>
      <c r="V830" s="107"/>
      <c r="W830" s="107"/>
      <c r="X830" s="107"/>
      <c r="Y830" s="107"/>
      <c r="Z830" s="107"/>
      <c r="AA830" s="107"/>
      <c r="AB830" s="107"/>
      <c r="AC830" s="107"/>
      <c r="AD830" s="107"/>
      <c r="AE830" s="107"/>
      <c r="AF830" s="107"/>
      <c r="AG830" s="107"/>
      <c r="AH830" s="107"/>
      <c r="AI830" s="107"/>
      <c r="AJ830" s="107"/>
      <c r="AK830" s="107"/>
      <c r="AL830" s="107"/>
      <c r="AM830" s="107"/>
      <c r="AN830" s="107"/>
      <c r="AO830" s="107"/>
      <c r="AP830" s="107"/>
      <c r="AQ830" s="107"/>
      <c r="AR830" s="107"/>
      <c r="AS830" s="107"/>
      <c r="AT830" s="107"/>
      <c r="AU830" s="107"/>
      <c r="AV830" s="107"/>
      <c r="AW830" s="107"/>
      <c r="AX830" s="107"/>
      <c r="AY830" s="107"/>
      <c r="AZ830" s="107"/>
      <c r="BA830" s="107"/>
      <c r="BB830" s="107"/>
      <c r="BC830" s="107"/>
      <c r="BD830" s="107"/>
      <c r="BE830" s="107"/>
      <c r="BF830" s="107"/>
      <c r="BG830" s="107"/>
      <c r="BH830" s="107"/>
    </row>
    <row r="831" spans="1:60" x14ac:dyDescent="0.25">
      <c r="A831" s="96"/>
      <c r="B831" s="97"/>
      <c r="C831" s="97"/>
      <c r="D831" s="97"/>
      <c r="E831" s="98"/>
      <c r="F831" s="99" t="str">
        <f>IF(H831&lt;&gt;"",H831-Accueil!N$6+1/60/24,"")</f>
        <v/>
      </c>
      <c r="G831" s="97"/>
      <c r="H831" s="99"/>
      <c r="I831" s="99"/>
      <c r="J831" s="100"/>
      <c r="K831" s="101"/>
      <c r="L831" s="102"/>
      <c r="M831" s="103"/>
      <c r="N831" s="104"/>
      <c r="O831" s="97"/>
      <c r="P831" s="97"/>
      <c r="Q831" s="97"/>
      <c r="R831" s="105"/>
      <c r="S831" s="97"/>
      <c r="T831" s="97"/>
      <c r="U831" s="97" t="str">
        <f t="shared" si="15"/>
        <v/>
      </c>
      <c r="V831" s="97"/>
      <c r="W831" s="97"/>
      <c r="X831" s="97"/>
      <c r="Y831" s="97"/>
      <c r="Z831" s="97"/>
      <c r="AA831" s="97"/>
      <c r="AB831" s="97"/>
      <c r="AC831" s="97"/>
      <c r="AD831" s="97"/>
      <c r="AE831" s="97"/>
      <c r="AF831" s="97"/>
      <c r="AG831" s="97"/>
      <c r="AH831" s="97"/>
      <c r="AI831" s="97"/>
      <c r="AJ831" s="97"/>
      <c r="AK831" s="97"/>
      <c r="AL831" s="97"/>
      <c r="AM831" s="97"/>
      <c r="AN831" s="97"/>
      <c r="AO831" s="97"/>
      <c r="AP831" s="97"/>
      <c r="AQ831" s="97"/>
      <c r="AR831" s="97"/>
      <c r="AS831" s="97"/>
      <c r="AT831" s="97"/>
      <c r="AU831" s="97"/>
      <c r="AV831" s="97"/>
      <c r="AW831" s="97"/>
      <c r="AX831" s="97"/>
      <c r="AY831" s="97"/>
      <c r="AZ831" s="97"/>
      <c r="BA831" s="97"/>
      <c r="BB831" s="97"/>
      <c r="BC831" s="97"/>
      <c r="BD831" s="97"/>
      <c r="BE831" s="97"/>
      <c r="BF831" s="97"/>
      <c r="BG831" s="97"/>
      <c r="BH831" s="97"/>
    </row>
    <row r="832" spans="1:60" x14ac:dyDescent="0.25">
      <c r="A832" s="106"/>
      <c r="B832" s="107"/>
      <c r="C832" s="107"/>
      <c r="D832" s="107"/>
      <c r="E832" s="108"/>
      <c r="F832" s="109" t="str">
        <f>IF(H832&lt;&gt;"",H832-Accueil!N$6+1/60/24,"")</f>
        <v/>
      </c>
      <c r="G832" s="107"/>
      <c r="H832" s="109"/>
      <c r="I832" s="110"/>
      <c r="J832" s="110"/>
      <c r="K832" s="111"/>
      <c r="L832" s="112"/>
      <c r="M832" s="113"/>
      <c r="N832" s="114"/>
      <c r="O832" s="107"/>
      <c r="P832" s="107"/>
      <c r="Q832" s="115"/>
      <c r="R832" s="116"/>
      <c r="S832" s="107"/>
      <c r="T832" s="107"/>
      <c r="U832" s="107" t="str">
        <f t="shared" si="15"/>
        <v/>
      </c>
      <c r="V832" s="107"/>
      <c r="W832" s="107"/>
      <c r="X832" s="107"/>
      <c r="Y832" s="107"/>
      <c r="Z832" s="107"/>
      <c r="AA832" s="107"/>
      <c r="AB832" s="107"/>
      <c r="AC832" s="107"/>
      <c r="AD832" s="107"/>
      <c r="AE832" s="107"/>
      <c r="AF832" s="107"/>
      <c r="AG832" s="107"/>
      <c r="AH832" s="107"/>
      <c r="AI832" s="107"/>
      <c r="AJ832" s="107"/>
      <c r="AK832" s="107"/>
      <c r="AL832" s="107"/>
      <c r="AM832" s="107"/>
      <c r="AN832" s="107"/>
      <c r="AO832" s="107"/>
      <c r="AP832" s="107"/>
      <c r="AQ832" s="107"/>
      <c r="AR832" s="107"/>
      <c r="AS832" s="107"/>
      <c r="AT832" s="107"/>
      <c r="AU832" s="107"/>
      <c r="AV832" s="107"/>
      <c r="AW832" s="107"/>
      <c r="AX832" s="107"/>
      <c r="AY832" s="107"/>
      <c r="AZ832" s="107"/>
      <c r="BA832" s="107"/>
      <c r="BB832" s="107"/>
      <c r="BC832" s="107"/>
      <c r="BD832" s="107"/>
      <c r="BE832" s="107"/>
      <c r="BF832" s="107"/>
      <c r="BG832" s="107"/>
      <c r="BH832" s="107"/>
    </row>
    <row r="833" spans="1:60" x14ac:dyDescent="0.25">
      <c r="A833" s="96"/>
      <c r="B833" s="97"/>
      <c r="C833" s="97"/>
      <c r="D833" s="97"/>
      <c r="E833" s="98"/>
      <c r="F833" s="99" t="str">
        <f>IF(H833&lt;&gt;"",H833-Accueil!N$6+1/60/24,"")</f>
        <v/>
      </c>
      <c r="G833" s="97"/>
      <c r="H833" s="99"/>
      <c r="I833" s="99"/>
      <c r="J833" s="100"/>
      <c r="K833" s="101"/>
      <c r="L833" s="102"/>
      <c r="M833" s="103"/>
      <c r="N833" s="104"/>
      <c r="O833" s="97"/>
      <c r="P833" s="97"/>
      <c r="Q833" s="97"/>
      <c r="R833" s="105"/>
      <c r="S833" s="97"/>
      <c r="T833" s="97"/>
      <c r="U833" s="97" t="str">
        <f t="shared" si="15"/>
        <v/>
      </c>
      <c r="V833" s="97"/>
      <c r="W833" s="97"/>
      <c r="X833" s="97"/>
      <c r="Y833" s="97"/>
      <c r="Z833" s="97"/>
      <c r="AA833" s="97"/>
      <c r="AB833" s="97"/>
      <c r="AC833" s="97"/>
      <c r="AD833" s="97"/>
      <c r="AE833" s="97"/>
      <c r="AF833" s="97"/>
      <c r="AG833" s="97"/>
      <c r="AH833" s="97"/>
      <c r="AI833" s="97"/>
      <c r="AJ833" s="97"/>
      <c r="AK833" s="97"/>
      <c r="AL833" s="97"/>
      <c r="AM833" s="97"/>
      <c r="AN833" s="97"/>
      <c r="AO833" s="97"/>
      <c r="AP833" s="97"/>
      <c r="AQ833" s="97"/>
      <c r="AR833" s="97"/>
      <c r="AS833" s="97"/>
      <c r="AT833" s="97"/>
      <c r="AU833" s="97"/>
      <c r="AV833" s="97"/>
      <c r="AW833" s="97"/>
      <c r="AX833" s="97"/>
      <c r="AY833" s="97"/>
      <c r="AZ833" s="97"/>
      <c r="BA833" s="97"/>
      <c r="BB833" s="97"/>
      <c r="BC833" s="97"/>
      <c r="BD833" s="97"/>
      <c r="BE833" s="97"/>
      <c r="BF833" s="97"/>
      <c r="BG833" s="97"/>
      <c r="BH833" s="97"/>
    </row>
    <row r="834" spans="1:60" x14ac:dyDescent="0.25">
      <c r="A834" s="106"/>
      <c r="B834" s="107"/>
      <c r="C834" s="107"/>
      <c r="D834" s="107"/>
      <c r="E834" s="108"/>
      <c r="F834" s="109" t="str">
        <f>IF(H834&lt;&gt;"",H834-Accueil!N$6+1/60/24,"")</f>
        <v/>
      </c>
      <c r="G834" s="107"/>
      <c r="H834" s="109"/>
      <c r="I834" s="110"/>
      <c r="J834" s="110"/>
      <c r="K834" s="111"/>
      <c r="L834" s="112"/>
      <c r="M834" s="113"/>
      <c r="N834" s="114"/>
      <c r="O834" s="107"/>
      <c r="P834" s="107"/>
      <c r="Q834" s="115"/>
      <c r="R834" s="116"/>
      <c r="S834" s="107"/>
      <c r="T834" s="107"/>
      <c r="U834" s="107" t="str">
        <f t="shared" si="15"/>
        <v/>
      </c>
      <c r="V834" s="107"/>
      <c r="W834" s="107"/>
      <c r="X834" s="107"/>
      <c r="Y834" s="107"/>
      <c r="Z834" s="107"/>
      <c r="AA834" s="107"/>
      <c r="AB834" s="107"/>
      <c r="AC834" s="107"/>
      <c r="AD834" s="107"/>
      <c r="AE834" s="107"/>
      <c r="AF834" s="107"/>
      <c r="AG834" s="107"/>
      <c r="AH834" s="107"/>
      <c r="AI834" s="107"/>
      <c r="AJ834" s="107"/>
      <c r="AK834" s="107"/>
      <c r="AL834" s="107"/>
      <c r="AM834" s="107"/>
      <c r="AN834" s="107"/>
      <c r="AO834" s="107"/>
      <c r="AP834" s="107"/>
      <c r="AQ834" s="107"/>
      <c r="AR834" s="107"/>
      <c r="AS834" s="107"/>
      <c r="AT834" s="107"/>
      <c r="AU834" s="107"/>
      <c r="AV834" s="107"/>
      <c r="AW834" s="107"/>
      <c r="AX834" s="107"/>
      <c r="AY834" s="107"/>
      <c r="AZ834" s="107"/>
      <c r="BA834" s="107"/>
      <c r="BB834" s="107"/>
      <c r="BC834" s="107"/>
      <c r="BD834" s="107"/>
      <c r="BE834" s="107"/>
      <c r="BF834" s="107"/>
      <c r="BG834" s="107"/>
      <c r="BH834" s="107"/>
    </row>
    <row r="835" spans="1:60" x14ac:dyDescent="0.25">
      <c r="A835" s="96"/>
      <c r="B835" s="97"/>
      <c r="C835" s="97"/>
      <c r="D835" s="97"/>
      <c r="E835" s="98"/>
      <c r="F835" s="99" t="str">
        <f>IF(H835&lt;&gt;"",H835-Accueil!N$6+1/60/24,"")</f>
        <v/>
      </c>
      <c r="G835" s="97"/>
      <c r="H835" s="99"/>
      <c r="I835" s="99"/>
      <c r="J835" s="100"/>
      <c r="K835" s="101"/>
      <c r="L835" s="102"/>
      <c r="M835" s="103"/>
      <c r="N835" s="104"/>
      <c r="O835" s="97"/>
      <c r="P835" s="97"/>
      <c r="Q835" s="97"/>
      <c r="R835" s="105"/>
      <c r="S835" s="97"/>
      <c r="T835" s="97"/>
      <c r="U835" s="97" t="str">
        <f t="shared" ref="U835:U898" si="16">IF(B835="","",IF(I835="",0,1))</f>
        <v/>
      </c>
      <c r="V835" s="97"/>
      <c r="W835" s="97"/>
      <c r="X835" s="97"/>
      <c r="Y835" s="97"/>
      <c r="Z835" s="97"/>
      <c r="AA835" s="97"/>
      <c r="AB835" s="97"/>
      <c r="AC835" s="97"/>
      <c r="AD835" s="97"/>
      <c r="AE835" s="97"/>
      <c r="AF835" s="97"/>
      <c r="AG835" s="97"/>
      <c r="AH835" s="97"/>
      <c r="AI835" s="97"/>
      <c r="AJ835" s="97"/>
      <c r="AK835" s="97"/>
      <c r="AL835" s="97"/>
      <c r="AM835" s="97"/>
      <c r="AN835" s="97"/>
      <c r="AO835" s="97"/>
      <c r="AP835" s="97"/>
      <c r="AQ835" s="97"/>
      <c r="AR835" s="97"/>
      <c r="AS835" s="97"/>
      <c r="AT835" s="97"/>
      <c r="AU835" s="97"/>
      <c r="AV835" s="97"/>
      <c r="AW835" s="97"/>
      <c r="AX835" s="97"/>
      <c r="AY835" s="97"/>
      <c r="AZ835" s="97"/>
      <c r="BA835" s="97"/>
      <c r="BB835" s="97"/>
      <c r="BC835" s="97"/>
      <c r="BD835" s="97"/>
      <c r="BE835" s="97"/>
      <c r="BF835" s="97"/>
      <c r="BG835" s="97"/>
      <c r="BH835" s="97"/>
    </row>
    <row r="836" spans="1:60" x14ac:dyDescent="0.25">
      <c r="A836" s="106"/>
      <c r="B836" s="107"/>
      <c r="C836" s="107"/>
      <c r="D836" s="107"/>
      <c r="E836" s="108"/>
      <c r="F836" s="109" t="str">
        <f>IF(H836&lt;&gt;"",H836-Accueil!N$6+1/60/24,"")</f>
        <v/>
      </c>
      <c r="G836" s="107"/>
      <c r="H836" s="109"/>
      <c r="I836" s="110"/>
      <c r="J836" s="110"/>
      <c r="K836" s="111"/>
      <c r="L836" s="112"/>
      <c r="M836" s="113"/>
      <c r="N836" s="114"/>
      <c r="O836" s="107"/>
      <c r="P836" s="107"/>
      <c r="Q836" s="115"/>
      <c r="R836" s="116"/>
      <c r="S836" s="107"/>
      <c r="T836" s="107"/>
      <c r="U836" s="107" t="str">
        <f t="shared" si="16"/>
        <v/>
      </c>
      <c r="V836" s="107"/>
      <c r="W836" s="107"/>
      <c r="X836" s="107"/>
      <c r="Y836" s="107"/>
      <c r="Z836" s="107"/>
      <c r="AA836" s="107"/>
      <c r="AB836" s="107"/>
      <c r="AC836" s="107"/>
      <c r="AD836" s="107"/>
      <c r="AE836" s="107"/>
      <c r="AF836" s="107"/>
      <c r="AG836" s="107"/>
      <c r="AH836" s="107"/>
      <c r="AI836" s="107"/>
      <c r="AJ836" s="107"/>
      <c r="AK836" s="107"/>
      <c r="AL836" s="107"/>
      <c r="AM836" s="107"/>
      <c r="AN836" s="107"/>
      <c r="AO836" s="107"/>
      <c r="AP836" s="107"/>
      <c r="AQ836" s="107"/>
      <c r="AR836" s="107"/>
      <c r="AS836" s="107"/>
      <c r="AT836" s="107"/>
      <c r="AU836" s="107"/>
      <c r="AV836" s="107"/>
      <c r="AW836" s="107"/>
      <c r="AX836" s="107"/>
      <c r="AY836" s="107"/>
      <c r="AZ836" s="107"/>
      <c r="BA836" s="107"/>
      <c r="BB836" s="107"/>
      <c r="BC836" s="107"/>
      <c r="BD836" s="107"/>
      <c r="BE836" s="107"/>
      <c r="BF836" s="107"/>
      <c r="BG836" s="107"/>
      <c r="BH836" s="107"/>
    </row>
    <row r="837" spans="1:60" x14ac:dyDescent="0.25">
      <c r="A837" s="96"/>
      <c r="B837" s="97"/>
      <c r="C837" s="97"/>
      <c r="D837" s="97"/>
      <c r="E837" s="98"/>
      <c r="F837" s="99" t="str">
        <f>IF(H837&lt;&gt;"",H837-Accueil!N$6+1/60/24,"")</f>
        <v/>
      </c>
      <c r="G837" s="97"/>
      <c r="H837" s="99"/>
      <c r="I837" s="99"/>
      <c r="J837" s="100"/>
      <c r="K837" s="101"/>
      <c r="L837" s="102"/>
      <c r="M837" s="103"/>
      <c r="N837" s="104"/>
      <c r="O837" s="97"/>
      <c r="P837" s="97"/>
      <c r="Q837" s="97"/>
      <c r="R837" s="105"/>
      <c r="S837" s="97"/>
      <c r="T837" s="97"/>
      <c r="U837" s="97" t="str">
        <f t="shared" si="16"/>
        <v/>
      </c>
      <c r="V837" s="97"/>
      <c r="W837" s="97"/>
      <c r="X837" s="97"/>
      <c r="Y837" s="97"/>
      <c r="Z837" s="97"/>
      <c r="AA837" s="97"/>
      <c r="AB837" s="97"/>
      <c r="AC837" s="97"/>
      <c r="AD837" s="97"/>
      <c r="AE837" s="97"/>
      <c r="AF837" s="97"/>
      <c r="AG837" s="97"/>
      <c r="AH837" s="97"/>
      <c r="AI837" s="97"/>
      <c r="AJ837" s="97"/>
      <c r="AK837" s="97"/>
      <c r="AL837" s="97"/>
      <c r="AM837" s="97"/>
      <c r="AN837" s="97"/>
      <c r="AO837" s="97"/>
      <c r="AP837" s="97"/>
      <c r="AQ837" s="97"/>
      <c r="AR837" s="97"/>
      <c r="AS837" s="97"/>
      <c r="AT837" s="97"/>
      <c r="AU837" s="97"/>
      <c r="AV837" s="97"/>
      <c r="AW837" s="97"/>
      <c r="AX837" s="97"/>
      <c r="AY837" s="97"/>
      <c r="AZ837" s="97"/>
      <c r="BA837" s="97"/>
      <c r="BB837" s="97"/>
      <c r="BC837" s="97"/>
      <c r="BD837" s="97"/>
      <c r="BE837" s="97"/>
      <c r="BF837" s="97"/>
      <c r="BG837" s="97"/>
      <c r="BH837" s="97"/>
    </row>
    <row r="838" spans="1:60" x14ac:dyDescent="0.25">
      <c r="A838" s="106"/>
      <c r="B838" s="107"/>
      <c r="C838" s="107"/>
      <c r="D838" s="107"/>
      <c r="E838" s="108"/>
      <c r="F838" s="109" t="str">
        <f>IF(H838&lt;&gt;"",H838-Accueil!N$6+1/60/24,"")</f>
        <v/>
      </c>
      <c r="G838" s="107"/>
      <c r="H838" s="109"/>
      <c r="I838" s="110"/>
      <c r="J838" s="110"/>
      <c r="K838" s="111"/>
      <c r="L838" s="112"/>
      <c r="M838" s="113"/>
      <c r="N838" s="114"/>
      <c r="O838" s="107"/>
      <c r="P838" s="107"/>
      <c r="Q838" s="115"/>
      <c r="R838" s="116"/>
      <c r="S838" s="107"/>
      <c r="T838" s="107"/>
      <c r="U838" s="107" t="str">
        <f t="shared" si="16"/>
        <v/>
      </c>
      <c r="V838" s="107"/>
      <c r="W838" s="107"/>
      <c r="X838" s="107"/>
      <c r="Y838" s="107"/>
      <c r="Z838" s="107"/>
      <c r="AA838" s="107"/>
      <c r="AB838" s="107"/>
      <c r="AC838" s="107"/>
      <c r="AD838" s="107"/>
      <c r="AE838" s="107"/>
      <c r="AF838" s="107"/>
      <c r="AG838" s="107"/>
      <c r="AH838" s="107"/>
      <c r="AI838" s="107"/>
      <c r="AJ838" s="107"/>
      <c r="AK838" s="107"/>
      <c r="AL838" s="107"/>
      <c r="AM838" s="107"/>
      <c r="AN838" s="107"/>
      <c r="AO838" s="107"/>
      <c r="AP838" s="107"/>
      <c r="AQ838" s="107"/>
      <c r="AR838" s="107"/>
      <c r="AS838" s="107"/>
      <c r="AT838" s="107"/>
      <c r="AU838" s="107"/>
      <c r="AV838" s="107"/>
      <c r="AW838" s="107"/>
      <c r="AX838" s="107"/>
      <c r="AY838" s="107"/>
      <c r="AZ838" s="107"/>
      <c r="BA838" s="107"/>
      <c r="BB838" s="107"/>
      <c r="BC838" s="107"/>
      <c r="BD838" s="107"/>
      <c r="BE838" s="107"/>
      <c r="BF838" s="107"/>
      <c r="BG838" s="107"/>
      <c r="BH838" s="107"/>
    </row>
    <row r="839" spans="1:60" x14ac:dyDescent="0.25">
      <c r="A839" s="96"/>
      <c r="B839" s="97"/>
      <c r="C839" s="97"/>
      <c r="D839" s="97"/>
      <c r="E839" s="98"/>
      <c r="F839" s="99" t="str">
        <f>IF(H839&lt;&gt;"",H839-Accueil!N$6+1/60/24,"")</f>
        <v/>
      </c>
      <c r="G839" s="97"/>
      <c r="H839" s="99"/>
      <c r="I839" s="99"/>
      <c r="J839" s="100"/>
      <c r="K839" s="101"/>
      <c r="L839" s="102"/>
      <c r="M839" s="103"/>
      <c r="N839" s="104"/>
      <c r="O839" s="97"/>
      <c r="P839" s="97"/>
      <c r="Q839" s="97"/>
      <c r="R839" s="105"/>
      <c r="S839" s="97"/>
      <c r="T839" s="97"/>
      <c r="U839" s="97" t="str">
        <f t="shared" si="16"/>
        <v/>
      </c>
      <c r="V839" s="97"/>
      <c r="W839" s="97"/>
      <c r="X839" s="97"/>
      <c r="Y839" s="97"/>
      <c r="Z839" s="97"/>
      <c r="AA839" s="97"/>
      <c r="AB839" s="97"/>
      <c r="AC839" s="97"/>
      <c r="AD839" s="97"/>
      <c r="AE839" s="97"/>
      <c r="AF839" s="97"/>
      <c r="AG839" s="97"/>
      <c r="AH839" s="97"/>
      <c r="AI839" s="97"/>
      <c r="AJ839" s="97"/>
      <c r="AK839" s="97"/>
      <c r="AL839" s="97"/>
      <c r="AM839" s="97"/>
      <c r="AN839" s="97"/>
      <c r="AO839" s="97"/>
      <c r="AP839" s="97"/>
      <c r="AQ839" s="97"/>
      <c r="AR839" s="97"/>
      <c r="AS839" s="97"/>
      <c r="AT839" s="97"/>
      <c r="AU839" s="97"/>
      <c r="AV839" s="97"/>
      <c r="AW839" s="97"/>
      <c r="AX839" s="97"/>
      <c r="AY839" s="97"/>
      <c r="AZ839" s="97"/>
      <c r="BA839" s="97"/>
      <c r="BB839" s="97"/>
      <c r="BC839" s="97"/>
      <c r="BD839" s="97"/>
      <c r="BE839" s="97"/>
      <c r="BF839" s="97"/>
      <c r="BG839" s="97"/>
      <c r="BH839" s="97"/>
    </row>
    <row r="840" spans="1:60" x14ac:dyDescent="0.25">
      <c r="A840" s="106"/>
      <c r="B840" s="107"/>
      <c r="C840" s="107"/>
      <c r="D840" s="107"/>
      <c r="E840" s="108"/>
      <c r="F840" s="109" t="str">
        <f>IF(H840&lt;&gt;"",H840-Accueil!N$6+1/60/24,"")</f>
        <v/>
      </c>
      <c r="G840" s="107"/>
      <c r="H840" s="109"/>
      <c r="I840" s="110"/>
      <c r="J840" s="110"/>
      <c r="K840" s="111"/>
      <c r="L840" s="112"/>
      <c r="M840" s="113"/>
      <c r="N840" s="114"/>
      <c r="O840" s="107"/>
      <c r="P840" s="107"/>
      <c r="Q840" s="115"/>
      <c r="R840" s="116"/>
      <c r="S840" s="107"/>
      <c r="T840" s="107"/>
      <c r="U840" s="107" t="str">
        <f t="shared" si="16"/>
        <v/>
      </c>
      <c r="V840" s="107"/>
      <c r="W840" s="107"/>
      <c r="X840" s="107"/>
      <c r="Y840" s="107"/>
      <c r="Z840" s="107"/>
      <c r="AA840" s="107"/>
      <c r="AB840" s="107"/>
      <c r="AC840" s="107"/>
      <c r="AD840" s="107"/>
      <c r="AE840" s="107"/>
      <c r="AF840" s="107"/>
      <c r="AG840" s="107"/>
      <c r="AH840" s="107"/>
      <c r="AI840" s="107"/>
      <c r="AJ840" s="107"/>
      <c r="AK840" s="107"/>
      <c r="AL840" s="107"/>
      <c r="AM840" s="107"/>
      <c r="AN840" s="107"/>
      <c r="AO840" s="107"/>
      <c r="AP840" s="107"/>
      <c r="AQ840" s="107"/>
      <c r="AR840" s="107"/>
      <c r="AS840" s="107"/>
      <c r="AT840" s="107"/>
      <c r="AU840" s="107"/>
      <c r="AV840" s="107"/>
      <c r="AW840" s="107"/>
      <c r="AX840" s="107"/>
      <c r="AY840" s="107"/>
      <c r="AZ840" s="107"/>
      <c r="BA840" s="107"/>
      <c r="BB840" s="107"/>
      <c r="BC840" s="107"/>
      <c r="BD840" s="107"/>
      <c r="BE840" s="107"/>
      <c r="BF840" s="107"/>
      <c r="BG840" s="107"/>
      <c r="BH840" s="107"/>
    </row>
    <row r="841" spans="1:60" x14ac:dyDescent="0.25">
      <c r="A841" s="96"/>
      <c r="B841" s="97"/>
      <c r="C841" s="97"/>
      <c r="D841" s="97"/>
      <c r="E841" s="98"/>
      <c r="F841" s="99" t="str">
        <f>IF(H841&lt;&gt;"",H841-Accueil!N$6+1/60/24,"")</f>
        <v/>
      </c>
      <c r="G841" s="97"/>
      <c r="H841" s="99"/>
      <c r="I841" s="99"/>
      <c r="J841" s="100"/>
      <c r="K841" s="101"/>
      <c r="L841" s="102"/>
      <c r="M841" s="103"/>
      <c r="N841" s="104"/>
      <c r="O841" s="97"/>
      <c r="P841" s="97"/>
      <c r="Q841" s="97"/>
      <c r="R841" s="105"/>
      <c r="S841" s="97"/>
      <c r="T841" s="97"/>
      <c r="U841" s="97" t="str">
        <f t="shared" si="16"/>
        <v/>
      </c>
      <c r="V841" s="97"/>
      <c r="W841" s="97"/>
      <c r="X841" s="97"/>
      <c r="Y841" s="97"/>
      <c r="Z841" s="97"/>
      <c r="AA841" s="97"/>
      <c r="AB841" s="97"/>
      <c r="AC841" s="97"/>
      <c r="AD841" s="97"/>
      <c r="AE841" s="97"/>
      <c r="AF841" s="97"/>
      <c r="AG841" s="97"/>
      <c r="AH841" s="97"/>
      <c r="AI841" s="97"/>
      <c r="AJ841" s="97"/>
      <c r="AK841" s="97"/>
      <c r="AL841" s="97"/>
      <c r="AM841" s="97"/>
      <c r="AN841" s="97"/>
      <c r="AO841" s="97"/>
      <c r="AP841" s="97"/>
      <c r="AQ841" s="97"/>
      <c r="AR841" s="97"/>
      <c r="AS841" s="97"/>
      <c r="AT841" s="97"/>
      <c r="AU841" s="97"/>
      <c r="AV841" s="97"/>
      <c r="AW841" s="97"/>
      <c r="AX841" s="97"/>
      <c r="AY841" s="97"/>
      <c r="AZ841" s="97"/>
      <c r="BA841" s="97"/>
      <c r="BB841" s="97"/>
      <c r="BC841" s="97"/>
      <c r="BD841" s="97"/>
      <c r="BE841" s="97"/>
      <c r="BF841" s="97"/>
      <c r="BG841" s="97"/>
      <c r="BH841" s="97"/>
    </row>
    <row r="842" spans="1:60" x14ac:dyDescent="0.25">
      <c r="A842" s="106"/>
      <c r="B842" s="107"/>
      <c r="C842" s="107"/>
      <c r="D842" s="107"/>
      <c r="E842" s="108"/>
      <c r="F842" s="109" t="str">
        <f>IF(H842&lt;&gt;"",H842-Accueil!N$6+1/60/24,"")</f>
        <v/>
      </c>
      <c r="G842" s="107"/>
      <c r="H842" s="109"/>
      <c r="I842" s="110"/>
      <c r="J842" s="110"/>
      <c r="K842" s="111"/>
      <c r="L842" s="112"/>
      <c r="M842" s="113"/>
      <c r="N842" s="114"/>
      <c r="O842" s="107"/>
      <c r="P842" s="107"/>
      <c r="Q842" s="115"/>
      <c r="R842" s="116"/>
      <c r="S842" s="107"/>
      <c r="T842" s="107"/>
      <c r="U842" s="107" t="str">
        <f t="shared" si="16"/>
        <v/>
      </c>
      <c r="V842" s="107"/>
      <c r="W842" s="107"/>
      <c r="X842" s="107"/>
      <c r="Y842" s="107"/>
      <c r="Z842" s="107"/>
      <c r="AA842" s="107"/>
      <c r="AB842" s="107"/>
      <c r="AC842" s="107"/>
      <c r="AD842" s="107"/>
      <c r="AE842" s="107"/>
      <c r="AF842" s="107"/>
      <c r="AG842" s="107"/>
      <c r="AH842" s="107"/>
      <c r="AI842" s="107"/>
      <c r="AJ842" s="107"/>
      <c r="AK842" s="107"/>
      <c r="AL842" s="107"/>
      <c r="AM842" s="107"/>
      <c r="AN842" s="107"/>
      <c r="AO842" s="107"/>
      <c r="AP842" s="107"/>
      <c r="AQ842" s="107"/>
      <c r="AR842" s="107"/>
      <c r="AS842" s="107"/>
      <c r="AT842" s="107"/>
      <c r="AU842" s="107"/>
      <c r="AV842" s="107"/>
      <c r="AW842" s="107"/>
      <c r="AX842" s="107"/>
      <c r="AY842" s="107"/>
      <c r="AZ842" s="107"/>
      <c r="BA842" s="107"/>
      <c r="BB842" s="107"/>
      <c r="BC842" s="107"/>
      <c r="BD842" s="107"/>
      <c r="BE842" s="107"/>
      <c r="BF842" s="107"/>
      <c r="BG842" s="107"/>
      <c r="BH842" s="107"/>
    </row>
    <row r="843" spans="1:60" x14ac:dyDescent="0.25">
      <c r="A843" s="96"/>
      <c r="B843" s="97"/>
      <c r="C843" s="97"/>
      <c r="D843" s="97"/>
      <c r="E843" s="98"/>
      <c r="F843" s="99" t="str">
        <f>IF(H843&lt;&gt;"",H843-Accueil!N$6+1/60/24,"")</f>
        <v/>
      </c>
      <c r="G843" s="97"/>
      <c r="H843" s="99"/>
      <c r="I843" s="99"/>
      <c r="J843" s="100"/>
      <c r="K843" s="101"/>
      <c r="L843" s="102"/>
      <c r="M843" s="103"/>
      <c r="N843" s="104"/>
      <c r="O843" s="97"/>
      <c r="P843" s="97"/>
      <c r="Q843" s="97"/>
      <c r="R843" s="105"/>
      <c r="S843" s="97"/>
      <c r="T843" s="97"/>
      <c r="U843" s="97" t="str">
        <f t="shared" si="16"/>
        <v/>
      </c>
      <c r="V843" s="97"/>
      <c r="W843" s="97"/>
      <c r="X843" s="97"/>
      <c r="Y843" s="97"/>
      <c r="Z843" s="97"/>
      <c r="AA843" s="97"/>
      <c r="AB843" s="97"/>
      <c r="AC843" s="97"/>
      <c r="AD843" s="97"/>
      <c r="AE843" s="97"/>
      <c r="AF843" s="97"/>
      <c r="AG843" s="97"/>
      <c r="AH843" s="97"/>
      <c r="AI843" s="97"/>
      <c r="AJ843" s="97"/>
      <c r="AK843" s="97"/>
      <c r="AL843" s="97"/>
      <c r="AM843" s="97"/>
      <c r="AN843" s="97"/>
      <c r="AO843" s="97"/>
      <c r="AP843" s="97"/>
      <c r="AQ843" s="97"/>
      <c r="AR843" s="97"/>
      <c r="AS843" s="97"/>
      <c r="AT843" s="97"/>
      <c r="AU843" s="97"/>
      <c r="AV843" s="97"/>
      <c r="AW843" s="97"/>
      <c r="AX843" s="97"/>
      <c r="AY843" s="97"/>
      <c r="AZ843" s="97"/>
      <c r="BA843" s="97"/>
      <c r="BB843" s="97"/>
      <c r="BC843" s="97"/>
      <c r="BD843" s="97"/>
      <c r="BE843" s="97"/>
      <c r="BF843" s="97"/>
      <c r="BG843" s="97"/>
      <c r="BH843" s="97"/>
    </row>
    <row r="844" spans="1:60" x14ac:dyDescent="0.25">
      <c r="A844" s="106"/>
      <c r="B844" s="107"/>
      <c r="C844" s="107"/>
      <c r="D844" s="107"/>
      <c r="E844" s="108"/>
      <c r="F844" s="109" t="str">
        <f>IF(H844&lt;&gt;"",H844-Accueil!N$6+1/60/24,"")</f>
        <v/>
      </c>
      <c r="G844" s="107"/>
      <c r="H844" s="109"/>
      <c r="I844" s="110"/>
      <c r="J844" s="110"/>
      <c r="K844" s="111"/>
      <c r="L844" s="112"/>
      <c r="M844" s="113"/>
      <c r="N844" s="114"/>
      <c r="O844" s="107"/>
      <c r="P844" s="107"/>
      <c r="Q844" s="115"/>
      <c r="R844" s="116"/>
      <c r="S844" s="107"/>
      <c r="T844" s="107"/>
      <c r="U844" s="107" t="str">
        <f t="shared" si="16"/>
        <v/>
      </c>
      <c r="V844" s="107"/>
      <c r="W844" s="107"/>
      <c r="X844" s="107"/>
      <c r="Y844" s="107"/>
      <c r="Z844" s="107"/>
      <c r="AA844" s="107"/>
      <c r="AB844" s="107"/>
      <c r="AC844" s="107"/>
      <c r="AD844" s="107"/>
      <c r="AE844" s="107"/>
      <c r="AF844" s="107"/>
      <c r="AG844" s="107"/>
      <c r="AH844" s="107"/>
      <c r="AI844" s="107"/>
      <c r="AJ844" s="107"/>
      <c r="AK844" s="107"/>
      <c r="AL844" s="107"/>
      <c r="AM844" s="107"/>
      <c r="AN844" s="107"/>
      <c r="AO844" s="107"/>
      <c r="AP844" s="107"/>
      <c r="AQ844" s="107"/>
      <c r="AR844" s="107"/>
      <c r="AS844" s="107"/>
      <c r="AT844" s="107"/>
      <c r="AU844" s="107"/>
      <c r="AV844" s="107"/>
      <c r="AW844" s="107"/>
      <c r="AX844" s="107"/>
      <c r="AY844" s="107"/>
      <c r="AZ844" s="107"/>
      <c r="BA844" s="107"/>
      <c r="BB844" s="107"/>
      <c r="BC844" s="107"/>
      <c r="BD844" s="107"/>
      <c r="BE844" s="107"/>
      <c r="BF844" s="107"/>
      <c r="BG844" s="107"/>
      <c r="BH844" s="107"/>
    </row>
    <row r="845" spans="1:60" x14ac:dyDescent="0.25">
      <c r="A845" s="96"/>
      <c r="B845" s="97"/>
      <c r="C845" s="97"/>
      <c r="D845" s="97"/>
      <c r="E845" s="98"/>
      <c r="F845" s="99" t="str">
        <f>IF(H845&lt;&gt;"",H845-Accueil!N$6+1/60/24,"")</f>
        <v/>
      </c>
      <c r="G845" s="97"/>
      <c r="H845" s="99"/>
      <c r="I845" s="99"/>
      <c r="J845" s="100"/>
      <c r="K845" s="101"/>
      <c r="L845" s="102"/>
      <c r="M845" s="103"/>
      <c r="N845" s="104"/>
      <c r="O845" s="97"/>
      <c r="P845" s="97"/>
      <c r="Q845" s="97"/>
      <c r="R845" s="105"/>
      <c r="S845" s="97"/>
      <c r="T845" s="97"/>
      <c r="U845" s="97" t="str">
        <f t="shared" si="16"/>
        <v/>
      </c>
      <c r="V845" s="97"/>
      <c r="W845" s="97"/>
      <c r="X845" s="97"/>
      <c r="Y845" s="97"/>
      <c r="Z845" s="97"/>
      <c r="AA845" s="97"/>
      <c r="AB845" s="97"/>
      <c r="AC845" s="97"/>
      <c r="AD845" s="97"/>
      <c r="AE845" s="97"/>
      <c r="AF845" s="97"/>
      <c r="AG845" s="97"/>
      <c r="AH845" s="97"/>
      <c r="AI845" s="97"/>
      <c r="AJ845" s="97"/>
      <c r="AK845" s="97"/>
      <c r="AL845" s="97"/>
      <c r="AM845" s="97"/>
      <c r="AN845" s="97"/>
      <c r="AO845" s="97"/>
      <c r="AP845" s="97"/>
      <c r="AQ845" s="97"/>
      <c r="AR845" s="97"/>
      <c r="AS845" s="97"/>
      <c r="AT845" s="97"/>
      <c r="AU845" s="97"/>
      <c r="AV845" s="97"/>
      <c r="AW845" s="97"/>
      <c r="AX845" s="97"/>
      <c r="AY845" s="97"/>
      <c r="AZ845" s="97"/>
      <c r="BA845" s="97"/>
      <c r="BB845" s="97"/>
      <c r="BC845" s="97"/>
      <c r="BD845" s="97"/>
      <c r="BE845" s="97"/>
      <c r="BF845" s="97"/>
      <c r="BG845" s="97"/>
      <c r="BH845" s="97"/>
    </row>
    <row r="846" spans="1:60" x14ac:dyDescent="0.25">
      <c r="A846" s="106"/>
      <c r="B846" s="107"/>
      <c r="C846" s="107"/>
      <c r="D846" s="107"/>
      <c r="E846" s="108"/>
      <c r="F846" s="109" t="str">
        <f>IF(H846&lt;&gt;"",H846-Accueil!N$6+1/60/24,"")</f>
        <v/>
      </c>
      <c r="G846" s="107"/>
      <c r="H846" s="109"/>
      <c r="I846" s="110"/>
      <c r="J846" s="110"/>
      <c r="K846" s="111"/>
      <c r="L846" s="112"/>
      <c r="M846" s="113"/>
      <c r="N846" s="114"/>
      <c r="O846" s="107"/>
      <c r="P846" s="107"/>
      <c r="Q846" s="115"/>
      <c r="R846" s="116"/>
      <c r="S846" s="107"/>
      <c r="T846" s="107"/>
      <c r="U846" s="107" t="str">
        <f t="shared" si="16"/>
        <v/>
      </c>
      <c r="V846" s="107"/>
      <c r="W846" s="107"/>
      <c r="X846" s="107"/>
      <c r="Y846" s="107"/>
      <c r="Z846" s="107"/>
      <c r="AA846" s="107"/>
      <c r="AB846" s="107"/>
      <c r="AC846" s="107"/>
      <c r="AD846" s="107"/>
      <c r="AE846" s="107"/>
      <c r="AF846" s="107"/>
      <c r="AG846" s="107"/>
      <c r="AH846" s="107"/>
      <c r="AI846" s="107"/>
      <c r="AJ846" s="107"/>
      <c r="AK846" s="107"/>
      <c r="AL846" s="107"/>
      <c r="AM846" s="107"/>
      <c r="AN846" s="107"/>
      <c r="AO846" s="107"/>
      <c r="AP846" s="107"/>
      <c r="AQ846" s="107"/>
      <c r="AR846" s="107"/>
      <c r="AS846" s="107"/>
      <c r="AT846" s="107"/>
      <c r="AU846" s="107"/>
      <c r="AV846" s="107"/>
      <c r="AW846" s="107"/>
      <c r="AX846" s="107"/>
      <c r="AY846" s="107"/>
      <c r="AZ846" s="107"/>
      <c r="BA846" s="107"/>
      <c r="BB846" s="107"/>
      <c r="BC846" s="107"/>
      <c r="BD846" s="107"/>
      <c r="BE846" s="107"/>
      <c r="BF846" s="107"/>
      <c r="BG846" s="107"/>
      <c r="BH846" s="107"/>
    </row>
    <row r="847" spans="1:60" x14ac:dyDescent="0.25">
      <c r="A847" s="96"/>
      <c r="B847" s="97"/>
      <c r="C847" s="97"/>
      <c r="D847" s="97"/>
      <c r="E847" s="98"/>
      <c r="F847" s="99" t="str">
        <f>IF(H847&lt;&gt;"",H847-Accueil!N$6+1/60/24,"")</f>
        <v/>
      </c>
      <c r="G847" s="97"/>
      <c r="H847" s="99"/>
      <c r="I847" s="99"/>
      <c r="J847" s="100"/>
      <c r="K847" s="101"/>
      <c r="L847" s="102"/>
      <c r="M847" s="103"/>
      <c r="N847" s="104"/>
      <c r="O847" s="97"/>
      <c r="P847" s="97"/>
      <c r="Q847" s="97"/>
      <c r="R847" s="105"/>
      <c r="S847" s="97"/>
      <c r="T847" s="97"/>
      <c r="U847" s="97" t="str">
        <f t="shared" si="16"/>
        <v/>
      </c>
      <c r="V847" s="97"/>
      <c r="W847" s="97"/>
      <c r="X847" s="97"/>
      <c r="Y847" s="97"/>
      <c r="Z847" s="97"/>
      <c r="AA847" s="97"/>
      <c r="AB847" s="97"/>
      <c r="AC847" s="97"/>
      <c r="AD847" s="97"/>
      <c r="AE847" s="97"/>
      <c r="AF847" s="97"/>
      <c r="AG847" s="97"/>
      <c r="AH847" s="97"/>
      <c r="AI847" s="97"/>
      <c r="AJ847" s="97"/>
      <c r="AK847" s="97"/>
      <c r="AL847" s="97"/>
      <c r="AM847" s="97"/>
      <c r="AN847" s="97"/>
      <c r="AO847" s="97"/>
      <c r="AP847" s="97"/>
      <c r="AQ847" s="97"/>
      <c r="AR847" s="97"/>
      <c r="AS847" s="97"/>
      <c r="AT847" s="97"/>
      <c r="AU847" s="97"/>
      <c r="AV847" s="97"/>
      <c r="AW847" s="97"/>
      <c r="AX847" s="97"/>
      <c r="AY847" s="97"/>
      <c r="AZ847" s="97"/>
      <c r="BA847" s="97"/>
      <c r="BB847" s="97"/>
      <c r="BC847" s="97"/>
      <c r="BD847" s="97"/>
      <c r="BE847" s="97"/>
      <c r="BF847" s="97"/>
      <c r="BG847" s="97"/>
      <c r="BH847" s="97"/>
    </row>
    <row r="848" spans="1:60" x14ac:dyDescent="0.25">
      <c r="A848" s="106"/>
      <c r="B848" s="107"/>
      <c r="C848" s="107"/>
      <c r="D848" s="107"/>
      <c r="E848" s="108"/>
      <c r="F848" s="109" t="str">
        <f>IF(H848&lt;&gt;"",H848-Accueil!N$6+1/60/24,"")</f>
        <v/>
      </c>
      <c r="G848" s="107"/>
      <c r="H848" s="109"/>
      <c r="I848" s="110"/>
      <c r="J848" s="110"/>
      <c r="K848" s="111"/>
      <c r="L848" s="112"/>
      <c r="M848" s="113"/>
      <c r="N848" s="114"/>
      <c r="O848" s="107"/>
      <c r="P848" s="107"/>
      <c r="Q848" s="115"/>
      <c r="R848" s="116"/>
      <c r="S848" s="107"/>
      <c r="T848" s="107"/>
      <c r="U848" s="107" t="str">
        <f t="shared" si="16"/>
        <v/>
      </c>
      <c r="V848" s="107"/>
      <c r="W848" s="107"/>
      <c r="X848" s="107"/>
      <c r="Y848" s="107"/>
      <c r="Z848" s="107"/>
      <c r="AA848" s="107"/>
      <c r="AB848" s="107"/>
      <c r="AC848" s="107"/>
      <c r="AD848" s="107"/>
      <c r="AE848" s="107"/>
      <c r="AF848" s="107"/>
      <c r="AG848" s="107"/>
      <c r="AH848" s="107"/>
      <c r="AI848" s="107"/>
      <c r="AJ848" s="107"/>
      <c r="AK848" s="107"/>
      <c r="AL848" s="107"/>
      <c r="AM848" s="107"/>
      <c r="AN848" s="107"/>
      <c r="AO848" s="107"/>
      <c r="AP848" s="107"/>
      <c r="AQ848" s="107"/>
      <c r="AR848" s="107"/>
      <c r="AS848" s="107"/>
      <c r="AT848" s="107"/>
      <c r="AU848" s="107"/>
      <c r="AV848" s="107"/>
      <c r="AW848" s="107"/>
      <c r="AX848" s="107"/>
      <c r="AY848" s="107"/>
      <c r="AZ848" s="107"/>
      <c r="BA848" s="107"/>
      <c r="BB848" s="107"/>
      <c r="BC848" s="107"/>
      <c r="BD848" s="107"/>
      <c r="BE848" s="107"/>
      <c r="BF848" s="107"/>
      <c r="BG848" s="107"/>
      <c r="BH848" s="107"/>
    </row>
    <row r="849" spans="1:60" x14ac:dyDescent="0.25">
      <c r="A849" s="96"/>
      <c r="B849" s="97"/>
      <c r="C849" s="97"/>
      <c r="D849" s="97"/>
      <c r="E849" s="98"/>
      <c r="F849" s="99" t="str">
        <f>IF(H849&lt;&gt;"",H849-Accueil!N$6+1/60/24,"")</f>
        <v/>
      </c>
      <c r="G849" s="97"/>
      <c r="H849" s="99"/>
      <c r="I849" s="99"/>
      <c r="J849" s="100"/>
      <c r="K849" s="101"/>
      <c r="L849" s="102"/>
      <c r="M849" s="103"/>
      <c r="N849" s="104"/>
      <c r="O849" s="97"/>
      <c r="P849" s="97"/>
      <c r="Q849" s="97"/>
      <c r="R849" s="105"/>
      <c r="S849" s="97"/>
      <c r="T849" s="97"/>
      <c r="U849" s="97" t="str">
        <f t="shared" si="16"/>
        <v/>
      </c>
      <c r="V849" s="97"/>
      <c r="W849" s="97"/>
      <c r="X849" s="97"/>
      <c r="Y849" s="97"/>
      <c r="Z849" s="97"/>
      <c r="AA849" s="97"/>
      <c r="AB849" s="97"/>
      <c r="AC849" s="97"/>
      <c r="AD849" s="97"/>
      <c r="AE849" s="97"/>
      <c r="AF849" s="97"/>
      <c r="AG849" s="97"/>
      <c r="AH849" s="97"/>
      <c r="AI849" s="97"/>
      <c r="AJ849" s="97"/>
      <c r="AK849" s="97"/>
      <c r="AL849" s="97"/>
      <c r="AM849" s="97"/>
      <c r="AN849" s="97"/>
      <c r="AO849" s="97"/>
      <c r="AP849" s="97"/>
      <c r="AQ849" s="97"/>
      <c r="AR849" s="97"/>
      <c r="AS849" s="97"/>
      <c r="AT849" s="97"/>
      <c r="AU849" s="97"/>
      <c r="AV849" s="97"/>
      <c r="AW849" s="97"/>
      <c r="AX849" s="97"/>
      <c r="AY849" s="97"/>
      <c r="AZ849" s="97"/>
      <c r="BA849" s="97"/>
      <c r="BB849" s="97"/>
      <c r="BC849" s="97"/>
      <c r="BD849" s="97"/>
      <c r="BE849" s="97"/>
      <c r="BF849" s="97"/>
      <c r="BG849" s="97"/>
      <c r="BH849" s="97"/>
    </row>
    <row r="850" spans="1:60" x14ac:dyDescent="0.25">
      <c r="A850" s="106"/>
      <c r="B850" s="107"/>
      <c r="C850" s="107"/>
      <c r="D850" s="107"/>
      <c r="E850" s="108"/>
      <c r="F850" s="109" t="str">
        <f>IF(H850&lt;&gt;"",H850-Accueil!N$6+1/60/24,"")</f>
        <v/>
      </c>
      <c r="G850" s="107"/>
      <c r="H850" s="109"/>
      <c r="I850" s="110"/>
      <c r="J850" s="110"/>
      <c r="K850" s="111"/>
      <c r="L850" s="112"/>
      <c r="M850" s="113"/>
      <c r="N850" s="114"/>
      <c r="O850" s="107"/>
      <c r="P850" s="107"/>
      <c r="Q850" s="115"/>
      <c r="R850" s="116"/>
      <c r="S850" s="107"/>
      <c r="T850" s="107"/>
      <c r="U850" s="107" t="str">
        <f t="shared" si="16"/>
        <v/>
      </c>
      <c r="V850" s="107"/>
      <c r="W850" s="107"/>
      <c r="X850" s="107"/>
      <c r="Y850" s="107"/>
      <c r="Z850" s="107"/>
      <c r="AA850" s="107"/>
      <c r="AB850" s="107"/>
      <c r="AC850" s="107"/>
      <c r="AD850" s="107"/>
      <c r="AE850" s="107"/>
      <c r="AF850" s="107"/>
      <c r="AG850" s="107"/>
      <c r="AH850" s="107"/>
      <c r="AI850" s="107"/>
      <c r="AJ850" s="107"/>
      <c r="AK850" s="107"/>
      <c r="AL850" s="107"/>
      <c r="AM850" s="107"/>
      <c r="AN850" s="107"/>
      <c r="AO850" s="107"/>
      <c r="AP850" s="107"/>
      <c r="AQ850" s="107"/>
      <c r="AR850" s="107"/>
      <c r="AS850" s="107"/>
      <c r="AT850" s="107"/>
      <c r="AU850" s="107"/>
      <c r="AV850" s="107"/>
      <c r="AW850" s="107"/>
      <c r="AX850" s="107"/>
      <c r="AY850" s="107"/>
      <c r="AZ850" s="107"/>
      <c r="BA850" s="107"/>
      <c r="BB850" s="107"/>
      <c r="BC850" s="107"/>
      <c r="BD850" s="107"/>
      <c r="BE850" s="107"/>
      <c r="BF850" s="107"/>
      <c r="BG850" s="107"/>
      <c r="BH850" s="107"/>
    </row>
    <row r="851" spans="1:60" x14ac:dyDescent="0.25">
      <c r="A851" s="96"/>
      <c r="B851" s="97"/>
      <c r="C851" s="97"/>
      <c r="D851" s="97"/>
      <c r="E851" s="98"/>
      <c r="F851" s="99" t="str">
        <f>IF(H851&lt;&gt;"",H851-Accueil!N$6+1/60/24,"")</f>
        <v/>
      </c>
      <c r="G851" s="97"/>
      <c r="H851" s="99"/>
      <c r="I851" s="99"/>
      <c r="J851" s="100"/>
      <c r="K851" s="101"/>
      <c r="L851" s="102"/>
      <c r="M851" s="103"/>
      <c r="N851" s="104"/>
      <c r="O851" s="97"/>
      <c r="P851" s="97"/>
      <c r="Q851" s="97"/>
      <c r="R851" s="105"/>
      <c r="S851" s="97"/>
      <c r="T851" s="97"/>
      <c r="U851" s="97" t="str">
        <f t="shared" si="16"/>
        <v/>
      </c>
      <c r="V851" s="97"/>
      <c r="W851" s="97"/>
      <c r="X851" s="97"/>
      <c r="Y851" s="97"/>
      <c r="Z851" s="97"/>
      <c r="AA851" s="97"/>
      <c r="AB851" s="97"/>
      <c r="AC851" s="97"/>
      <c r="AD851" s="97"/>
      <c r="AE851" s="97"/>
      <c r="AF851" s="97"/>
      <c r="AG851" s="97"/>
      <c r="AH851" s="97"/>
      <c r="AI851" s="97"/>
      <c r="AJ851" s="97"/>
      <c r="AK851" s="97"/>
      <c r="AL851" s="97"/>
      <c r="AM851" s="97"/>
      <c r="AN851" s="97"/>
      <c r="AO851" s="97"/>
      <c r="AP851" s="97"/>
      <c r="AQ851" s="97"/>
      <c r="AR851" s="97"/>
      <c r="AS851" s="97"/>
      <c r="AT851" s="97"/>
      <c r="AU851" s="97"/>
      <c r="AV851" s="97"/>
      <c r="AW851" s="97"/>
      <c r="AX851" s="97"/>
      <c r="AY851" s="97"/>
      <c r="AZ851" s="97"/>
      <c r="BA851" s="97"/>
      <c r="BB851" s="97"/>
      <c r="BC851" s="97"/>
      <c r="BD851" s="97"/>
      <c r="BE851" s="97"/>
      <c r="BF851" s="97"/>
      <c r="BG851" s="97"/>
      <c r="BH851" s="97"/>
    </row>
    <row r="852" spans="1:60" x14ac:dyDescent="0.25">
      <c r="A852" s="106"/>
      <c r="B852" s="107"/>
      <c r="C852" s="107"/>
      <c r="D852" s="107"/>
      <c r="E852" s="108"/>
      <c r="F852" s="109" t="str">
        <f>IF(H852&lt;&gt;"",H852-Accueil!N$6+1/60/24,"")</f>
        <v/>
      </c>
      <c r="G852" s="107"/>
      <c r="H852" s="109"/>
      <c r="I852" s="110"/>
      <c r="J852" s="110"/>
      <c r="K852" s="111"/>
      <c r="L852" s="112"/>
      <c r="M852" s="113"/>
      <c r="N852" s="114"/>
      <c r="O852" s="107"/>
      <c r="P852" s="107"/>
      <c r="Q852" s="115"/>
      <c r="R852" s="116"/>
      <c r="S852" s="107"/>
      <c r="T852" s="107"/>
      <c r="U852" s="107" t="str">
        <f t="shared" si="16"/>
        <v/>
      </c>
      <c r="V852" s="107"/>
      <c r="W852" s="107"/>
      <c r="X852" s="107"/>
      <c r="Y852" s="107"/>
      <c r="Z852" s="107"/>
      <c r="AA852" s="107"/>
      <c r="AB852" s="107"/>
      <c r="AC852" s="107"/>
      <c r="AD852" s="107"/>
      <c r="AE852" s="107"/>
      <c r="AF852" s="107"/>
      <c r="AG852" s="107"/>
      <c r="AH852" s="107"/>
      <c r="AI852" s="107"/>
      <c r="AJ852" s="107"/>
      <c r="AK852" s="107"/>
      <c r="AL852" s="107"/>
      <c r="AM852" s="107"/>
      <c r="AN852" s="107"/>
      <c r="AO852" s="107"/>
      <c r="AP852" s="107"/>
      <c r="AQ852" s="107"/>
      <c r="AR852" s="107"/>
      <c r="AS852" s="107"/>
      <c r="AT852" s="107"/>
      <c r="AU852" s="107"/>
      <c r="AV852" s="107"/>
      <c r="AW852" s="107"/>
      <c r="AX852" s="107"/>
      <c r="AY852" s="107"/>
      <c r="AZ852" s="107"/>
      <c r="BA852" s="107"/>
      <c r="BB852" s="107"/>
      <c r="BC852" s="107"/>
      <c r="BD852" s="107"/>
      <c r="BE852" s="107"/>
      <c r="BF852" s="107"/>
      <c r="BG852" s="107"/>
      <c r="BH852" s="107"/>
    </row>
    <row r="853" spans="1:60" x14ac:dyDescent="0.25">
      <c r="A853" s="96"/>
      <c r="B853" s="97"/>
      <c r="C853" s="97"/>
      <c r="D853" s="97"/>
      <c r="E853" s="98"/>
      <c r="F853" s="99" t="str">
        <f>IF(H853&lt;&gt;"",H853-Accueil!N$6+1/60/24,"")</f>
        <v/>
      </c>
      <c r="G853" s="97"/>
      <c r="H853" s="99"/>
      <c r="I853" s="99"/>
      <c r="J853" s="100"/>
      <c r="K853" s="101"/>
      <c r="L853" s="102"/>
      <c r="M853" s="103"/>
      <c r="N853" s="104"/>
      <c r="O853" s="97"/>
      <c r="P853" s="97"/>
      <c r="Q853" s="97"/>
      <c r="R853" s="105"/>
      <c r="S853" s="97"/>
      <c r="T853" s="97"/>
      <c r="U853" s="97" t="str">
        <f t="shared" si="16"/>
        <v/>
      </c>
      <c r="V853" s="97"/>
      <c r="W853" s="97"/>
      <c r="X853" s="97"/>
      <c r="Y853" s="97"/>
      <c r="Z853" s="97"/>
      <c r="AA853" s="97"/>
      <c r="AB853" s="97"/>
      <c r="AC853" s="97"/>
      <c r="AD853" s="97"/>
      <c r="AE853" s="97"/>
      <c r="AF853" s="97"/>
      <c r="AG853" s="97"/>
      <c r="AH853" s="97"/>
      <c r="AI853" s="97"/>
      <c r="AJ853" s="97"/>
      <c r="AK853" s="97"/>
      <c r="AL853" s="97"/>
      <c r="AM853" s="97"/>
      <c r="AN853" s="97"/>
      <c r="AO853" s="97"/>
      <c r="AP853" s="97"/>
      <c r="AQ853" s="97"/>
      <c r="AR853" s="97"/>
      <c r="AS853" s="97"/>
      <c r="AT853" s="97"/>
      <c r="AU853" s="97"/>
      <c r="AV853" s="97"/>
      <c r="AW853" s="97"/>
      <c r="AX853" s="97"/>
      <c r="AY853" s="97"/>
      <c r="AZ853" s="97"/>
      <c r="BA853" s="97"/>
      <c r="BB853" s="97"/>
      <c r="BC853" s="97"/>
      <c r="BD853" s="97"/>
      <c r="BE853" s="97"/>
      <c r="BF853" s="97"/>
      <c r="BG853" s="97"/>
      <c r="BH853" s="97"/>
    </row>
    <row r="854" spans="1:60" x14ac:dyDescent="0.25">
      <c r="A854" s="106"/>
      <c r="B854" s="107"/>
      <c r="C854" s="107"/>
      <c r="D854" s="107"/>
      <c r="E854" s="108"/>
      <c r="F854" s="109" t="str">
        <f>IF(H854&lt;&gt;"",H854-Accueil!N$6+1/60/24,"")</f>
        <v/>
      </c>
      <c r="G854" s="107"/>
      <c r="H854" s="109"/>
      <c r="I854" s="110"/>
      <c r="J854" s="110"/>
      <c r="K854" s="111"/>
      <c r="L854" s="112"/>
      <c r="M854" s="113"/>
      <c r="N854" s="114"/>
      <c r="O854" s="107"/>
      <c r="P854" s="107"/>
      <c r="Q854" s="115"/>
      <c r="R854" s="116"/>
      <c r="S854" s="107"/>
      <c r="T854" s="107"/>
      <c r="U854" s="107" t="str">
        <f t="shared" si="16"/>
        <v/>
      </c>
      <c r="V854" s="107"/>
      <c r="W854" s="107"/>
      <c r="X854" s="107"/>
      <c r="Y854" s="107"/>
      <c r="Z854" s="107"/>
      <c r="AA854" s="107"/>
      <c r="AB854" s="107"/>
      <c r="AC854" s="107"/>
      <c r="AD854" s="107"/>
      <c r="AE854" s="107"/>
      <c r="AF854" s="107"/>
      <c r="AG854" s="107"/>
      <c r="AH854" s="107"/>
      <c r="AI854" s="107"/>
      <c r="AJ854" s="107"/>
      <c r="AK854" s="107"/>
      <c r="AL854" s="107"/>
      <c r="AM854" s="107"/>
      <c r="AN854" s="107"/>
      <c r="AO854" s="107"/>
      <c r="AP854" s="107"/>
      <c r="AQ854" s="107"/>
      <c r="AR854" s="107"/>
      <c r="AS854" s="107"/>
      <c r="AT854" s="107"/>
      <c r="AU854" s="107"/>
      <c r="AV854" s="107"/>
      <c r="AW854" s="107"/>
      <c r="AX854" s="107"/>
      <c r="AY854" s="107"/>
      <c r="AZ854" s="107"/>
      <c r="BA854" s="107"/>
      <c r="BB854" s="107"/>
      <c r="BC854" s="107"/>
      <c r="BD854" s="107"/>
      <c r="BE854" s="107"/>
      <c r="BF854" s="107"/>
      <c r="BG854" s="107"/>
      <c r="BH854" s="107"/>
    </row>
    <row r="855" spans="1:60" x14ac:dyDescent="0.25">
      <c r="A855" s="96"/>
      <c r="B855" s="97"/>
      <c r="C855" s="97"/>
      <c r="D855" s="97"/>
      <c r="E855" s="98"/>
      <c r="F855" s="99" t="str">
        <f>IF(H855&lt;&gt;"",H855-Accueil!N$6+1/60/24,"")</f>
        <v/>
      </c>
      <c r="G855" s="97"/>
      <c r="H855" s="99"/>
      <c r="I855" s="99"/>
      <c r="J855" s="100"/>
      <c r="K855" s="101"/>
      <c r="L855" s="102"/>
      <c r="M855" s="103"/>
      <c r="N855" s="104"/>
      <c r="O855" s="97"/>
      <c r="P855" s="97"/>
      <c r="Q855" s="97"/>
      <c r="R855" s="105"/>
      <c r="S855" s="97"/>
      <c r="T855" s="97"/>
      <c r="U855" s="97" t="str">
        <f t="shared" si="16"/>
        <v/>
      </c>
      <c r="V855" s="97"/>
      <c r="W855" s="97"/>
      <c r="X855" s="97"/>
      <c r="Y855" s="97"/>
      <c r="Z855" s="97"/>
      <c r="AA855" s="97"/>
      <c r="AB855" s="97"/>
      <c r="AC855" s="97"/>
      <c r="AD855" s="97"/>
      <c r="AE855" s="97"/>
      <c r="AF855" s="97"/>
      <c r="AG855" s="97"/>
      <c r="AH855" s="97"/>
      <c r="AI855" s="97"/>
      <c r="AJ855" s="97"/>
      <c r="AK855" s="97"/>
      <c r="AL855" s="97"/>
      <c r="AM855" s="97"/>
      <c r="AN855" s="97"/>
      <c r="AO855" s="97"/>
      <c r="AP855" s="97"/>
      <c r="AQ855" s="97"/>
      <c r="AR855" s="97"/>
      <c r="AS855" s="97"/>
      <c r="AT855" s="97"/>
      <c r="AU855" s="97"/>
      <c r="AV855" s="97"/>
      <c r="AW855" s="97"/>
      <c r="AX855" s="97"/>
      <c r="AY855" s="97"/>
      <c r="AZ855" s="97"/>
      <c r="BA855" s="97"/>
      <c r="BB855" s="97"/>
      <c r="BC855" s="97"/>
      <c r="BD855" s="97"/>
      <c r="BE855" s="97"/>
      <c r="BF855" s="97"/>
      <c r="BG855" s="97"/>
      <c r="BH855" s="97"/>
    </row>
    <row r="856" spans="1:60" x14ac:dyDescent="0.25">
      <c r="A856" s="106"/>
      <c r="B856" s="107"/>
      <c r="C856" s="107"/>
      <c r="D856" s="107"/>
      <c r="E856" s="108"/>
      <c r="F856" s="109" t="str">
        <f>IF(H856&lt;&gt;"",H856-Accueil!N$6+1/60/24,"")</f>
        <v/>
      </c>
      <c r="G856" s="107"/>
      <c r="H856" s="109"/>
      <c r="I856" s="110"/>
      <c r="J856" s="110"/>
      <c r="K856" s="111"/>
      <c r="L856" s="112"/>
      <c r="M856" s="113"/>
      <c r="N856" s="114"/>
      <c r="O856" s="107"/>
      <c r="P856" s="107"/>
      <c r="Q856" s="115"/>
      <c r="R856" s="116"/>
      <c r="S856" s="107"/>
      <c r="T856" s="107"/>
      <c r="U856" s="107" t="str">
        <f t="shared" si="16"/>
        <v/>
      </c>
      <c r="V856" s="107"/>
      <c r="W856" s="107"/>
      <c r="X856" s="107"/>
      <c r="Y856" s="107"/>
      <c r="Z856" s="107"/>
      <c r="AA856" s="107"/>
      <c r="AB856" s="107"/>
      <c r="AC856" s="107"/>
      <c r="AD856" s="107"/>
      <c r="AE856" s="107"/>
      <c r="AF856" s="107"/>
      <c r="AG856" s="107"/>
      <c r="AH856" s="107"/>
      <c r="AI856" s="107"/>
      <c r="AJ856" s="107"/>
      <c r="AK856" s="107"/>
      <c r="AL856" s="107"/>
      <c r="AM856" s="107"/>
      <c r="AN856" s="107"/>
      <c r="AO856" s="107"/>
      <c r="AP856" s="107"/>
      <c r="AQ856" s="107"/>
      <c r="AR856" s="107"/>
      <c r="AS856" s="107"/>
      <c r="AT856" s="107"/>
      <c r="AU856" s="107"/>
      <c r="AV856" s="107"/>
      <c r="AW856" s="107"/>
      <c r="AX856" s="107"/>
      <c r="AY856" s="107"/>
      <c r="AZ856" s="107"/>
      <c r="BA856" s="107"/>
      <c r="BB856" s="107"/>
      <c r="BC856" s="107"/>
      <c r="BD856" s="107"/>
      <c r="BE856" s="107"/>
      <c r="BF856" s="107"/>
      <c r="BG856" s="107"/>
      <c r="BH856" s="107"/>
    </row>
    <row r="857" spans="1:60" x14ac:dyDescent="0.25">
      <c r="A857" s="96"/>
      <c r="B857" s="97"/>
      <c r="C857" s="97"/>
      <c r="D857" s="97"/>
      <c r="E857" s="98"/>
      <c r="F857" s="99" t="str">
        <f>IF(H857&lt;&gt;"",H857-Accueil!N$6+1/60/24,"")</f>
        <v/>
      </c>
      <c r="G857" s="97"/>
      <c r="H857" s="99"/>
      <c r="I857" s="99"/>
      <c r="J857" s="100"/>
      <c r="K857" s="101"/>
      <c r="L857" s="102"/>
      <c r="M857" s="103"/>
      <c r="N857" s="104"/>
      <c r="O857" s="97"/>
      <c r="P857" s="97"/>
      <c r="Q857" s="97"/>
      <c r="R857" s="105"/>
      <c r="S857" s="97"/>
      <c r="T857" s="97"/>
      <c r="U857" s="97" t="str">
        <f t="shared" si="16"/>
        <v/>
      </c>
      <c r="V857" s="97"/>
      <c r="W857" s="97"/>
      <c r="X857" s="97"/>
      <c r="Y857" s="97"/>
      <c r="Z857" s="97"/>
      <c r="AA857" s="97"/>
      <c r="AB857" s="97"/>
      <c r="AC857" s="97"/>
      <c r="AD857" s="97"/>
      <c r="AE857" s="97"/>
      <c r="AF857" s="97"/>
      <c r="AG857" s="97"/>
      <c r="AH857" s="97"/>
      <c r="AI857" s="97"/>
      <c r="AJ857" s="97"/>
      <c r="AK857" s="97"/>
      <c r="AL857" s="97"/>
      <c r="AM857" s="97"/>
      <c r="AN857" s="97"/>
      <c r="AO857" s="97"/>
      <c r="AP857" s="97"/>
      <c r="AQ857" s="97"/>
      <c r="AR857" s="97"/>
      <c r="AS857" s="97"/>
      <c r="AT857" s="97"/>
      <c r="AU857" s="97"/>
      <c r="AV857" s="97"/>
      <c r="AW857" s="97"/>
      <c r="AX857" s="97"/>
      <c r="AY857" s="97"/>
      <c r="AZ857" s="97"/>
      <c r="BA857" s="97"/>
      <c r="BB857" s="97"/>
      <c r="BC857" s="97"/>
      <c r="BD857" s="97"/>
      <c r="BE857" s="97"/>
      <c r="BF857" s="97"/>
      <c r="BG857" s="97"/>
      <c r="BH857" s="97"/>
    </row>
    <row r="858" spans="1:60" x14ac:dyDescent="0.25">
      <c r="A858" s="106"/>
      <c r="B858" s="107"/>
      <c r="C858" s="107"/>
      <c r="D858" s="107"/>
      <c r="E858" s="108"/>
      <c r="F858" s="109" t="str">
        <f>IF(H858&lt;&gt;"",H858-Accueil!N$6+1/60/24,"")</f>
        <v/>
      </c>
      <c r="G858" s="107"/>
      <c r="H858" s="109"/>
      <c r="I858" s="110"/>
      <c r="J858" s="110"/>
      <c r="K858" s="111"/>
      <c r="L858" s="112"/>
      <c r="M858" s="113"/>
      <c r="N858" s="114"/>
      <c r="O858" s="107"/>
      <c r="P858" s="107"/>
      <c r="Q858" s="115"/>
      <c r="R858" s="116"/>
      <c r="S858" s="107"/>
      <c r="T858" s="107"/>
      <c r="U858" s="107" t="str">
        <f t="shared" si="16"/>
        <v/>
      </c>
      <c r="V858" s="107"/>
      <c r="W858" s="107"/>
      <c r="X858" s="107"/>
      <c r="Y858" s="107"/>
      <c r="Z858" s="107"/>
      <c r="AA858" s="107"/>
      <c r="AB858" s="107"/>
      <c r="AC858" s="107"/>
      <c r="AD858" s="107"/>
      <c r="AE858" s="107"/>
      <c r="AF858" s="107"/>
      <c r="AG858" s="107"/>
      <c r="AH858" s="107"/>
      <c r="AI858" s="107"/>
      <c r="AJ858" s="107"/>
      <c r="AK858" s="107"/>
      <c r="AL858" s="107"/>
      <c r="AM858" s="107"/>
      <c r="AN858" s="107"/>
      <c r="AO858" s="107"/>
      <c r="AP858" s="107"/>
      <c r="AQ858" s="107"/>
      <c r="AR858" s="107"/>
      <c r="AS858" s="107"/>
      <c r="AT858" s="107"/>
      <c r="AU858" s="107"/>
      <c r="AV858" s="107"/>
      <c r="AW858" s="107"/>
      <c r="AX858" s="107"/>
      <c r="AY858" s="107"/>
      <c r="AZ858" s="107"/>
      <c r="BA858" s="107"/>
      <c r="BB858" s="107"/>
      <c r="BC858" s="107"/>
      <c r="BD858" s="107"/>
      <c r="BE858" s="107"/>
      <c r="BF858" s="107"/>
      <c r="BG858" s="107"/>
      <c r="BH858" s="107"/>
    </row>
    <row r="859" spans="1:60" x14ac:dyDescent="0.25">
      <c r="A859" s="96"/>
      <c r="B859" s="97"/>
      <c r="C859" s="97"/>
      <c r="D859" s="97"/>
      <c r="E859" s="98"/>
      <c r="F859" s="99" t="str">
        <f>IF(H859&lt;&gt;"",H859-Accueil!N$6+1/60/24,"")</f>
        <v/>
      </c>
      <c r="G859" s="97"/>
      <c r="H859" s="99"/>
      <c r="I859" s="99"/>
      <c r="J859" s="100"/>
      <c r="K859" s="101"/>
      <c r="L859" s="102"/>
      <c r="M859" s="103"/>
      <c r="N859" s="104"/>
      <c r="O859" s="97"/>
      <c r="P859" s="97"/>
      <c r="Q859" s="97"/>
      <c r="R859" s="105"/>
      <c r="S859" s="97"/>
      <c r="T859" s="97"/>
      <c r="U859" s="97" t="str">
        <f t="shared" si="16"/>
        <v/>
      </c>
      <c r="V859" s="97"/>
      <c r="W859" s="97"/>
      <c r="X859" s="97"/>
      <c r="Y859" s="97"/>
      <c r="Z859" s="97"/>
      <c r="AA859" s="97"/>
      <c r="AB859" s="97"/>
      <c r="AC859" s="97"/>
      <c r="AD859" s="97"/>
      <c r="AE859" s="97"/>
      <c r="AF859" s="97"/>
      <c r="AG859" s="97"/>
      <c r="AH859" s="97"/>
      <c r="AI859" s="97"/>
      <c r="AJ859" s="97"/>
      <c r="AK859" s="97"/>
      <c r="AL859" s="97"/>
      <c r="AM859" s="97"/>
      <c r="AN859" s="97"/>
      <c r="AO859" s="97"/>
      <c r="AP859" s="97"/>
      <c r="AQ859" s="97"/>
      <c r="AR859" s="97"/>
      <c r="AS859" s="97"/>
      <c r="AT859" s="97"/>
      <c r="AU859" s="97"/>
      <c r="AV859" s="97"/>
      <c r="AW859" s="97"/>
      <c r="AX859" s="97"/>
      <c r="AY859" s="97"/>
      <c r="AZ859" s="97"/>
      <c r="BA859" s="97"/>
      <c r="BB859" s="97"/>
      <c r="BC859" s="97"/>
      <c r="BD859" s="97"/>
      <c r="BE859" s="97"/>
      <c r="BF859" s="97"/>
      <c r="BG859" s="97"/>
      <c r="BH859" s="97"/>
    </row>
    <row r="860" spans="1:60" x14ac:dyDescent="0.25">
      <c r="A860" s="106"/>
      <c r="B860" s="107"/>
      <c r="C860" s="107"/>
      <c r="D860" s="107"/>
      <c r="E860" s="108"/>
      <c r="F860" s="109" t="str">
        <f>IF(H860&lt;&gt;"",H860-Accueil!N$6+1/60/24,"")</f>
        <v/>
      </c>
      <c r="G860" s="107"/>
      <c r="H860" s="109"/>
      <c r="I860" s="110"/>
      <c r="J860" s="110"/>
      <c r="K860" s="111"/>
      <c r="L860" s="112"/>
      <c r="M860" s="113"/>
      <c r="N860" s="114"/>
      <c r="O860" s="107"/>
      <c r="P860" s="107"/>
      <c r="Q860" s="115"/>
      <c r="R860" s="116"/>
      <c r="S860" s="107"/>
      <c r="T860" s="107"/>
      <c r="U860" s="107" t="str">
        <f t="shared" si="16"/>
        <v/>
      </c>
      <c r="V860" s="107"/>
      <c r="W860" s="107"/>
      <c r="X860" s="107"/>
      <c r="Y860" s="107"/>
      <c r="Z860" s="107"/>
      <c r="AA860" s="107"/>
      <c r="AB860" s="107"/>
      <c r="AC860" s="107"/>
      <c r="AD860" s="107"/>
      <c r="AE860" s="107"/>
      <c r="AF860" s="107"/>
      <c r="AG860" s="107"/>
      <c r="AH860" s="107"/>
      <c r="AI860" s="107"/>
      <c r="AJ860" s="107"/>
      <c r="AK860" s="107"/>
      <c r="AL860" s="107"/>
      <c r="AM860" s="107"/>
      <c r="AN860" s="107"/>
      <c r="AO860" s="107"/>
      <c r="AP860" s="107"/>
      <c r="AQ860" s="107"/>
      <c r="AR860" s="107"/>
      <c r="AS860" s="107"/>
      <c r="AT860" s="107"/>
      <c r="AU860" s="107"/>
      <c r="AV860" s="107"/>
      <c r="AW860" s="107"/>
      <c r="AX860" s="107"/>
      <c r="AY860" s="107"/>
      <c r="AZ860" s="107"/>
      <c r="BA860" s="107"/>
      <c r="BB860" s="107"/>
      <c r="BC860" s="107"/>
      <c r="BD860" s="107"/>
      <c r="BE860" s="107"/>
      <c r="BF860" s="107"/>
      <c r="BG860" s="107"/>
      <c r="BH860" s="107"/>
    </row>
    <row r="861" spans="1:60" x14ac:dyDescent="0.25">
      <c r="A861" s="96"/>
      <c r="B861" s="97"/>
      <c r="C861" s="97"/>
      <c r="D861" s="97"/>
      <c r="E861" s="98"/>
      <c r="F861" s="99" t="str">
        <f>IF(H861&lt;&gt;"",H861-Accueil!N$6+1/60/24,"")</f>
        <v/>
      </c>
      <c r="G861" s="97"/>
      <c r="H861" s="99"/>
      <c r="I861" s="99"/>
      <c r="J861" s="100"/>
      <c r="K861" s="101"/>
      <c r="L861" s="102"/>
      <c r="M861" s="103"/>
      <c r="N861" s="104"/>
      <c r="O861" s="97"/>
      <c r="P861" s="97"/>
      <c r="Q861" s="97"/>
      <c r="R861" s="105"/>
      <c r="S861" s="97"/>
      <c r="T861" s="97"/>
      <c r="U861" s="97" t="str">
        <f t="shared" si="16"/>
        <v/>
      </c>
      <c r="V861" s="97"/>
      <c r="W861" s="97"/>
      <c r="X861" s="97"/>
      <c r="Y861" s="97"/>
      <c r="Z861" s="97"/>
      <c r="AA861" s="97"/>
      <c r="AB861" s="97"/>
      <c r="AC861" s="97"/>
      <c r="AD861" s="97"/>
      <c r="AE861" s="97"/>
      <c r="AF861" s="97"/>
      <c r="AG861" s="97"/>
      <c r="AH861" s="97"/>
      <c r="AI861" s="97"/>
      <c r="AJ861" s="97"/>
      <c r="AK861" s="97"/>
      <c r="AL861" s="97"/>
      <c r="AM861" s="97"/>
      <c r="AN861" s="97"/>
      <c r="AO861" s="97"/>
      <c r="AP861" s="97"/>
      <c r="AQ861" s="97"/>
      <c r="AR861" s="97"/>
      <c r="AS861" s="97"/>
      <c r="AT861" s="97"/>
      <c r="AU861" s="97"/>
      <c r="AV861" s="97"/>
      <c r="AW861" s="97"/>
      <c r="AX861" s="97"/>
      <c r="AY861" s="97"/>
      <c r="AZ861" s="97"/>
      <c r="BA861" s="97"/>
      <c r="BB861" s="97"/>
      <c r="BC861" s="97"/>
      <c r="BD861" s="97"/>
      <c r="BE861" s="97"/>
      <c r="BF861" s="97"/>
      <c r="BG861" s="97"/>
      <c r="BH861" s="97"/>
    </row>
    <row r="862" spans="1:60" x14ac:dyDescent="0.25">
      <c r="A862" s="106"/>
      <c r="B862" s="107"/>
      <c r="C862" s="107"/>
      <c r="D862" s="107"/>
      <c r="E862" s="108"/>
      <c r="F862" s="109" t="str">
        <f>IF(H862&lt;&gt;"",H862-Accueil!N$6+1/60/24,"")</f>
        <v/>
      </c>
      <c r="G862" s="107"/>
      <c r="H862" s="109"/>
      <c r="I862" s="110"/>
      <c r="J862" s="110"/>
      <c r="K862" s="111"/>
      <c r="L862" s="112"/>
      <c r="M862" s="113"/>
      <c r="N862" s="114"/>
      <c r="O862" s="107"/>
      <c r="P862" s="107"/>
      <c r="Q862" s="115"/>
      <c r="R862" s="116"/>
      <c r="S862" s="107"/>
      <c r="T862" s="107"/>
      <c r="U862" s="107" t="str">
        <f t="shared" si="16"/>
        <v/>
      </c>
      <c r="V862" s="107"/>
      <c r="W862" s="107"/>
      <c r="X862" s="107"/>
      <c r="Y862" s="107"/>
      <c r="Z862" s="107"/>
      <c r="AA862" s="107"/>
      <c r="AB862" s="107"/>
      <c r="AC862" s="107"/>
      <c r="AD862" s="107"/>
      <c r="AE862" s="107"/>
      <c r="AF862" s="107"/>
      <c r="AG862" s="107"/>
      <c r="AH862" s="107"/>
      <c r="AI862" s="107"/>
      <c r="AJ862" s="107"/>
      <c r="AK862" s="107"/>
      <c r="AL862" s="107"/>
      <c r="AM862" s="107"/>
      <c r="AN862" s="107"/>
      <c r="AO862" s="107"/>
      <c r="AP862" s="107"/>
      <c r="AQ862" s="107"/>
      <c r="AR862" s="107"/>
      <c r="AS862" s="107"/>
      <c r="AT862" s="107"/>
      <c r="AU862" s="107"/>
      <c r="AV862" s="107"/>
      <c r="AW862" s="107"/>
      <c r="AX862" s="107"/>
      <c r="AY862" s="107"/>
      <c r="AZ862" s="107"/>
      <c r="BA862" s="107"/>
      <c r="BB862" s="107"/>
      <c r="BC862" s="107"/>
      <c r="BD862" s="107"/>
      <c r="BE862" s="107"/>
      <c r="BF862" s="107"/>
      <c r="BG862" s="107"/>
      <c r="BH862" s="107"/>
    </row>
    <row r="863" spans="1:60" x14ac:dyDescent="0.25">
      <c r="A863" s="96"/>
      <c r="B863" s="97"/>
      <c r="C863" s="97"/>
      <c r="D863" s="97"/>
      <c r="E863" s="98"/>
      <c r="F863" s="99" t="str">
        <f>IF(H863&lt;&gt;"",H863-Accueil!N$6+1/60/24,"")</f>
        <v/>
      </c>
      <c r="G863" s="97"/>
      <c r="H863" s="99"/>
      <c r="I863" s="99"/>
      <c r="J863" s="100"/>
      <c r="K863" s="101"/>
      <c r="L863" s="102"/>
      <c r="M863" s="103"/>
      <c r="N863" s="104"/>
      <c r="O863" s="97"/>
      <c r="P863" s="97"/>
      <c r="Q863" s="97"/>
      <c r="R863" s="105"/>
      <c r="S863" s="97"/>
      <c r="T863" s="97"/>
      <c r="U863" s="97" t="str">
        <f t="shared" si="16"/>
        <v/>
      </c>
      <c r="V863" s="97"/>
      <c r="W863" s="97"/>
      <c r="X863" s="97"/>
      <c r="Y863" s="97"/>
      <c r="Z863" s="97"/>
      <c r="AA863" s="97"/>
      <c r="AB863" s="97"/>
      <c r="AC863" s="97"/>
      <c r="AD863" s="97"/>
      <c r="AE863" s="97"/>
      <c r="AF863" s="97"/>
      <c r="AG863" s="97"/>
      <c r="AH863" s="97"/>
      <c r="AI863" s="97"/>
      <c r="AJ863" s="97"/>
      <c r="AK863" s="97"/>
      <c r="AL863" s="97"/>
      <c r="AM863" s="97"/>
      <c r="AN863" s="97"/>
      <c r="AO863" s="97"/>
      <c r="AP863" s="97"/>
      <c r="AQ863" s="97"/>
      <c r="AR863" s="97"/>
      <c r="AS863" s="97"/>
      <c r="AT863" s="97"/>
      <c r="AU863" s="97"/>
      <c r="AV863" s="97"/>
      <c r="AW863" s="97"/>
      <c r="AX863" s="97"/>
      <c r="AY863" s="97"/>
      <c r="AZ863" s="97"/>
      <c r="BA863" s="97"/>
      <c r="BB863" s="97"/>
      <c r="BC863" s="97"/>
      <c r="BD863" s="97"/>
      <c r="BE863" s="97"/>
      <c r="BF863" s="97"/>
      <c r="BG863" s="97"/>
      <c r="BH863" s="97"/>
    </row>
    <row r="864" spans="1:60" x14ac:dyDescent="0.25">
      <c r="A864" s="106"/>
      <c r="B864" s="107"/>
      <c r="C864" s="107"/>
      <c r="D864" s="107"/>
      <c r="E864" s="108"/>
      <c r="F864" s="109" t="str">
        <f>IF(H864&lt;&gt;"",H864-Accueil!N$6+1/60/24,"")</f>
        <v/>
      </c>
      <c r="G864" s="107"/>
      <c r="H864" s="109"/>
      <c r="I864" s="110"/>
      <c r="J864" s="110"/>
      <c r="K864" s="111"/>
      <c r="L864" s="112"/>
      <c r="M864" s="113"/>
      <c r="N864" s="114"/>
      <c r="O864" s="107"/>
      <c r="P864" s="107"/>
      <c r="Q864" s="115"/>
      <c r="R864" s="116"/>
      <c r="S864" s="107"/>
      <c r="T864" s="107"/>
      <c r="U864" s="107" t="str">
        <f t="shared" si="16"/>
        <v/>
      </c>
      <c r="V864" s="107"/>
      <c r="W864" s="107"/>
      <c r="X864" s="107"/>
      <c r="Y864" s="107"/>
      <c r="Z864" s="107"/>
      <c r="AA864" s="107"/>
      <c r="AB864" s="107"/>
      <c r="AC864" s="107"/>
      <c r="AD864" s="107"/>
      <c r="AE864" s="107"/>
      <c r="AF864" s="107"/>
      <c r="AG864" s="107"/>
      <c r="AH864" s="107"/>
      <c r="AI864" s="107"/>
      <c r="AJ864" s="107"/>
      <c r="AK864" s="107"/>
      <c r="AL864" s="107"/>
      <c r="AM864" s="107"/>
      <c r="AN864" s="107"/>
      <c r="AO864" s="107"/>
      <c r="AP864" s="107"/>
      <c r="AQ864" s="107"/>
      <c r="AR864" s="107"/>
      <c r="AS864" s="107"/>
      <c r="AT864" s="107"/>
      <c r="AU864" s="107"/>
      <c r="AV864" s="107"/>
      <c r="AW864" s="107"/>
      <c r="AX864" s="107"/>
      <c r="AY864" s="107"/>
      <c r="AZ864" s="107"/>
      <c r="BA864" s="107"/>
      <c r="BB864" s="107"/>
      <c r="BC864" s="107"/>
      <c r="BD864" s="107"/>
      <c r="BE864" s="107"/>
      <c r="BF864" s="107"/>
      <c r="BG864" s="107"/>
      <c r="BH864" s="107"/>
    </row>
    <row r="865" spans="1:60" x14ac:dyDescent="0.25">
      <c r="A865" s="96"/>
      <c r="B865" s="97"/>
      <c r="C865" s="97"/>
      <c r="D865" s="97"/>
      <c r="E865" s="98"/>
      <c r="F865" s="99" t="str">
        <f>IF(H865&lt;&gt;"",H865-Accueil!N$6+1/60/24,"")</f>
        <v/>
      </c>
      <c r="G865" s="97"/>
      <c r="H865" s="99"/>
      <c r="I865" s="99"/>
      <c r="J865" s="100"/>
      <c r="K865" s="101"/>
      <c r="L865" s="102"/>
      <c r="M865" s="103"/>
      <c r="N865" s="104"/>
      <c r="O865" s="97"/>
      <c r="P865" s="97"/>
      <c r="Q865" s="97"/>
      <c r="R865" s="105"/>
      <c r="S865" s="97"/>
      <c r="T865" s="97"/>
      <c r="U865" s="97" t="str">
        <f t="shared" si="16"/>
        <v/>
      </c>
      <c r="V865" s="97"/>
      <c r="W865" s="97"/>
      <c r="X865" s="97"/>
      <c r="Y865" s="97"/>
      <c r="Z865" s="97"/>
      <c r="AA865" s="97"/>
      <c r="AB865" s="97"/>
      <c r="AC865" s="97"/>
      <c r="AD865" s="97"/>
      <c r="AE865" s="97"/>
      <c r="AF865" s="97"/>
      <c r="AG865" s="97"/>
      <c r="AH865" s="97"/>
      <c r="AI865" s="97"/>
      <c r="AJ865" s="97"/>
      <c r="AK865" s="97"/>
      <c r="AL865" s="97"/>
      <c r="AM865" s="97"/>
      <c r="AN865" s="97"/>
      <c r="AO865" s="97"/>
      <c r="AP865" s="97"/>
      <c r="AQ865" s="97"/>
      <c r="AR865" s="97"/>
      <c r="AS865" s="97"/>
      <c r="AT865" s="97"/>
      <c r="AU865" s="97"/>
      <c r="AV865" s="97"/>
      <c r="AW865" s="97"/>
      <c r="AX865" s="97"/>
      <c r="AY865" s="97"/>
      <c r="AZ865" s="97"/>
      <c r="BA865" s="97"/>
      <c r="BB865" s="97"/>
      <c r="BC865" s="97"/>
      <c r="BD865" s="97"/>
      <c r="BE865" s="97"/>
      <c r="BF865" s="97"/>
      <c r="BG865" s="97"/>
      <c r="BH865" s="97"/>
    </row>
    <row r="866" spans="1:60" x14ac:dyDescent="0.25">
      <c r="A866" s="106"/>
      <c r="B866" s="107"/>
      <c r="C866" s="107"/>
      <c r="D866" s="107"/>
      <c r="E866" s="108"/>
      <c r="F866" s="109" t="str">
        <f>IF(H866&lt;&gt;"",H866-Accueil!N$6+1/60/24,"")</f>
        <v/>
      </c>
      <c r="G866" s="107"/>
      <c r="H866" s="109"/>
      <c r="I866" s="110"/>
      <c r="J866" s="110"/>
      <c r="K866" s="111"/>
      <c r="L866" s="112"/>
      <c r="M866" s="113"/>
      <c r="N866" s="114"/>
      <c r="O866" s="107"/>
      <c r="P866" s="107"/>
      <c r="Q866" s="115"/>
      <c r="R866" s="116"/>
      <c r="S866" s="107"/>
      <c r="T866" s="107"/>
      <c r="U866" s="107" t="str">
        <f t="shared" si="16"/>
        <v/>
      </c>
      <c r="V866" s="107"/>
      <c r="W866" s="107"/>
      <c r="X866" s="107"/>
      <c r="Y866" s="107"/>
      <c r="Z866" s="107"/>
      <c r="AA866" s="107"/>
      <c r="AB866" s="107"/>
      <c r="AC866" s="107"/>
      <c r="AD866" s="107"/>
      <c r="AE866" s="107"/>
      <c r="AF866" s="107"/>
      <c r="AG866" s="107"/>
      <c r="AH866" s="107"/>
      <c r="AI866" s="107"/>
      <c r="AJ866" s="107"/>
      <c r="AK866" s="107"/>
      <c r="AL866" s="107"/>
      <c r="AM866" s="107"/>
      <c r="AN866" s="107"/>
      <c r="AO866" s="107"/>
      <c r="AP866" s="107"/>
      <c r="AQ866" s="107"/>
      <c r="AR866" s="107"/>
      <c r="AS866" s="107"/>
      <c r="AT866" s="107"/>
      <c r="AU866" s="107"/>
      <c r="AV866" s="107"/>
      <c r="AW866" s="107"/>
      <c r="AX866" s="107"/>
      <c r="AY866" s="107"/>
      <c r="AZ866" s="107"/>
      <c r="BA866" s="107"/>
      <c r="BB866" s="107"/>
      <c r="BC866" s="107"/>
      <c r="BD866" s="107"/>
      <c r="BE866" s="107"/>
      <c r="BF866" s="107"/>
      <c r="BG866" s="107"/>
      <c r="BH866" s="107"/>
    </row>
    <row r="867" spans="1:60" x14ac:dyDescent="0.25">
      <c r="A867" s="96"/>
      <c r="B867" s="97"/>
      <c r="C867" s="97"/>
      <c r="D867" s="97"/>
      <c r="E867" s="98"/>
      <c r="F867" s="99" t="str">
        <f>IF(H867&lt;&gt;"",H867-Accueil!N$6+1/60/24,"")</f>
        <v/>
      </c>
      <c r="G867" s="97"/>
      <c r="H867" s="99"/>
      <c r="I867" s="99"/>
      <c r="J867" s="100"/>
      <c r="K867" s="101"/>
      <c r="L867" s="102"/>
      <c r="M867" s="103"/>
      <c r="N867" s="104"/>
      <c r="O867" s="97"/>
      <c r="P867" s="97"/>
      <c r="Q867" s="97"/>
      <c r="R867" s="105"/>
      <c r="S867" s="97"/>
      <c r="T867" s="97"/>
      <c r="U867" s="97" t="str">
        <f t="shared" si="16"/>
        <v/>
      </c>
      <c r="V867" s="97"/>
      <c r="W867" s="97"/>
      <c r="X867" s="97"/>
      <c r="Y867" s="97"/>
      <c r="Z867" s="97"/>
      <c r="AA867" s="97"/>
      <c r="AB867" s="97"/>
      <c r="AC867" s="97"/>
      <c r="AD867" s="97"/>
      <c r="AE867" s="97"/>
      <c r="AF867" s="97"/>
      <c r="AG867" s="97"/>
      <c r="AH867" s="97"/>
      <c r="AI867" s="97"/>
      <c r="AJ867" s="97"/>
      <c r="AK867" s="97"/>
      <c r="AL867" s="97"/>
      <c r="AM867" s="97"/>
      <c r="AN867" s="97"/>
      <c r="AO867" s="97"/>
      <c r="AP867" s="97"/>
      <c r="AQ867" s="97"/>
      <c r="AR867" s="97"/>
      <c r="AS867" s="97"/>
      <c r="AT867" s="97"/>
      <c r="AU867" s="97"/>
      <c r="AV867" s="97"/>
      <c r="AW867" s="97"/>
      <c r="AX867" s="97"/>
      <c r="AY867" s="97"/>
      <c r="AZ867" s="97"/>
      <c r="BA867" s="97"/>
      <c r="BB867" s="97"/>
      <c r="BC867" s="97"/>
      <c r="BD867" s="97"/>
      <c r="BE867" s="97"/>
      <c r="BF867" s="97"/>
      <c r="BG867" s="97"/>
      <c r="BH867" s="97"/>
    </row>
    <row r="868" spans="1:60" x14ac:dyDescent="0.25">
      <c r="A868" s="106"/>
      <c r="B868" s="107"/>
      <c r="C868" s="107"/>
      <c r="D868" s="107"/>
      <c r="E868" s="108"/>
      <c r="F868" s="109" t="str">
        <f>IF(H868&lt;&gt;"",H868-Accueil!N$6+1/60/24,"")</f>
        <v/>
      </c>
      <c r="G868" s="107"/>
      <c r="H868" s="109"/>
      <c r="I868" s="110"/>
      <c r="J868" s="110"/>
      <c r="K868" s="111"/>
      <c r="L868" s="112"/>
      <c r="M868" s="113"/>
      <c r="N868" s="114"/>
      <c r="O868" s="107"/>
      <c r="P868" s="107"/>
      <c r="Q868" s="115"/>
      <c r="R868" s="116"/>
      <c r="S868" s="107"/>
      <c r="T868" s="107"/>
      <c r="U868" s="107" t="str">
        <f t="shared" si="16"/>
        <v/>
      </c>
      <c r="V868" s="107"/>
      <c r="W868" s="107"/>
      <c r="X868" s="107"/>
      <c r="Y868" s="107"/>
      <c r="Z868" s="107"/>
      <c r="AA868" s="107"/>
      <c r="AB868" s="107"/>
      <c r="AC868" s="107"/>
      <c r="AD868" s="107"/>
      <c r="AE868" s="107"/>
      <c r="AF868" s="107"/>
      <c r="AG868" s="107"/>
      <c r="AH868" s="107"/>
      <c r="AI868" s="107"/>
      <c r="AJ868" s="107"/>
      <c r="AK868" s="107"/>
      <c r="AL868" s="107"/>
      <c r="AM868" s="107"/>
      <c r="AN868" s="107"/>
      <c r="AO868" s="107"/>
      <c r="AP868" s="107"/>
      <c r="AQ868" s="107"/>
      <c r="AR868" s="107"/>
      <c r="AS868" s="107"/>
      <c r="AT868" s="107"/>
      <c r="AU868" s="107"/>
      <c r="AV868" s="107"/>
      <c r="AW868" s="107"/>
      <c r="AX868" s="107"/>
      <c r="AY868" s="107"/>
      <c r="AZ868" s="107"/>
      <c r="BA868" s="107"/>
      <c r="BB868" s="107"/>
      <c r="BC868" s="107"/>
      <c r="BD868" s="107"/>
      <c r="BE868" s="107"/>
      <c r="BF868" s="107"/>
      <c r="BG868" s="107"/>
      <c r="BH868" s="107"/>
    </row>
    <row r="869" spans="1:60" x14ac:dyDescent="0.25">
      <c r="A869" s="96"/>
      <c r="B869" s="97"/>
      <c r="C869" s="97"/>
      <c r="D869" s="97"/>
      <c r="E869" s="98"/>
      <c r="F869" s="99" t="str">
        <f>IF(H869&lt;&gt;"",H869-Accueil!N$6+1/60/24,"")</f>
        <v/>
      </c>
      <c r="G869" s="97"/>
      <c r="H869" s="99"/>
      <c r="I869" s="99"/>
      <c r="J869" s="100"/>
      <c r="K869" s="101"/>
      <c r="L869" s="102"/>
      <c r="M869" s="103"/>
      <c r="N869" s="104"/>
      <c r="O869" s="97"/>
      <c r="P869" s="97"/>
      <c r="Q869" s="97"/>
      <c r="R869" s="105"/>
      <c r="S869" s="97"/>
      <c r="T869" s="97"/>
      <c r="U869" s="97" t="str">
        <f t="shared" si="16"/>
        <v/>
      </c>
      <c r="V869" s="97"/>
      <c r="W869" s="97"/>
      <c r="X869" s="97"/>
      <c r="Y869" s="97"/>
      <c r="Z869" s="97"/>
      <c r="AA869" s="97"/>
      <c r="AB869" s="97"/>
      <c r="AC869" s="97"/>
      <c r="AD869" s="97"/>
      <c r="AE869" s="97"/>
      <c r="AF869" s="97"/>
      <c r="AG869" s="97"/>
      <c r="AH869" s="97"/>
      <c r="AI869" s="97"/>
      <c r="AJ869" s="97"/>
      <c r="AK869" s="97"/>
      <c r="AL869" s="97"/>
      <c r="AM869" s="97"/>
      <c r="AN869" s="97"/>
      <c r="AO869" s="97"/>
      <c r="AP869" s="97"/>
      <c r="AQ869" s="97"/>
      <c r="AR869" s="97"/>
      <c r="AS869" s="97"/>
      <c r="AT869" s="97"/>
      <c r="AU869" s="97"/>
      <c r="AV869" s="97"/>
      <c r="AW869" s="97"/>
      <c r="AX869" s="97"/>
      <c r="AY869" s="97"/>
      <c r="AZ869" s="97"/>
      <c r="BA869" s="97"/>
      <c r="BB869" s="97"/>
      <c r="BC869" s="97"/>
      <c r="BD869" s="97"/>
      <c r="BE869" s="97"/>
      <c r="BF869" s="97"/>
      <c r="BG869" s="97"/>
      <c r="BH869" s="97"/>
    </row>
    <row r="870" spans="1:60" x14ac:dyDescent="0.25">
      <c r="A870" s="106"/>
      <c r="B870" s="107"/>
      <c r="C870" s="107"/>
      <c r="D870" s="107"/>
      <c r="E870" s="108"/>
      <c r="F870" s="109" t="str">
        <f>IF(H870&lt;&gt;"",H870-Accueil!N$6+1/60/24,"")</f>
        <v/>
      </c>
      <c r="G870" s="107"/>
      <c r="H870" s="109"/>
      <c r="I870" s="110"/>
      <c r="J870" s="110"/>
      <c r="K870" s="111"/>
      <c r="L870" s="112"/>
      <c r="M870" s="113"/>
      <c r="N870" s="114"/>
      <c r="O870" s="107"/>
      <c r="P870" s="107"/>
      <c r="Q870" s="115"/>
      <c r="R870" s="116"/>
      <c r="S870" s="107"/>
      <c r="T870" s="107"/>
      <c r="U870" s="107" t="str">
        <f t="shared" si="16"/>
        <v/>
      </c>
      <c r="V870" s="107"/>
      <c r="W870" s="107"/>
      <c r="X870" s="107"/>
      <c r="Y870" s="107"/>
      <c r="Z870" s="107"/>
      <c r="AA870" s="107"/>
      <c r="AB870" s="107"/>
      <c r="AC870" s="107"/>
      <c r="AD870" s="107"/>
      <c r="AE870" s="107"/>
      <c r="AF870" s="107"/>
      <c r="AG870" s="107"/>
      <c r="AH870" s="107"/>
      <c r="AI870" s="107"/>
      <c r="AJ870" s="107"/>
      <c r="AK870" s="107"/>
      <c r="AL870" s="107"/>
      <c r="AM870" s="107"/>
      <c r="AN870" s="107"/>
      <c r="AO870" s="107"/>
      <c r="AP870" s="107"/>
      <c r="AQ870" s="107"/>
      <c r="AR870" s="107"/>
      <c r="AS870" s="107"/>
      <c r="AT870" s="107"/>
      <c r="AU870" s="107"/>
      <c r="AV870" s="107"/>
      <c r="AW870" s="107"/>
      <c r="AX870" s="107"/>
      <c r="AY870" s="107"/>
      <c r="AZ870" s="107"/>
      <c r="BA870" s="107"/>
      <c r="BB870" s="107"/>
      <c r="BC870" s="107"/>
      <c r="BD870" s="107"/>
      <c r="BE870" s="107"/>
      <c r="BF870" s="107"/>
      <c r="BG870" s="107"/>
      <c r="BH870" s="107"/>
    </row>
    <row r="871" spans="1:60" x14ac:dyDescent="0.25">
      <c r="A871" s="96"/>
      <c r="B871" s="97"/>
      <c r="C871" s="97"/>
      <c r="D871" s="97"/>
      <c r="E871" s="98"/>
      <c r="F871" s="99" t="str">
        <f>IF(H871&lt;&gt;"",H871-Accueil!N$6+1/60/24,"")</f>
        <v/>
      </c>
      <c r="G871" s="97"/>
      <c r="H871" s="99"/>
      <c r="I871" s="99"/>
      <c r="J871" s="100"/>
      <c r="K871" s="101"/>
      <c r="L871" s="102"/>
      <c r="M871" s="103"/>
      <c r="N871" s="104"/>
      <c r="O871" s="97"/>
      <c r="P871" s="97"/>
      <c r="Q871" s="97"/>
      <c r="R871" s="105"/>
      <c r="S871" s="97"/>
      <c r="T871" s="97"/>
      <c r="U871" s="97" t="str">
        <f t="shared" si="16"/>
        <v/>
      </c>
      <c r="V871" s="97"/>
      <c r="W871" s="97"/>
      <c r="X871" s="97"/>
      <c r="Y871" s="97"/>
      <c r="Z871" s="97"/>
      <c r="AA871" s="97"/>
      <c r="AB871" s="97"/>
      <c r="AC871" s="97"/>
      <c r="AD871" s="97"/>
      <c r="AE871" s="97"/>
      <c r="AF871" s="97"/>
      <c r="AG871" s="97"/>
      <c r="AH871" s="97"/>
      <c r="AI871" s="97"/>
      <c r="AJ871" s="97"/>
      <c r="AK871" s="97"/>
      <c r="AL871" s="97"/>
      <c r="AM871" s="97"/>
      <c r="AN871" s="97"/>
      <c r="AO871" s="97"/>
      <c r="AP871" s="97"/>
      <c r="AQ871" s="97"/>
      <c r="AR871" s="97"/>
      <c r="AS871" s="97"/>
      <c r="AT871" s="97"/>
      <c r="AU871" s="97"/>
      <c r="AV871" s="97"/>
      <c r="AW871" s="97"/>
      <c r="AX871" s="97"/>
      <c r="AY871" s="97"/>
      <c r="AZ871" s="97"/>
      <c r="BA871" s="97"/>
      <c r="BB871" s="97"/>
      <c r="BC871" s="97"/>
      <c r="BD871" s="97"/>
      <c r="BE871" s="97"/>
      <c r="BF871" s="97"/>
      <c r="BG871" s="97"/>
      <c r="BH871" s="97"/>
    </row>
    <row r="872" spans="1:60" x14ac:dyDescent="0.25">
      <c r="A872" s="106"/>
      <c r="B872" s="107"/>
      <c r="C872" s="107"/>
      <c r="D872" s="107"/>
      <c r="E872" s="108"/>
      <c r="F872" s="109" t="str">
        <f>IF(H872&lt;&gt;"",H872-Accueil!N$6+1/60/24,"")</f>
        <v/>
      </c>
      <c r="G872" s="107"/>
      <c r="H872" s="109"/>
      <c r="I872" s="110"/>
      <c r="J872" s="110"/>
      <c r="K872" s="111"/>
      <c r="L872" s="112"/>
      <c r="M872" s="113"/>
      <c r="N872" s="114"/>
      <c r="O872" s="107"/>
      <c r="P872" s="107"/>
      <c r="Q872" s="115"/>
      <c r="R872" s="116"/>
      <c r="S872" s="107"/>
      <c r="T872" s="107"/>
      <c r="U872" s="107" t="str">
        <f t="shared" si="16"/>
        <v/>
      </c>
      <c r="V872" s="107"/>
      <c r="W872" s="107"/>
      <c r="X872" s="107"/>
      <c r="Y872" s="107"/>
      <c r="Z872" s="107"/>
      <c r="AA872" s="107"/>
      <c r="AB872" s="107"/>
      <c r="AC872" s="107"/>
      <c r="AD872" s="107"/>
      <c r="AE872" s="107"/>
      <c r="AF872" s="107"/>
      <c r="AG872" s="107"/>
      <c r="AH872" s="107"/>
      <c r="AI872" s="107"/>
      <c r="AJ872" s="107"/>
      <c r="AK872" s="107"/>
      <c r="AL872" s="107"/>
      <c r="AM872" s="107"/>
      <c r="AN872" s="107"/>
      <c r="AO872" s="107"/>
      <c r="AP872" s="107"/>
      <c r="AQ872" s="107"/>
      <c r="AR872" s="107"/>
      <c r="AS872" s="107"/>
      <c r="AT872" s="107"/>
      <c r="AU872" s="107"/>
      <c r="AV872" s="107"/>
      <c r="AW872" s="107"/>
      <c r="AX872" s="107"/>
      <c r="AY872" s="107"/>
      <c r="AZ872" s="107"/>
      <c r="BA872" s="107"/>
      <c r="BB872" s="107"/>
      <c r="BC872" s="107"/>
      <c r="BD872" s="107"/>
      <c r="BE872" s="107"/>
      <c r="BF872" s="107"/>
      <c r="BG872" s="107"/>
      <c r="BH872" s="107"/>
    </row>
    <row r="873" spans="1:60" x14ac:dyDescent="0.25">
      <c r="A873" s="96"/>
      <c r="B873" s="97"/>
      <c r="C873" s="97"/>
      <c r="D873" s="97"/>
      <c r="E873" s="98"/>
      <c r="F873" s="99" t="str">
        <f>IF(H873&lt;&gt;"",H873-Accueil!N$6+1/60/24,"")</f>
        <v/>
      </c>
      <c r="G873" s="97"/>
      <c r="H873" s="99"/>
      <c r="I873" s="99"/>
      <c r="J873" s="100"/>
      <c r="K873" s="101"/>
      <c r="L873" s="102"/>
      <c r="M873" s="103"/>
      <c r="N873" s="104"/>
      <c r="O873" s="97"/>
      <c r="P873" s="97"/>
      <c r="Q873" s="97"/>
      <c r="R873" s="105"/>
      <c r="S873" s="97"/>
      <c r="T873" s="97"/>
      <c r="U873" s="97" t="str">
        <f t="shared" si="16"/>
        <v/>
      </c>
      <c r="V873" s="97"/>
      <c r="W873" s="97"/>
      <c r="X873" s="97"/>
      <c r="Y873" s="97"/>
      <c r="Z873" s="97"/>
      <c r="AA873" s="97"/>
      <c r="AB873" s="97"/>
      <c r="AC873" s="97"/>
      <c r="AD873" s="97"/>
      <c r="AE873" s="97"/>
      <c r="AF873" s="97"/>
      <c r="AG873" s="97"/>
      <c r="AH873" s="97"/>
      <c r="AI873" s="97"/>
      <c r="AJ873" s="97"/>
      <c r="AK873" s="97"/>
      <c r="AL873" s="97"/>
      <c r="AM873" s="97"/>
      <c r="AN873" s="97"/>
      <c r="AO873" s="97"/>
      <c r="AP873" s="97"/>
      <c r="AQ873" s="97"/>
      <c r="AR873" s="97"/>
      <c r="AS873" s="97"/>
      <c r="AT873" s="97"/>
      <c r="AU873" s="97"/>
      <c r="AV873" s="97"/>
      <c r="AW873" s="97"/>
      <c r="AX873" s="97"/>
      <c r="AY873" s="97"/>
      <c r="AZ873" s="97"/>
      <c r="BA873" s="97"/>
      <c r="BB873" s="97"/>
      <c r="BC873" s="97"/>
      <c r="BD873" s="97"/>
      <c r="BE873" s="97"/>
      <c r="BF873" s="97"/>
      <c r="BG873" s="97"/>
      <c r="BH873" s="97"/>
    </row>
    <row r="874" spans="1:60" x14ac:dyDescent="0.25">
      <c r="A874" s="106"/>
      <c r="B874" s="107"/>
      <c r="C874" s="107"/>
      <c r="D874" s="107"/>
      <c r="E874" s="108"/>
      <c r="F874" s="109" t="str">
        <f>IF(H874&lt;&gt;"",H874-Accueil!N$6+1/60/24,"")</f>
        <v/>
      </c>
      <c r="G874" s="107"/>
      <c r="H874" s="109"/>
      <c r="I874" s="110"/>
      <c r="J874" s="110"/>
      <c r="K874" s="111"/>
      <c r="L874" s="112"/>
      <c r="M874" s="113"/>
      <c r="N874" s="114"/>
      <c r="O874" s="107"/>
      <c r="P874" s="107"/>
      <c r="Q874" s="115"/>
      <c r="R874" s="116"/>
      <c r="S874" s="107"/>
      <c r="T874" s="107"/>
      <c r="U874" s="107" t="str">
        <f t="shared" si="16"/>
        <v/>
      </c>
      <c r="V874" s="107"/>
      <c r="W874" s="107"/>
      <c r="X874" s="107"/>
      <c r="Y874" s="107"/>
      <c r="Z874" s="107"/>
      <c r="AA874" s="107"/>
      <c r="AB874" s="107"/>
      <c r="AC874" s="107"/>
      <c r="AD874" s="107"/>
      <c r="AE874" s="107"/>
      <c r="AF874" s="107"/>
      <c r="AG874" s="107"/>
      <c r="AH874" s="107"/>
      <c r="AI874" s="107"/>
      <c r="AJ874" s="107"/>
      <c r="AK874" s="107"/>
      <c r="AL874" s="107"/>
      <c r="AM874" s="107"/>
      <c r="AN874" s="107"/>
      <c r="AO874" s="107"/>
      <c r="AP874" s="107"/>
      <c r="AQ874" s="107"/>
      <c r="AR874" s="107"/>
      <c r="AS874" s="107"/>
      <c r="AT874" s="107"/>
      <c r="AU874" s="107"/>
      <c r="AV874" s="107"/>
      <c r="AW874" s="107"/>
      <c r="AX874" s="107"/>
      <c r="AY874" s="107"/>
      <c r="AZ874" s="107"/>
      <c r="BA874" s="107"/>
      <c r="BB874" s="107"/>
      <c r="BC874" s="107"/>
      <c r="BD874" s="107"/>
      <c r="BE874" s="107"/>
      <c r="BF874" s="107"/>
      <c r="BG874" s="107"/>
      <c r="BH874" s="107"/>
    </row>
    <row r="875" spans="1:60" x14ac:dyDescent="0.25">
      <c r="A875" s="96"/>
      <c r="B875" s="97"/>
      <c r="C875" s="97"/>
      <c r="D875" s="97"/>
      <c r="E875" s="98"/>
      <c r="F875" s="99" t="str">
        <f>IF(H875&lt;&gt;"",H875-Accueil!N$6+1/60/24,"")</f>
        <v/>
      </c>
      <c r="G875" s="97"/>
      <c r="H875" s="99"/>
      <c r="I875" s="99"/>
      <c r="J875" s="100"/>
      <c r="K875" s="101"/>
      <c r="L875" s="102"/>
      <c r="M875" s="103"/>
      <c r="N875" s="104"/>
      <c r="O875" s="97"/>
      <c r="P875" s="97"/>
      <c r="Q875" s="97"/>
      <c r="R875" s="105"/>
      <c r="S875" s="97"/>
      <c r="T875" s="97"/>
      <c r="U875" s="97" t="str">
        <f t="shared" si="16"/>
        <v/>
      </c>
      <c r="V875" s="97"/>
      <c r="W875" s="97"/>
      <c r="X875" s="97"/>
      <c r="Y875" s="97"/>
      <c r="Z875" s="97"/>
      <c r="AA875" s="97"/>
      <c r="AB875" s="97"/>
      <c r="AC875" s="97"/>
      <c r="AD875" s="97"/>
      <c r="AE875" s="97"/>
      <c r="AF875" s="97"/>
      <c r="AG875" s="97"/>
      <c r="AH875" s="97"/>
      <c r="AI875" s="97"/>
      <c r="AJ875" s="97"/>
      <c r="AK875" s="97"/>
      <c r="AL875" s="97"/>
      <c r="AM875" s="97"/>
      <c r="AN875" s="97"/>
      <c r="AO875" s="97"/>
      <c r="AP875" s="97"/>
      <c r="AQ875" s="97"/>
      <c r="AR875" s="97"/>
      <c r="AS875" s="97"/>
      <c r="AT875" s="97"/>
      <c r="AU875" s="97"/>
      <c r="AV875" s="97"/>
      <c r="AW875" s="97"/>
      <c r="AX875" s="97"/>
      <c r="AY875" s="97"/>
      <c r="AZ875" s="97"/>
      <c r="BA875" s="97"/>
      <c r="BB875" s="97"/>
      <c r="BC875" s="97"/>
      <c r="BD875" s="97"/>
      <c r="BE875" s="97"/>
      <c r="BF875" s="97"/>
      <c r="BG875" s="97"/>
      <c r="BH875" s="97"/>
    </row>
    <row r="876" spans="1:60" x14ac:dyDescent="0.25">
      <c r="A876" s="106"/>
      <c r="B876" s="107"/>
      <c r="C876" s="107"/>
      <c r="D876" s="107"/>
      <c r="E876" s="108"/>
      <c r="F876" s="109" t="str">
        <f>IF(H876&lt;&gt;"",H876-Accueil!N$6+1/60/24,"")</f>
        <v/>
      </c>
      <c r="G876" s="107"/>
      <c r="H876" s="109"/>
      <c r="I876" s="110"/>
      <c r="J876" s="110"/>
      <c r="K876" s="111"/>
      <c r="L876" s="112"/>
      <c r="M876" s="113"/>
      <c r="N876" s="114"/>
      <c r="O876" s="107"/>
      <c r="P876" s="107"/>
      <c r="Q876" s="115"/>
      <c r="R876" s="116"/>
      <c r="S876" s="107"/>
      <c r="T876" s="107"/>
      <c r="U876" s="107" t="str">
        <f t="shared" si="16"/>
        <v/>
      </c>
      <c r="V876" s="107"/>
      <c r="W876" s="107"/>
      <c r="X876" s="107"/>
      <c r="Y876" s="107"/>
      <c r="Z876" s="107"/>
      <c r="AA876" s="107"/>
      <c r="AB876" s="107"/>
      <c r="AC876" s="107"/>
      <c r="AD876" s="107"/>
      <c r="AE876" s="107"/>
      <c r="AF876" s="107"/>
      <c r="AG876" s="107"/>
      <c r="AH876" s="107"/>
      <c r="AI876" s="107"/>
      <c r="AJ876" s="107"/>
      <c r="AK876" s="107"/>
      <c r="AL876" s="107"/>
      <c r="AM876" s="107"/>
      <c r="AN876" s="107"/>
      <c r="AO876" s="107"/>
      <c r="AP876" s="107"/>
      <c r="AQ876" s="107"/>
      <c r="AR876" s="107"/>
      <c r="AS876" s="107"/>
      <c r="AT876" s="107"/>
      <c r="AU876" s="107"/>
      <c r="AV876" s="107"/>
      <c r="AW876" s="107"/>
      <c r="AX876" s="107"/>
      <c r="AY876" s="107"/>
      <c r="AZ876" s="107"/>
      <c r="BA876" s="107"/>
      <c r="BB876" s="107"/>
      <c r="BC876" s="107"/>
      <c r="BD876" s="107"/>
      <c r="BE876" s="107"/>
      <c r="BF876" s="107"/>
      <c r="BG876" s="107"/>
      <c r="BH876" s="107"/>
    </row>
    <row r="877" spans="1:60" x14ac:dyDescent="0.25">
      <c r="A877" s="96"/>
      <c r="B877" s="97"/>
      <c r="C877" s="97"/>
      <c r="D877" s="97"/>
      <c r="E877" s="98"/>
      <c r="F877" s="99" t="str">
        <f>IF(H877&lt;&gt;"",H877-Accueil!N$6+1/60/24,"")</f>
        <v/>
      </c>
      <c r="G877" s="97"/>
      <c r="H877" s="99"/>
      <c r="I877" s="99"/>
      <c r="J877" s="100"/>
      <c r="K877" s="101"/>
      <c r="L877" s="102"/>
      <c r="M877" s="103"/>
      <c r="N877" s="104"/>
      <c r="O877" s="97"/>
      <c r="P877" s="97"/>
      <c r="Q877" s="97"/>
      <c r="R877" s="105"/>
      <c r="S877" s="97"/>
      <c r="T877" s="97"/>
      <c r="U877" s="97" t="str">
        <f t="shared" si="16"/>
        <v/>
      </c>
      <c r="V877" s="97"/>
      <c r="W877" s="97"/>
      <c r="X877" s="97"/>
      <c r="Y877" s="97"/>
      <c r="Z877" s="97"/>
      <c r="AA877" s="97"/>
      <c r="AB877" s="97"/>
      <c r="AC877" s="97"/>
      <c r="AD877" s="97"/>
      <c r="AE877" s="97"/>
      <c r="AF877" s="97"/>
      <c r="AG877" s="97"/>
      <c r="AH877" s="97"/>
      <c r="AI877" s="97"/>
      <c r="AJ877" s="97"/>
      <c r="AK877" s="97"/>
      <c r="AL877" s="97"/>
      <c r="AM877" s="97"/>
      <c r="AN877" s="97"/>
      <c r="AO877" s="97"/>
      <c r="AP877" s="97"/>
      <c r="AQ877" s="97"/>
      <c r="AR877" s="97"/>
      <c r="AS877" s="97"/>
      <c r="AT877" s="97"/>
      <c r="AU877" s="97"/>
      <c r="AV877" s="97"/>
      <c r="AW877" s="97"/>
      <c r="AX877" s="97"/>
      <c r="AY877" s="97"/>
      <c r="AZ877" s="97"/>
      <c r="BA877" s="97"/>
      <c r="BB877" s="97"/>
      <c r="BC877" s="97"/>
      <c r="BD877" s="97"/>
      <c r="BE877" s="97"/>
      <c r="BF877" s="97"/>
      <c r="BG877" s="97"/>
      <c r="BH877" s="97"/>
    </row>
    <row r="878" spans="1:60" x14ac:dyDescent="0.25">
      <c r="A878" s="106"/>
      <c r="B878" s="107"/>
      <c r="C878" s="107"/>
      <c r="D878" s="107"/>
      <c r="E878" s="108"/>
      <c r="F878" s="109" t="str">
        <f>IF(H878&lt;&gt;"",H878-Accueil!N$6+1/60/24,"")</f>
        <v/>
      </c>
      <c r="G878" s="107"/>
      <c r="H878" s="109"/>
      <c r="I878" s="110"/>
      <c r="J878" s="110"/>
      <c r="K878" s="111"/>
      <c r="L878" s="112"/>
      <c r="M878" s="113"/>
      <c r="N878" s="114"/>
      <c r="O878" s="107"/>
      <c r="P878" s="107"/>
      <c r="Q878" s="115"/>
      <c r="R878" s="116"/>
      <c r="S878" s="107"/>
      <c r="T878" s="107"/>
      <c r="U878" s="107" t="str">
        <f t="shared" si="16"/>
        <v/>
      </c>
      <c r="V878" s="107"/>
      <c r="W878" s="107"/>
      <c r="X878" s="107"/>
      <c r="Y878" s="107"/>
      <c r="Z878" s="107"/>
      <c r="AA878" s="107"/>
      <c r="AB878" s="107"/>
      <c r="AC878" s="107"/>
      <c r="AD878" s="107"/>
      <c r="AE878" s="107"/>
      <c r="AF878" s="107"/>
      <c r="AG878" s="107"/>
      <c r="AH878" s="107"/>
      <c r="AI878" s="107"/>
      <c r="AJ878" s="107"/>
      <c r="AK878" s="107"/>
      <c r="AL878" s="107"/>
      <c r="AM878" s="107"/>
      <c r="AN878" s="107"/>
      <c r="AO878" s="107"/>
      <c r="AP878" s="107"/>
      <c r="AQ878" s="107"/>
      <c r="AR878" s="107"/>
      <c r="AS878" s="107"/>
      <c r="AT878" s="107"/>
      <c r="AU878" s="107"/>
      <c r="AV878" s="107"/>
      <c r="AW878" s="107"/>
      <c r="AX878" s="107"/>
      <c r="AY878" s="107"/>
      <c r="AZ878" s="107"/>
      <c r="BA878" s="107"/>
      <c r="BB878" s="107"/>
      <c r="BC878" s="107"/>
      <c r="BD878" s="107"/>
      <c r="BE878" s="107"/>
      <c r="BF878" s="107"/>
      <c r="BG878" s="107"/>
      <c r="BH878" s="107"/>
    </row>
    <row r="879" spans="1:60" x14ac:dyDescent="0.25">
      <c r="A879" s="96"/>
      <c r="B879" s="97"/>
      <c r="C879" s="97"/>
      <c r="D879" s="97"/>
      <c r="E879" s="98"/>
      <c r="F879" s="99" t="str">
        <f>IF(H879&lt;&gt;"",H879-Accueil!N$6+1/60/24,"")</f>
        <v/>
      </c>
      <c r="G879" s="97"/>
      <c r="H879" s="99"/>
      <c r="I879" s="99"/>
      <c r="J879" s="100"/>
      <c r="K879" s="101"/>
      <c r="L879" s="102"/>
      <c r="M879" s="103"/>
      <c r="N879" s="104"/>
      <c r="O879" s="97"/>
      <c r="P879" s="97"/>
      <c r="Q879" s="97"/>
      <c r="R879" s="105"/>
      <c r="S879" s="97"/>
      <c r="T879" s="97"/>
      <c r="U879" s="97" t="str">
        <f t="shared" si="16"/>
        <v/>
      </c>
      <c r="V879" s="97"/>
      <c r="W879" s="97"/>
      <c r="X879" s="97"/>
      <c r="Y879" s="97"/>
      <c r="Z879" s="97"/>
      <c r="AA879" s="97"/>
      <c r="AB879" s="97"/>
      <c r="AC879" s="97"/>
      <c r="AD879" s="97"/>
      <c r="AE879" s="97"/>
      <c r="AF879" s="97"/>
      <c r="AG879" s="97"/>
      <c r="AH879" s="97"/>
      <c r="AI879" s="97"/>
      <c r="AJ879" s="97"/>
      <c r="AK879" s="97"/>
      <c r="AL879" s="97"/>
      <c r="AM879" s="97"/>
      <c r="AN879" s="97"/>
      <c r="AO879" s="97"/>
      <c r="AP879" s="97"/>
      <c r="AQ879" s="97"/>
      <c r="AR879" s="97"/>
      <c r="AS879" s="97"/>
      <c r="AT879" s="97"/>
      <c r="AU879" s="97"/>
      <c r="AV879" s="97"/>
      <c r="AW879" s="97"/>
      <c r="AX879" s="97"/>
      <c r="AY879" s="97"/>
      <c r="AZ879" s="97"/>
      <c r="BA879" s="97"/>
      <c r="BB879" s="97"/>
      <c r="BC879" s="97"/>
      <c r="BD879" s="97"/>
      <c r="BE879" s="97"/>
      <c r="BF879" s="97"/>
      <c r="BG879" s="97"/>
      <c r="BH879" s="97"/>
    </row>
    <row r="880" spans="1:60" x14ac:dyDescent="0.25">
      <c r="A880" s="106"/>
      <c r="B880" s="107"/>
      <c r="C880" s="107"/>
      <c r="D880" s="107"/>
      <c r="E880" s="108"/>
      <c r="F880" s="109" t="str">
        <f>IF(H880&lt;&gt;"",H880-Accueil!N$6+1/60/24,"")</f>
        <v/>
      </c>
      <c r="G880" s="107"/>
      <c r="H880" s="109"/>
      <c r="I880" s="110"/>
      <c r="J880" s="110"/>
      <c r="K880" s="111"/>
      <c r="L880" s="112"/>
      <c r="M880" s="113"/>
      <c r="N880" s="114"/>
      <c r="O880" s="107"/>
      <c r="P880" s="107"/>
      <c r="Q880" s="115"/>
      <c r="R880" s="116"/>
      <c r="S880" s="107"/>
      <c r="T880" s="107"/>
      <c r="U880" s="107" t="str">
        <f t="shared" si="16"/>
        <v/>
      </c>
      <c r="V880" s="107"/>
      <c r="W880" s="107"/>
      <c r="X880" s="107"/>
      <c r="Y880" s="107"/>
      <c r="Z880" s="107"/>
      <c r="AA880" s="107"/>
      <c r="AB880" s="107"/>
      <c r="AC880" s="107"/>
      <c r="AD880" s="107"/>
      <c r="AE880" s="107"/>
      <c r="AF880" s="107"/>
      <c r="AG880" s="107"/>
      <c r="AH880" s="107"/>
      <c r="AI880" s="107"/>
      <c r="AJ880" s="107"/>
      <c r="AK880" s="107"/>
      <c r="AL880" s="107"/>
      <c r="AM880" s="107"/>
      <c r="AN880" s="107"/>
      <c r="AO880" s="107"/>
      <c r="AP880" s="107"/>
      <c r="AQ880" s="107"/>
      <c r="AR880" s="107"/>
      <c r="AS880" s="107"/>
      <c r="AT880" s="107"/>
      <c r="AU880" s="107"/>
      <c r="AV880" s="107"/>
      <c r="AW880" s="107"/>
      <c r="AX880" s="107"/>
      <c r="AY880" s="107"/>
      <c r="AZ880" s="107"/>
      <c r="BA880" s="107"/>
      <c r="BB880" s="107"/>
      <c r="BC880" s="107"/>
      <c r="BD880" s="107"/>
      <c r="BE880" s="107"/>
      <c r="BF880" s="107"/>
      <c r="BG880" s="107"/>
      <c r="BH880" s="107"/>
    </row>
    <row r="881" spans="1:60" x14ac:dyDescent="0.25">
      <c r="A881" s="96"/>
      <c r="B881" s="97"/>
      <c r="C881" s="97"/>
      <c r="D881" s="97"/>
      <c r="E881" s="98"/>
      <c r="F881" s="99" t="str">
        <f>IF(H881&lt;&gt;"",H881-Accueil!N$6+1/60/24,"")</f>
        <v/>
      </c>
      <c r="G881" s="97"/>
      <c r="H881" s="99"/>
      <c r="I881" s="99"/>
      <c r="J881" s="100"/>
      <c r="K881" s="101"/>
      <c r="L881" s="102"/>
      <c r="M881" s="103"/>
      <c r="N881" s="104"/>
      <c r="O881" s="97"/>
      <c r="P881" s="97"/>
      <c r="Q881" s="97"/>
      <c r="R881" s="105"/>
      <c r="S881" s="97"/>
      <c r="T881" s="97"/>
      <c r="U881" s="97" t="str">
        <f t="shared" si="16"/>
        <v/>
      </c>
      <c r="V881" s="97"/>
      <c r="W881" s="97"/>
      <c r="X881" s="97"/>
      <c r="Y881" s="97"/>
      <c r="Z881" s="97"/>
      <c r="AA881" s="97"/>
      <c r="AB881" s="97"/>
      <c r="AC881" s="97"/>
      <c r="AD881" s="97"/>
      <c r="AE881" s="97"/>
      <c r="AF881" s="97"/>
      <c r="AG881" s="97"/>
      <c r="AH881" s="97"/>
      <c r="AI881" s="97"/>
      <c r="AJ881" s="97"/>
      <c r="AK881" s="97"/>
      <c r="AL881" s="97"/>
      <c r="AM881" s="97"/>
      <c r="AN881" s="97"/>
      <c r="AO881" s="97"/>
      <c r="AP881" s="97"/>
      <c r="AQ881" s="97"/>
      <c r="AR881" s="97"/>
      <c r="AS881" s="97"/>
      <c r="AT881" s="97"/>
      <c r="AU881" s="97"/>
      <c r="AV881" s="97"/>
      <c r="AW881" s="97"/>
      <c r="AX881" s="97"/>
      <c r="AY881" s="97"/>
      <c r="AZ881" s="97"/>
      <c r="BA881" s="97"/>
      <c r="BB881" s="97"/>
      <c r="BC881" s="97"/>
      <c r="BD881" s="97"/>
      <c r="BE881" s="97"/>
      <c r="BF881" s="97"/>
      <c r="BG881" s="97"/>
      <c r="BH881" s="97"/>
    </row>
    <row r="882" spans="1:60" x14ac:dyDescent="0.25">
      <c r="A882" s="106"/>
      <c r="B882" s="107"/>
      <c r="C882" s="107"/>
      <c r="D882" s="107"/>
      <c r="E882" s="108"/>
      <c r="F882" s="109" t="str">
        <f>IF(H882&lt;&gt;"",H882-Accueil!N$6+1/60/24,"")</f>
        <v/>
      </c>
      <c r="G882" s="107"/>
      <c r="H882" s="109"/>
      <c r="I882" s="110"/>
      <c r="J882" s="110"/>
      <c r="K882" s="111"/>
      <c r="L882" s="112"/>
      <c r="M882" s="113"/>
      <c r="N882" s="114"/>
      <c r="O882" s="107"/>
      <c r="P882" s="107"/>
      <c r="Q882" s="115"/>
      <c r="R882" s="116"/>
      <c r="S882" s="107"/>
      <c r="T882" s="107"/>
      <c r="U882" s="107" t="str">
        <f t="shared" si="16"/>
        <v/>
      </c>
      <c r="V882" s="107"/>
      <c r="W882" s="107"/>
      <c r="X882" s="107"/>
      <c r="Y882" s="107"/>
      <c r="Z882" s="107"/>
      <c r="AA882" s="107"/>
      <c r="AB882" s="107"/>
      <c r="AC882" s="107"/>
      <c r="AD882" s="107"/>
      <c r="AE882" s="107"/>
      <c r="AF882" s="107"/>
      <c r="AG882" s="107"/>
      <c r="AH882" s="107"/>
      <c r="AI882" s="107"/>
      <c r="AJ882" s="107"/>
      <c r="AK882" s="107"/>
      <c r="AL882" s="107"/>
      <c r="AM882" s="107"/>
      <c r="AN882" s="107"/>
      <c r="AO882" s="107"/>
      <c r="AP882" s="107"/>
      <c r="AQ882" s="107"/>
      <c r="AR882" s="107"/>
      <c r="AS882" s="107"/>
      <c r="AT882" s="107"/>
      <c r="AU882" s="107"/>
      <c r="AV882" s="107"/>
      <c r="AW882" s="107"/>
      <c r="AX882" s="107"/>
      <c r="AY882" s="107"/>
      <c r="AZ882" s="107"/>
      <c r="BA882" s="107"/>
      <c r="BB882" s="107"/>
      <c r="BC882" s="107"/>
      <c r="BD882" s="107"/>
      <c r="BE882" s="107"/>
      <c r="BF882" s="107"/>
      <c r="BG882" s="107"/>
      <c r="BH882" s="107"/>
    </row>
    <row r="883" spans="1:60" x14ac:dyDescent="0.25">
      <c r="A883" s="96"/>
      <c r="B883" s="97"/>
      <c r="C883" s="97"/>
      <c r="D883" s="97"/>
      <c r="E883" s="98"/>
      <c r="F883" s="99" t="str">
        <f>IF(H883&lt;&gt;"",H883-Accueil!N$6+1/60/24,"")</f>
        <v/>
      </c>
      <c r="G883" s="97"/>
      <c r="H883" s="99"/>
      <c r="I883" s="99"/>
      <c r="J883" s="100"/>
      <c r="K883" s="101"/>
      <c r="L883" s="102"/>
      <c r="M883" s="103"/>
      <c r="N883" s="104"/>
      <c r="O883" s="97"/>
      <c r="P883" s="97"/>
      <c r="Q883" s="97"/>
      <c r="R883" s="105"/>
      <c r="S883" s="97"/>
      <c r="T883" s="97"/>
      <c r="U883" s="97" t="str">
        <f t="shared" si="16"/>
        <v/>
      </c>
      <c r="V883" s="97"/>
      <c r="W883" s="97"/>
      <c r="X883" s="97"/>
      <c r="Y883" s="97"/>
      <c r="Z883" s="97"/>
      <c r="AA883" s="97"/>
      <c r="AB883" s="97"/>
      <c r="AC883" s="97"/>
      <c r="AD883" s="97"/>
      <c r="AE883" s="97"/>
      <c r="AF883" s="97"/>
      <c r="AG883" s="97"/>
      <c r="AH883" s="97"/>
      <c r="AI883" s="97"/>
      <c r="AJ883" s="97"/>
      <c r="AK883" s="97"/>
      <c r="AL883" s="97"/>
      <c r="AM883" s="97"/>
      <c r="AN883" s="97"/>
      <c r="AO883" s="97"/>
      <c r="AP883" s="97"/>
      <c r="AQ883" s="97"/>
      <c r="AR883" s="97"/>
      <c r="AS883" s="97"/>
      <c r="AT883" s="97"/>
      <c r="AU883" s="97"/>
      <c r="AV883" s="97"/>
      <c r="AW883" s="97"/>
      <c r="AX883" s="97"/>
      <c r="AY883" s="97"/>
      <c r="AZ883" s="97"/>
      <c r="BA883" s="97"/>
      <c r="BB883" s="97"/>
      <c r="BC883" s="97"/>
      <c r="BD883" s="97"/>
      <c r="BE883" s="97"/>
      <c r="BF883" s="97"/>
      <c r="BG883" s="97"/>
      <c r="BH883" s="97"/>
    </row>
    <row r="884" spans="1:60" x14ac:dyDescent="0.25">
      <c r="A884" s="106"/>
      <c r="B884" s="107"/>
      <c r="C884" s="107"/>
      <c r="D884" s="107"/>
      <c r="E884" s="108"/>
      <c r="F884" s="109" t="str">
        <f>IF(H884&lt;&gt;"",H884-Accueil!N$6+1/60/24,"")</f>
        <v/>
      </c>
      <c r="G884" s="107"/>
      <c r="H884" s="109"/>
      <c r="I884" s="110"/>
      <c r="J884" s="110"/>
      <c r="K884" s="111"/>
      <c r="L884" s="112"/>
      <c r="M884" s="113"/>
      <c r="N884" s="114"/>
      <c r="O884" s="107"/>
      <c r="P884" s="107"/>
      <c r="Q884" s="115"/>
      <c r="R884" s="116"/>
      <c r="S884" s="107"/>
      <c r="T884" s="107"/>
      <c r="U884" s="107" t="str">
        <f t="shared" si="16"/>
        <v/>
      </c>
      <c r="V884" s="107"/>
      <c r="W884" s="107"/>
      <c r="X884" s="107"/>
      <c r="Y884" s="107"/>
      <c r="Z884" s="107"/>
      <c r="AA884" s="107"/>
      <c r="AB884" s="107"/>
      <c r="AC884" s="107"/>
      <c r="AD884" s="107"/>
      <c r="AE884" s="107"/>
      <c r="AF884" s="107"/>
      <c r="AG884" s="107"/>
      <c r="AH884" s="107"/>
      <c r="AI884" s="107"/>
      <c r="AJ884" s="107"/>
      <c r="AK884" s="107"/>
      <c r="AL884" s="107"/>
      <c r="AM884" s="107"/>
      <c r="AN884" s="107"/>
      <c r="AO884" s="107"/>
      <c r="AP884" s="107"/>
      <c r="AQ884" s="107"/>
      <c r="AR884" s="107"/>
      <c r="AS884" s="107"/>
      <c r="AT884" s="107"/>
      <c r="AU884" s="107"/>
      <c r="AV884" s="107"/>
      <c r="AW884" s="107"/>
      <c r="AX884" s="107"/>
      <c r="AY884" s="107"/>
      <c r="AZ884" s="107"/>
      <c r="BA884" s="107"/>
      <c r="BB884" s="107"/>
      <c r="BC884" s="107"/>
      <c r="BD884" s="107"/>
      <c r="BE884" s="107"/>
      <c r="BF884" s="107"/>
      <c r="BG884" s="107"/>
      <c r="BH884" s="107"/>
    </row>
    <row r="885" spans="1:60" x14ac:dyDescent="0.25">
      <c r="A885" s="96"/>
      <c r="B885" s="97"/>
      <c r="C885" s="97"/>
      <c r="D885" s="97"/>
      <c r="E885" s="98"/>
      <c r="F885" s="99" t="str">
        <f>IF(H885&lt;&gt;"",H885-Accueil!N$6+1/60/24,"")</f>
        <v/>
      </c>
      <c r="G885" s="97"/>
      <c r="H885" s="99"/>
      <c r="I885" s="99"/>
      <c r="J885" s="100"/>
      <c r="K885" s="101"/>
      <c r="L885" s="102"/>
      <c r="M885" s="103"/>
      <c r="N885" s="104"/>
      <c r="O885" s="97"/>
      <c r="P885" s="97"/>
      <c r="Q885" s="97"/>
      <c r="R885" s="105"/>
      <c r="S885" s="97"/>
      <c r="T885" s="97"/>
      <c r="U885" s="97" t="str">
        <f t="shared" si="16"/>
        <v/>
      </c>
      <c r="V885" s="97"/>
      <c r="W885" s="97"/>
      <c r="X885" s="97"/>
      <c r="Y885" s="97"/>
      <c r="Z885" s="97"/>
      <c r="AA885" s="97"/>
      <c r="AB885" s="97"/>
      <c r="AC885" s="97"/>
      <c r="AD885" s="97"/>
      <c r="AE885" s="97"/>
      <c r="AF885" s="97"/>
      <c r="AG885" s="97"/>
      <c r="AH885" s="97"/>
      <c r="AI885" s="97"/>
      <c r="AJ885" s="97"/>
      <c r="AK885" s="97"/>
      <c r="AL885" s="97"/>
      <c r="AM885" s="97"/>
      <c r="AN885" s="97"/>
      <c r="AO885" s="97"/>
      <c r="AP885" s="97"/>
      <c r="AQ885" s="97"/>
      <c r="AR885" s="97"/>
      <c r="AS885" s="97"/>
      <c r="AT885" s="97"/>
      <c r="AU885" s="97"/>
      <c r="AV885" s="97"/>
      <c r="AW885" s="97"/>
      <c r="AX885" s="97"/>
      <c r="AY885" s="97"/>
      <c r="AZ885" s="97"/>
      <c r="BA885" s="97"/>
      <c r="BB885" s="97"/>
      <c r="BC885" s="97"/>
      <c r="BD885" s="97"/>
      <c r="BE885" s="97"/>
      <c r="BF885" s="97"/>
      <c r="BG885" s="97"/>
      <c r="BH885" s="97"/>
    </row>
    <row r="886" spans="1:60" x14ac:dyDescent="0.25">
      <c r="A886" s="106"/>
      <c r="B886" s="107"/>
      <c r="C886" s="107"/>
      <c r="D886" s="107"/>
      <c r="E886" s="108"/>
      <c r="F886" s="109" t="str">
        <f>IF(H886&lt;&gt;"",H886-Accueil!N$6+1/60/24,"")</f>
        <v/>
      </c>
      <c r="G886" s="107"/>
      <c r="H886" s="109"/>
      <c r="I886" s="110"/>
      <c r="J886" s="110"/>
      <c r="K886" s="111"/>
      <c r="L886" s="112"/>
      <c r="M886" s="113"/>
      <c r="N886" s="114"/>
      <c r="O886" s="107"/>
      <c r="P886" s="107"/>
      <c r="Q886" s="115"/>
      <c r="R886" s="116"/>
      <c r="S886" s="107"/>
      <c r="T886" s="107"/>
      <c r="U886" s="107" t="str">
        <f t="shared" si="16"/>
        <v/>
      </c>
      <c r="V886" s="107"/>
      <c r="W886" s="107"/>
      <c r="X886" s="107"/>
      <c r="Y886" s="107"/>
      <c r="Z886" s="107"/>
      <c r="AA886" s="107"/>
      <c r="AB886" s="107"/>
      <c r="AC886" s="107"/>
      <c r="AD886" s="107"/>
      <c r="AE886" s="107"/>
      <c r="AF886" s="107"/>
      <c r="AG886" s="107"/>
      <c r="AH886" s="107"/>
      <c r="AI886" s="107"/>
      <c r="AJ886" s="107"/>
      <c r="AK886" s="107"/>
      <c r="AL886" s="107"/>
      <c r="AM886" s="107"/>
      <c r="AN886" s="107"/>
      <c r="AO886" s="107"/>
      <c r="AP886" s="107"/>
      <c r="AQ886" s="107"/>
      <c r="AR886" s="107"/>
      <c r="AS886" s="107"/>
      <c r="AT886" s="107"/>
      <c r="AU886" s="107"/>
      <c r="AV886" s="107"/>
      <c r="AW886" s="107"/>
      <c r="AX886" s="107"/>
      <c r="AY886" s="107"/>
      <c r="AZ886" s="107"/>
      <c r="BA886" s="107"/>
      <c r="BB886" s="107"/>
      <c r="BC886" s="107"/>
      <c r="BD886" s="107"/>
      <c r="BE886" s="107"/>
      <c r="BF886" s="107"/>
      <c r="BG886" s="107"/>
      <c r="BH886" s="107"/>
    </row>
    <row r="887" spans="1:60" x14ac:dyDescent="0.25">
      <c r="A887" s="96"/>
      <c r="B887" s="97"/>
      <c r="C887" s="97"/>
      <c r="D887" s="97"/>
      <c r="E887" s="98"/>
      <c r="F887" s="99" t="str">
        <f>IF(H887&lt;&gt;"",H887-Accueil!N$6+1/60/24,"")</f>
        <v/>
      </c>
      <c r="G887" s="97"/>
      <c r="H887" s="99"/>
      <c r="I887" s="99"/>
      <c r="J887" s="100"/>
      <c r="K887" s="101"/>
      <c r="L887" s="102"/>
      <c r="M887" s="103"/>
      <c r="N887" s="104"/>
      <c r="O887" s="97"/>
      <c r="P887" s="97"/>
      <c r="Q887" s="97"/>
      <c r="R887" s="105"/>
      <c r="S887" s="97"/>
      <c r="T887" s="97"/>
      <c r="U887" s="97" t="str">
        <f t="shared" si="16"/>
        <v/>
      </c>
      <c r="V887" s="97"/>
      <c r="W887" s="97"/>
      <c r="X887" s="97"/>
      <c r="Y887" s="97"/>
      <c r="Z887" s="97"/>
      <c r="AA887" s="97"/>
      <c r="AB887" s="97"/>
      <c r="AC887" s="97"/>
      <c r="AD887" s="97"/>
      <c r="AE887" s="97"/>
      <c r="AF887" s="97"/>
      <c r="AG887" s="97"/>
      <c r="AH887" s="97"/>
      <c r="AI887" s="97"/>
      <c r="AJ887" s="97"/>
      <c r="AK887" s="97"/>
      <c r="AL887" s="97"/>
      <c r="AM887" s="97"/>
      <c r="AN887" s="97"/>
      <c r="AO887" s="97"/>
      <c r="AP887" s="97"/>
      <c r="AQ887" s="97"/>
      <c r="AR887" s="97"/>
      <c r="AS887" s="97"/>
      <c r="AT887" s="97"/>
      <c r="AU887" s="97"/>
      <c r="AV887" s="97"/>
      <c r="AW887" s="97"/>
      <c r="AX887" s="97"/>
      <c r="AY887" s="97"/>
      <c r="AZ887" s="97"/>
      <c r="BA887" s="97"/>
      <c r="BB887" s="97"/>
      <c r="BC887" s="97"/>
      <c r="BD887" s="97"/>
      <c r="BE887" s="97"/>
      <c r="BF887" s="97"/>
      <c r="BG887" s="97"/>
      <c r="BH887" s="97"/>
    </row>
    <row r="888" spans="1:60" x14ac:dyDescent="0.25">
      <c r="A888" s="106"/>
      <c r="B888" s="107"/>
      <c r="C888" s="107"/>
      <c r="D888" s="107"/>
      <c r="E888" s="108"/>
      <c r="F888" s="109" t="str">
        <f>IF(H888&lt;&gt;"",H888-Accueil!N$6+1/60/24,"")</f>
        <v/>
      </c>
      <c r="G888" s="107"/>
      <c r="H888" s="109"/>
      <c r="I888" s="110"/>
      <c r="J888" s="110"/>
      <c r="K888" s="111"/>
      <c r="L888" s="112"/>
      <c r="M888" s="113"/>
      <c r="N888" s="114"/>
      <c r="O888" s="107"/>
      <c r="P888" s="107"/>
      <c r="Q888" s="115"/>
      <c r="R888" s="116"/>
      <c r="S888" s="107"/>
      <c r="T888" s="107"/>
      <c r="U888" s="107" t="str">
        <f t="shared" si="16"/>
        <v/>
      </c>
      <c r="V888" s="107"/>
      <c r="W888" s="107"/>
      <c r="X888" s="107"/>
      <c r="Y888" s="107"/>
      <c r="Z888" s="107"/>
      <c r="AA888" s="107"/>
      <c r="AB888" s="107"/>
      <c r="AC888" s="107"/>
      <c r="AD888" s="107"/>
      <c r="AE888" s="107"/>
      <c r="AF888" s="107"/>
      <c r="AG888" s="107"/>
      <c r="AH888" s="107"/>
      <c r="AI888" s="107"/>
      <c r="AJ888" s="107"/>
      <c r="AK888" s="107"/>
      <c r="AL888" s="107"/>
      <c r="AM888" s="107"/>
      <c r="AN888" s="107"/>
      <c r="AO888" s="107"/>
      <c r="AP888" s="107"/>
      <c r="AQ888" s="107"/>
      <c r="AR888" s="107"/>
      <c r="AS888" s="107"/>
      <c r="AT888" s="107"/>
      <c r="AU888" s="107"/>
      <c r="AV888" s="107"/>
      <c r="AW888" s="107"/>
      <c r="AX888" s="107"/>
      <c r="AY888" s="107"/>
      <c r="AZ888" s="107"/>
      <c r="BA888" s="107"/>
      <c r="BB888" s="107"/>
      <c r="BC888" s="107"/>
      <c r="BD888" s="107"/>
      <c r="BE888" s="107"/>
      <c r="BF888" s="107"/>
      <c r="BG888" s="107"/>
      <c r="BH888" s="107"/>
    </row>
    <row r="889" spans="1:60" x14ac:dyDescent="0.25">
      <c r="A889" s="96"/>
      <c r="B889" s="97"/>
      <c r="C889" s="97"/>
      <c r="D889" s="97"/>
      <c r="E889" s="98"/>
      <c r="F889" s="99" t="str">
        <f>IF(H889&lt;&gt;"",H889-Accueil!N$6+1/60/24,"")</f>
        <v/>
      </c>
      <c r="G889" s="97"/>
      <c r="H889" s="99"/>
      <c r="I889" s="99"/>
      <c r="J889" s="100"/>
      <c r="K889" s="101"/>
      <c r="L889" s="102"/>
      <c r="M889" s="103"/>
      <c r="N889" s="104"/>
      <c r="O889" s="97"/>
      <c r="P889" s="97"/>
      <c r="Q889" s="97"/>
      <c r="R889" s="105"/>
      <c r="S889" s="97"/>
      <c r="T889" s="97"/>
      <c r="U889" s="97" t="str">
        <f t="shared" si="16"/>
        <v/>
      </c>
      <c r="V889" s="97"/>
      <c r="W889" s="97"/>
      <c r="X889" s="97"/>
      <c r="Y889" s="97"/>
      <c r="Z889" s="97"/>
      <c r="AA889" s="97"/>
      <c r="AB889" s="97"/>
      <c r="AC889" s="97"/>
      <c r="AD889" s="97"/>
      <c r="AE889" s="97"/>
      <c r="AF889" s="97"/>
      <c r="AG889" s="97"/>
      <c r="AH889" s="97"/>
      <c r="AI889" s="97"/>
      <c r="AJ889" s="97"/>
      <c r="AK889" s="97"/>
      <c r="AL889" s="97"/>
      <c r="AM889" s="97"/>
      <c r="AN889" s="97"/>
      <c r="AO889" s="97"/>
      <c r="AP889" s="97"/>
      <c r="AQ889" s="97"/>
      <c r="AR889" s="97"/>
      <c r="AS889" s="97"/>
      <c r="AT889" s="97"/>
      <c r="AU889" s="97"/>
      <c r="AV889" s="97"/>
      <c r="AW889" s="97"/>
      <c r="AX889" s="97"/>
      <c r="AY889" s="97"/>
      <c r="AZ889" s="97"/>
      <c r="BA889" s="97"/>
      <c r="BB889" s="97"/>
      <c r="BC889" s="97"/>
      <c r="BD889" s="97"/>
      <c r="BE889" s="97"/>
      <c r="BF889" s="97"/>
      <c r="BG889" s="97"/>
      <c r="BH889" s="97"/>
    </row>
    <row r="890" spans="1:60" x14ac:dyDescent="0.25">
      <c r="A890" s="106"/>
      <c r="B890" s="107"/>
      <c r="C890" s="107"/>
      <c r="D890" s="107"/>
      <c r="E890" s="108"/>
      <c r="F890" s="109" t="str">
        <f>IF(H890&lt;&gt;"",H890-Accueil!N$6+1/60/24,"")</f>
        <v/>
      </c>
      <c r="G890" s="107"/>
      <c r="H890" s="109"/>
      <c r="I890" s="110"/>
      <c r="J890" s="110"/>
      <c r="K890" s="111"/>
      <c r="L890" s="112"/>
      <c r="M890" s="113"/>
      <c r="N890" s="114"/>
      <c r="O890" s="107"/>
      <c r="P890" s="107"/>
      <c r="Q890" s="115"/>
      <c r="R890" s="116"/>
      <c r="S890" s="107"/>
      <c r="T890" s="107"/>
      <c r="U890" s="107" t="str">
        <f t="shared" si="16"/>
        <v/>
      </c>
      <c r="V890" s="107"/>
      <c r="W890" s="107"/>
      <c r="X890" s="107"/>
      <c r="Y890" s="107"/>
      <c r="Z890" s="107"/>
      <c r="AA890" s="107"/>
      <c r="AB890" s="107"/>
      <c r="AC890" s="107"/>
      <c r="AD890" s="107"/>
      <c r="AE890" s="107"/>
      <c r="AF890" s="107"/>
      <c r="AG890" s="107"/>
      <c r="AH890" s="107"/>
      <c r="AI890" s="107"/>
      <c r="AJ890" s="107"/>
      <c r="AK890" s="107"/>
      <c r="AL890" s="107"/>
      <c r="AM890" s="107"/>
      <c r="AN890" s="107"/>
      <c r="AO890" s="107"/>
      <c r="AP890" s="107"/>
      <c r="AQ890" s="107"/>
      <c r="AR890" s="107"/>
      <c r="AS890" s="107"/>
      <c r="AT890" s="107"/>
      <c r="AU890" s="107"/>
      <c r="AV890" s="107"/>
      <c r="AW890" s="107"/>
      <c r="AX890" s="107"/>
      <c r="AY890" s="107"/>
      <c r="AZ890" s="107"/>
      <c r="BA890" s="107"/>
      <c r="BB890" s="107"/>
      <c r="BC890" s="107"/>
      <c r="BD890" s="107"/>
      <c r="BE890" s="107"/>
      <c r="BF890" s="107"/>
      <c r="BG890" s="107"/>
      <c r="BH890" s="107"/>
    </row>
    <row r="891" spans="1:60" x14ac:dyDescent="0.25">
      <c r="A891" s="96"/>
      <c r="B891" s="97"/>
      <c r="C891" s="97"/>
      <c r="D891" s="97"/>
      <c r="E891" s="98"/>
      <c r="F891" s="99" t="str">
        <f>IF(H891&lt;&gt;"",H891-Accueil!N$6+1/60/24,"")</f>
        <v/>
      </c>
      <c r="G891" s="97"/>
      <c r="H891" s="99"/>
      <c r="I891" s="99"/>
      <c r="J891" s="100"/>
      <c r="K891" s="101"/>
      <c r="L891" s="102"/>
      <c r="M891" s="103"/>
      <c r="N891" s="104"/>
      <c r="O891" s="97"/>
      <c r="P891" s="97"/>
      <c r="Q891" s="97"/>
      <c r="R891" s="105"/>
      <c r="S891" s="97"/>
      <c r="T891" s="97"/>
      <c r="U891" s="97" t="str">
        <f t="shared" si="16"/>
        <v/>
      </c>
      <c r="V891" s="97"/>
      <c r="W891" s="97"/>
      <c r="X891" s="97"/>
      <c r="Y891" s="97"/>
      <c r="Z891" s="97"/>
      <c r="AA891" s="97"/>
      <c r="AB891" s="97"/>
      <c r="AC891" s="97"/>
      <c r="AD891" s="97"/>
      <c r="AE891" s="97"/>
      <c r="AF891" s="97"/>
      <c r="AG891" s="97"/>
      <c r="AH891" s="97"/>
      <c r="AI891" s="97"/>
      <c r="AJ891" s="97"/>
      <c r="AK891" s="97"/>
      <c r="AL891" s="97"/>
      <c r="AM891" s="97"/>
      <c r="AN891" s="97"/>
      <c r="AO891" s="97"/>
      <c r="AP891" s="97"/>
      <c r="AQ891" s="97"/>
      <c r="AR891" s="97"/>
      <c r="AS891" s="97"/>
      <c r="AT891" s="97"/>
      <c r="AU891" s="97"/>
      <c r="AV891" s="97"/>
      <c r="AW891" s="97"/>
      <c r="AX891" s="97"/>
      <c r="AY891" s="97"/>
      <c r="AZ891" s="97"/>
      <c r="BA891" s="97"/>
      <c r="BB891" s="97"/>
      <c r="BC891" s="97"/>
      <c r="BD891" s="97"/>
      <c r="BE891" s="97"/>
      <c r="BF891" s="97"/>
      <c r="BG891" s="97"/>
      <c r="BH891" s="97"/>
    </row>
    <row r="892" spans="1:60" x14ac:dyDescent="0.25">
      <c r="A892" s="106"/>
      <c r="B892" s="107"/>
      <c r="C892" s="107"/>
      <c r="D892" s="107"/>
      <c r="E892" s="108"/>
      <c r="F892" s="109" t="str">
        <f>IF(H892&lt;&gt;"",H892-Accueil!N$6+1/60/24,"")</f>
        <v/>
      </c>
      <c r="G892" s="107"/>
      <c r="H892" s="109"/>
      <c r="I892" s="110"/>
      <c r="J892" s="110"/>
      <c r="K892" s="111"/>
      <c r="L892" s="112"/>
      <c r="M892" s="113"/>
      <c r="N892" s="114"/>
      <c r="O892" s="107"/>
      <c r="P892" s="107"/>
      <c r="Q892" s="115"/>
      <c r="R892" s="116"/>
      <c r="S892" s="107"/>
      <c r="T892" s="107"/>
      <c r="U892" s="107" t="str">
        <f t="shared" si="16"/>
        <v/>
      </c>
      <c r="V892" s="107"/>
      <c r="W892" s="107"/>
      <c r="X892" s="107"/>
      <c r="Y892" s="107"/>
      <c r="Z892" s="107"/>
      <c r="AA892" s="107"/>
      <c r="AB892" s="107"/>
      <c r="AC892" s="107"/>
      <c r="AD892" s="107"/>
      <c r="AE892" s="107"/>
      <c r="AF892" s="107"/>
      <c r="AG892" s="107"/>
      <c r="AH892" s="107"/>
      <c r="AI892" s="107"/>
      <c r="AJ892" s="107"/>
      <c r="AK892" s="107"/>
      <c r="AL892" s="107"/>
      <c r="AM892" s="107"/>
      <c r="AN892" s="107"/>
      <c r="AO892" s="107"/>
      <c r="AP892" s="107"/>
      <c r="AQ892" s="107"/>
      <c r="AR892" s="107"/>
      <c r="AS892" s="107"/>
      <c r="AT892" s="107"/>
      <c r="AU892" s="107"/>
      <c r="AV892" s="107"/>
      <c r="AW892" s="107"/>
      <c r="AX892" s="107"/>
      <c r="AY892" s="107"/>
      <c r="AZ892" s="107"/>
      <c r="BA892" s="107"/>
      <c r="BB892" s="107"/>
      <c r="BC892" s="107"/>
      <c r="BD892" s="107"/>
      <c r="BE892" s="107"/>
      <c r="BF892" s="107"/>
      <c r="BG892" s="107"/>
      <c r="BH892" s="107"/>
    </row>
    <row r="893" spans="1:60" x14ac:dyDescent="0.25">
      <c r="A893" s="96"/>
      <c r="B893" s="97"/>
      <c r="C893" s="97"/>
      <c r="D893" s="97"/>
      <c r="E893" s="98"/>
      <c r="F893" s="99" t="str">
        <f>IF(H893&lt;&gt;"",H893-Accueil!N$6+1/60/24,"")</f>
        <v/>
      </c>
      <c r="G893" s="97"/>
      <c r="H893" s="99"/>
      <c r="I893" s="99"/>
      <c r="J893" s="100"/>
      <c r="K893" s="101"/>
      <c r="L893" s="102"/>
      <c r="M893" s="103"/>
      <c r="N893" s="104"/>
      <c r="O893" s="97"/>
      <c r="P893" s="97"/>
      <c r="Q893" s="97"/>
      <c r="R893" s="105"/>
      <c r="S893" s="97"/>
      <c r="T893" s="97"/>
      <c r="U893" s="97" t="str">
        <f t="shared" si="16"/>
        <v/>
      </c>
      <c r="V893" s="97"/>
      <c r="W893" s="97"/>
      <c r="X893" s="97"/>
      <c r="Y893" s="97"/>
      <c r="Z893" s="97"/>
      <c r="AA893" s="97"/>
      <c r="AB893" s="97"/>
      <c r="AC893" s="97"/>
      <c r="AD893" s="97"/>
      <c r="AE893" s="97"/>
      <c r="AF893" s="97"/>
      <c r="AG893" s="97"/>
      <c r="AH893" s="97"/>
      <c r="AI893" s="97"/>
      <c r="AJ893" s="97"/>
      <c r="AK893" s="97"/>
      <c r="AL893" s="97"/>
      <c r="AM893" s="97"/>
      <c r="AN893" s="97"/>
      <c r="AO893" s="97"/>
      <c r="AP893" s="97"/>
      <c r="AQ893" s="97"/>
      <c r="AR893" s="97"/>
      <c r="AS893" s="97"/>
      <c r="AT893" s="97"/>
      <c r="AU893" s="97"/>
      <c r="AV893" s="97"/>
      <c r="AW893" s="97"/>
      <c r="AX893" s="97"/>
      <c r="AY893" s="97"/>
      <c r="AZ893" s="97"/>
      <c r="BA893" s="97"/>
      <c r="BB893" s="97"/>
      <c r="BC893" s="97"/>
      <c r="BD893" s="97"/>
      <c r="BE893" s="97"/>
      <c r="BF893" s="97"/>
      <c r="BG893" s="97"/>
      <c r="BH893" s="97"/>
    </row>
    <row r="894" spans="1:60" x14ac:dyDescent="0.25">
      <c r="A894" s="106"/>
      <c r="B894" s="107"/>
      <c r="C894" s="107"/>
      <c r="D894" s="107"/>
      <c r="E894" s="108"/>
      <c r="F894" s="109" t="str">
        <f>IF(H894&lt;&gt;"",H894-Accueil!N$6+1/60/24,"")</f>
        <v/>
      </c>
      <c r="G894" s="107"/>
      <c r="H894" s="109"/>
      <c r="I894" s="110"/>
      <c r="J894" s="110"/>
      <c r="K894" s="111"/>
      <c r="L894" s="112"/>
      <c r="M894" s="113"/>
      <c r="N894" s="114"/>
      <c r="O894" s="107"/>
      <c r="P894" s="107"/>
      <c r="Q894" s="115"/>
      <c r="R894" s="116"/>
      <c r="S894" s="107"/>
      <c r="T894" s="107"/>
      <c r="U894" s="107" t="str">
        <f t="shared" si="16"/>
        <v/>
      </c>
      <c r="V894" s="107"/>
      <c r="W894" s="107"/>
      <c r="X894" s="107"/>
      <c r="Y894" s="107"/>
      <c r="Z894" s="107"/>
      <c r="AA894" s="107"/>
      <c r="AB894" s="107"/>
      <c r="AC894" s="107"/>
      <c r="AD894" s="107"/>
      <c r="AE894" s="107"/>
      <c r="AF894" s="107"/>
      <c r="AG894" s="107"/>
      <c r="AH894" s="107"/>
      <c r="AI894" s="107"/>
      <c r="AJ894" s="107"/>
      <c r="AK894" s="107"/>
      <c r="AL894" s="107"/>
      <c r="AM894" s="107"/>
      <c r="AN894" s="107"/>
      <c r="AO894" s="107"/>
      <c r="AP894" s="107"/>
      <c r="AQ894" s="107"/>
      <c r="AR894" s="107"/>
      <c r="AS894" s="107"/>
      <c r="AT894" s="107"/>
      <c r="AU894" s="107"/>
      <c r="AV894" s="107"/>
      <c r="AW894" s="107"/>
      <c r="AX894" s="107"/>
      <c r="AY894" s="107"/>
      <c r="AZ894" s="107"/>
      <c r="BA894" s="107"/>
      <c r="BB894" s="107"/>
      <c r="BC894" s="107"/>
      <c r="BD894" s="107"/>
      <c r="BE894" s="107"/>
      <c r="BF894" s="107"/>
      <c r="BG894" s="107"/>
      <c r="BH894" s="107"/>
    </row>
    <row r="895" spans="1:60" x14ac:dyDescent="0.25">
      <c r="A895" s="96"/>
      <c r="B895" s="97"/>
      <c r="C895" s="97"/>
      <c r="D895" s="97"/>
      <c r="E895" s="98"/>
      <c r="F895" s="99" t="str">
        <f>IF(H895&lt;&gt;"",H895-Accueil!N$6+1/60/24,"")</f>
        <v/>
      </c>
      <c r="G895" s="97"/>
      <c r="H895" s="99"/>
      <c r="I895" s="99"/>
      <c r="J895" s="100"/>
      <c r="K895" s="101"/>
      <c r="L895" s="102"/>
      <c r="M895" s="103"/>
      <c r="N895" s="104"/>
      <c r="O895" s="97"/>
      <c r="P895" s="97"/>
      <c r="Q895" s="97"/>
      <c r="R895" s="105"/>
      <c r="S895" s="97"/>
      <c r="T895" s="97"/>
      <c r="U895" s="97" t="str">
        <f t="shared" si="16"/>
        <v/>
      </c>
      <c r="V895" s="97"/>
      <c r="W895" s="97"/>
      <c r="X895" s="97"/>
      <c r="Y895" s="97"/>
      <c r="Z895" s="97"/>
      <c r="AA895" s="97"/>
      <c r="AB895" s="97"/>
      <c r="AC895" s="97"/>
      <c r="AD895" s="97"/>
      <c r="AE895" s="97"/>
      <c r="AF895" s="97"/>
      <c r="AG895" s="97"/>
      <c r="AH895" s="97"/>
      <c r="AI895" s="97"/>
      <c r="AJ895" s="97"/>
      <c r="AK895" s="97"/>
      <c r="AL895" s="97"/>
      <c r="AM895" s="97"/>
      <c r="AN895" s="97"/>
      <c r="AO895" s="97"/>
      <c r="AP895" s="97"/>
      <c r="AQ895" s="97"/>
      <c r="AR895" s="97"/>
      <c r="AS895" s="97"/>
      <c r="AT895" s="97"/>
      <c r="AU895" s="97"/>
      <c r="AV895" s="97"/>
      <c r="AW895" s="97"/>
      <c r="AX895" s="97"/>
      <c r="AY895" s="97"/>
      <c r="AZ895" s="97"/>
      <c r="BA895" s="97"/>
      <c r="BB895" s="97"/>
      <c r="BC895" s="97"/>
      <c r="BD895" s="97"/>
      <c r="BE895" s="97"/>
      <c r="BF895" s="97"/>
      <c r="BG895" s="97"/>
      <c r="BH895" s="97"/>
    </row>
    <row r="896" spans="1:60" x14ac:dyDescent="0.25">
      <c r="A896" s="106"/>
      <c r="B896" s="107"/>
      <c r="C896" s="107"/>
      <c r="D896" s="107"/>
      <c r="E896" s="108"/>
      <c r="F896" s="109" t="str">
        <f>IF(H896&lt;&gt;"",H896-Accueil!N$6+1/60/24,"")</f>
        <v/>
      </c>
      <c r="G896" s="107"/>
      <c r="H896" s="109"/>
      <c r="I896" s="110"/>
      <c r="J896" s="110"/>
      <c r="K896" s="111"/>
      <c r="L896" s="112"/>
      <c r="M896" s="113"/>
      <c r="N896" s="114"/>
      <c r="O896" s="107"/>
      <c r="P896" s="107"/>
      <c r="Q896" s="115"/>
      <c r="R896" s="116"/>
      <c r="S896" s="107"/>
      <c r="T896" s="107"/>
      <c r="U896" s="107" t="str">
        <f t="shared" si="16"/>
        <v/>
      </c>
      <c r="V896" s="107"/>
      <c r="W896" s="107"/>
      <c r="X896" s="107"/>
      <c r="Y896" s="107"/>
      <c r="Z896" s="107"/>
      <c r="AA896" s="107"/>
      <c r="AB896" s="107"/>
      <c r="AC896" s="107"/>
      <c r="AD896" s="107"/>
      <c r="AE896" s="107"/>
      <c r="AF896" s="107"/>
      <c r="AG896" s="107"/>
      <c r="AH896" s="107"/>
      <c r="AI896" s="107"/>
      <c r="AJ896" s="107"/>
      <c r="AK896" s="107"/>
      <c r="AL896" s="107"/>
      <c r="AM896" s="107"/>
      <c r="AN896" s="107"/>
      <c r="AO896" s="107"/>
      <c r="AP896" s="107"/>
      <c r="AQ896" s="107"/>
      <c r="AR896" s="107"/>
      <c r="AS896" s="107"/>
      <c r="AT896" s="107"/>
      <c r="AU896" s="107"/>
      <c r="AV896" s="107"/>
      <c r="AW896" s="107"/>
      <c r="AX896" s="107"/>
      <c r="AY896" s="107"/>
      <c r="AZ896" s="107"/>
      <c r="BA896" s="107"/>
      <c r="BB896" s="107"/>
      <c r="BC896" s="107"/>
      <c r="BD896" s="107"/>
      <c r="BE896" s="107"/>
      <c r="BF896" s="107"/>
      <c r="BG896" s="107"/>
      <c r="BH896" s="107"/>
    </row>
    <row r="897" spans="1:60" x14ac:dyDescent="0.25">
      <c r="A897" s="96"/>
      <c r="B897" s="97"/>
      <c r="C897" s="97"/>
      <c r="D897" s="97"/>
      <c r="E897" s="98"/>
      <c r="F897" s="99" t="str">
        <f>IF(H897&lt;&gt;"",H897-Accueil!N$6+1/60/24,"")</f>
        <v/>
      </c>
      <c r="G897" s="97"/>
      <c r="H897" s="99"/>
      <c r="I897" s="99"/>
      <c r="J897" s="100"/>
      <c r="K897" s="101"/>
      <c r="L897" s="102"/>
      <c r="M897" s="103"/>
      <c r="N897" s="104"/>
      <c r="O897" s="97"/>
      <c r="P897" s="97"/>
      <c r="Q897" s="97"/>
      <c r="R897" s="105"/>
      <c r="S897" s="97"/>
      <c r="T897" s="97"/>
      <c r="U897" s="97" t="str">
        <f t="shared" si="16"/>
        <v/>
      </c>
      <c r="V897" s="97"/>
      <c r="W897" s="97"/>
      <c r="X897" s="97"/>
      <c r="Y897" s="97"/>
      <c r="Z897" s="97"/>
      <c r="AA897" s="97"/>
      <c r="AB897" s="97"/>
      <c r="AC897" s="97"/>
      <c r="AD897" s="97"/>
      <c r="AE897" s="97"/>
      <c r="AF897" s="97"/>
      <c r="AG897" s="97"/>
      <c r="AH897" s="97"/>
      <c r="AI897" s="97"/>
      <c r="AJ897" s="97"/>
      <c r="AK897" s="97"/>
      <c r="AL897" s="97"/>
      <c r="AM897" s="97"/>
      <c r="AN897" s="97"/>
      <c r="AO897" s="97"/>
      <c r="AP897" s="97"/>
      <c r="AQ897" s="97"/>
      <c r="AR897" s="97"/>
      <c r="AS897" s="97"/>
      <c r="AT897" s="97"/>
      <c r="AU897" s="97"/>
      <c r="AV897" s="97"/>
      <c r="AW897" s="97"/>
      <c r="AX897" s="97"/>
      <c r="AY897" s="97"/>
      <c r="AZ897" s="97"/>
      <c r="BA897" s="97"/>
      <c r="BB897" s="97"/>
      <c r="BC897" s="97"/>
      <c r="BD897" s="97"/>
      <c r="BE897" s="97"/>
      <c r="BF897" s="97"/>
      <c r="BG897" s="97"/>
      <c r="BH897" s="97"/>
    </row>
    <row r="898" spans="1:60" x14ac:dyDescent="0.25">
      <c r="A898" s="106"/>
      <c r="B898" s="107"/>
      <c r="C898" s="107"/>
      <c r="D898" s="107"/>
      <c r="E898" s="108"/>
      <c r="F898" s="109" t="str">
        <f>IF(H898&lt;&gt;"",H898-Accueil!N$6+1/60/24,"")</f>
        <v/>
      </c>
      <c r="G898" s="107"/>
      <c r="H898" s="109"/>
      <c r="I898" s="110"/>
      <c r="J898" s="110"/>
      <c r="K898" s="111"/>
      <c r="L898" s="112"/>
      <c r="M898" s="113"/>
      <c r="N898" s="114"/>
      <c r="O898" s="107"/>
      <c r="P898" s="107"/>
      <c r="Q898" s="115"/>
      <c r="R898" s="116"/>
      <c r="S898" s="107"/>
      <c r="T898" s="107"/>
      <c r="U898" s="107" t="str">
        <f t="shared" si="16"/>
        <v/>
      </c>
      <c r="V898" s="107"/>
      <c r="W898" s="107"/>
      <c r="X898" s="107"/>
      <c r="Y898" s="107"/>
      <c r="Z898" s="107"/>
      <c r="AA898" s="107"/>
      <c r="AB898" s="107"/>
      <c r="AC898" s="107"/>
      <c r="AD898" s="107"/>
      <c r="AE898" s="107"/>
      <c r="AF898" s="107"/>
      <c r="AG898" s="107"/>
      <c r="AH898" s="107"/>
      <c r="AI898" s="107"/>
      <c r="AJ898" s="107"/>
      <c r="AK898" s="107"/>
      <c r="AL898" s="107"/>
      <c r="AM898" s="107"/>
      <c r="AN898" s="107"/>
      <c r="AO898" s="107"/>
      <c r="AP898" s="107"/>
      <c r="AQ898" s="107"/>
      <c r="AR898" s="107"/>
      <c r="AS898" s="107"/>
      <c r="AT898" s="107"/>
      <c r="AU898" s="107"/>
      <c r="AV898" s="107"/>
      <c r="AW898" s="107"/>
      <c r="AX898" s="107"/>
      <c r="AY898" s="107"/>
      <c r="AZ898" s="107"/>
      <c r="BA898" s="107"/>
      <c r="BB898" s="107"/>
      <c r="BC898" s="107"/>
      <c r="BD898" s="107"/>
      <c r="BE898" s="107"/>
      <c r="BF898" s="107"/>
      <c r="BG898" s="107"/>
      <c r="BH898" s="107"/>
    </row>
    <row r="899" spans="1:60" x14ac:dyDescent="0.25">
      <c r="A899" s="96"/>
      <c r="B899" s="97"/>
      <c r="C899" s="97"/>
      <c r="D899" s="97"/>
      <c r="E899" s="98"/>
      <c r="F899" s="99" t="str">
        <f>IF(H899&lt;&gt;"",H899-Accueil!N$6+1/60/24,"")</f>
        <v/>
      </c>
      <c r="G899" s="97"/>
      <c r="H899" s="99"/>
      <c r="I899" s="99"/>
      <c r="J899" s="100"/>
      <c r="K899" s="101"/>
      <c r="L899" s="102"/>
      <c r="M899" s="103"/>
      <c r="N899" s="104"/>
      <c r="O899" s="97"/>
      <c r="P899" s="97"/>
      <c r="Q899" s="97"/>
      <c r="R899" s="105"/>
      <c r="S899" s="97"/>
      <c r="T899" s="97"/>
      <c r="U899" s="97" t="str">
        <f t="shared" ref="U899:U962" si="17">IF(B899="","",IF(I899="",0,1))</f>
        <v/>
      </c>
      <c r="V899" s="97"/>
      <c r="W899" s="97"/>
      <c r="X899" s="97"/>
      <c r="Y899" s="97"/>
      <c r="Z899" s="97"/>
      <c r="AA899" s="97"/>
      <c r="AB899" s="97"/>
      <c r="AC899" s="97"/>
      <c r="AD899" s="97"/>
      <c r="AE899" s="97"/>
      <c r="AF899" s="97"/>
      <c r="AG899" s="97"/>
      <c r="AH899" s="97"/>
      <c r="AI899" s="97"/>
      <c r="AJ899" s="97"/>
      <c r="AK899" s="97"/>
      <c r="AL899" s="97"/>
      <c r="AM899" s="97"/>
      <c r="AN899" s="97"/>
      <c r="AO899" s="97"/>
      <c r="AP899" s="97"/>
      <c r="AQ899" s="97"/>
      <c r="AR899" s="97"/>
      <c r="AS899" s="97"/>
      <c r="AT899" s="97"/>
      <c r="AU899" s="97"/>
      <c r="AV899" s="97"/>
      <c r="AW899" s="97"/>
      <c r="AX899" s="97"/>
      <c r="AY899" s="97"/>
      <c r="AZ899" s="97"/>
      <c r="BA899" s="97"/>
      <c r="BB899" s="97"/>
      <c r="BC899" s="97"/>
      <c r="BD899" s="97"/>
      <c r="BE899" s="97"/>
      <c r="BF899" s="97"/>
      <c r="BG899" s="97"/>
      <c r="BH899" s="97"/>
    </row>
    <row r="900" spans="1:60" x14ac:dyDescent="0.25">
      <c r="A900" s="106"/>
      <c r="B900" s="107"/>
      <c r="C900" s="107"/>
      <c r="D900" s="107"/>
      <c r="E900" s="108"/>
      <c r="F900" s="109" t="str">
        <f>IF(H900&lt;&gt;"",H900-Accueil!N$6+1/60/24,"")</f>
        <v/>
      </c>
      <c r="G900" s="107"/>
      <c r="H900" s="109"/>
      <c r="I900" s="110"/>
      <c r="J900" s="110"/>
      <c r="K900" s="111"/>
      <c r="L900" s="112"/>
      <c r="M900" s="113"/>
      <c r="N900" s="114"/>
      <c r="O900" s="107"/>
      <c r="P900" s="107"/>
      <c r="Q900" s="115"/>
      <c r="R900" s="116"/>
      <c r="S900" s="107"/>
      <c r="T900"/>
      <c r="U900" s="107" t="str">
        <f t="shared" si="17"/>
        <v/>
      </c>
      <c r="V900" s="107"/>
      <c r="W900" s="107"/>
      <c r="X900" s="107"/>
      <c r="Y900" s="107"/>
      <c r="Z900" s="107"/>
      <c r="AA900" s="107"/>
      <c r="AB900" s="107"/>
      <c r="AC900" s="107"/>
      <c r="AD900" s="107"/>
      <c r="AE900" s="107"/>
      <c r="AF900" s="107"/>
      <c r="AG900" s="107"/>
      <c r="AH900" s="107"/>
      <c r="AI900" s="107"/>
      <c r="AJ900" s="107"/>
      <c r="AK900" s="107"/>
      <c r="AL900" s="107"/>
      <c r="AM900" s="107"/>
      <c r="AN900" s="107"/>
      <c r="AO900" s="107"/>
      <c r="AP900" s="107"/>
      <c r="AQ900" s="107"/>
      <c r="AR900" s="107"/>
      <c r="AS900" s="107"/>
      <c r="AT900" s="107"/>
      <c r="AU900" s="107"/>
      <c r="AV900" s="107"/>
      <c r="AW900" s="107"/>
      <c r="AX900" s="107"/>
      <c r="AY900" s="107"/>
      <c r="AZ900" s="107"/>
      <c r="BA900" s="107"/>
      <c r="BB900" s="107"/>
      <c r="BC900" s="107"/>
      <c r="BD900" s="107"/>
      <c r="BE900" s="107"/>
      <c r="BF900" s="107"/>
      <c r="BG900" s="107"/>
      <c r="BH900" s="107"/>
    </row>
    <row r="901" spans="1:60" x14ac:dyDescent="0.25">
      <c r="A901" s="96"/>
      <c r="B901" s="97"/>
      <c r="C901" s="97"/>
      <c r="D901" s="97"/>
      <c r="E901" s="98"/>
      <c r="F901" s="99" t="str">
        <f>IF(H901&lt;&gt;"",H901-Accueil!N$6+1/60/24,"")</f>
        <v/>
      </c>
      <c r="G901" s="97"/>
      <c r="H901" s="99"/>
      <c r="I901" s="99"/>
      <c r="J901" s="100"/>
      <c r="K901" s="101"/>
      <c r="L901" s="102"/>
      <c r="M901" s="103"/>
      <c r="N901" s="104"/>
      <c r="O901" s="97"/>
      <c r="P901" s="97"/>
      <c r="Q901" s="97"/>
      <c r="R901" s="105"/>
      <c r="S901" s="97"/>
      <c r="T901" s="97"/>
      <c r="U901" s="97" t="str">
        <f t="shared" si="17"/>
        <v/>
      </c>
      <c r="V901" s="97"/>
      <c r="W901" s="97"/>
      <c r="X901" s="97"/>
      <c r="Y901" s="97"/>
      <c r="Z901" s="97"/>
      <c r="AA901" s="97"/>
      <c r="AB901" s="97"/>
      <c r="AC901" s="97"/>
      <c r="AD901" s="97"/>
      <c r="AE901" s="97"/>
      <c r="AF901" s="97"/>
      <c r="AG901" s="97"/>
      <c r="AH901" s="97"/>
      <c r="AI901" s="97"/>
      <c r="AJ901" s="97"/>
      <c r="AK901" s="97"/>
      <c r="AL901" s="97"/>
      <c r="AM901" s="97"/>
      <c r="AN901" s="97"/>
      <c r="AO901" s="97"/>
      <c r="AP901" s="97"/>
      <c r="AQ901" s="97"/>
      <c r="AR901" s="97"/>
      <c r="AS901" s="97"/>
      <c r="AT901" s="97"/>
      <c r="AU901" s="97"/>
      <c r="AV901" s="97"/>
      <c r="AW901" s="97"/>
      <c r="AX901" s="97"/>
      <c r="AY901" s="97"/>
      <c r="AZ901" s="97"/>
      <c r="BA901" s="97"/>
      <c r="BB901" s="97"/>
      <c r="BC901" s="97"/>
      <c r="BD901" s="97"/>
      <c r="BE901" s="97"/>
      <c r="BF901" s="97"/>
      <c r="BG901" s="97"/>
      <c r="BH901" s="97"/>
    </row>
    <row r="902" spans="1:60" x14ac:dyDescent="0.25">
      <c r="A902" s="106"/>
      <c r="B902" s="107"/>
      <c r="C902" s="107"/>
      <c r="D902" s="107"/>
      <c r="E902" s="108"/>
      <c r="F902" s="109" t="str">
        <f>IF(H902&lt;&gt;"",H902-Accueil!N$6+1/60/24,"")</f>
        <v/>
      </c>
      <c r="G902" s="107"/>
      <c r="H902" s="109"/>
      <c r="I902" s="110"/>
      <c r="J902" s="110"/>
      <c r="K902" s="111"/>
      <c r="L902" s="112"/>
      <c r="M902" s="113"/>
      <c r="N902" s="114"/>
      <c r="O902" s="107"/>
      <c r="P902" s="107"/>
      <c r="Q902" s="115"/>
      <c r="R902" s="116"/>
      <c r="S902" s="107"/>
      <c r="T902" s="107"/>
      <c r="U902" s="107" t="str">
        <f t="shared" si="17"/>
        <v/>
      </c>
      <c r="V902" s="107"/>
      <c r="W902" s="107"/>
      <c r="X902" s="107"/>
      <c r="Y902" s="107"/>
      <c r="Z902" s="107"/>
      <c r="AA902" s="107"/>
      <c r="AB902" s="107"/>
      <c r="AC902" s="107"/>
      <c r="AD902" s="107"/>
      <c r="AE902" s="107"/>
      <c r="AF902" s="107"/>
      <c r="AG902" s="107"/>
      <c r="AH902" s="107"/>
      <c r="AI902" s="107"/>
      <c r="AJ902" s="107"/>
      <c r="AK902" s="107"/>
      <c r="AL902" s="107"/>
      <c r="AM902" s="107"/>
      <c r="AN902" s="107"/>
      <c r="AO902" s="107"/>
      <c r="AP902" s="107"/>
      <c r="AQ902" s="107"/>
      <c r="AR902" s="107"/>
      <c r="AS902" s="107"/>
      <c r="AT902" s="107"/>
      <c r="AU902" s="107"/>
      <c r="AV902" s="107"/>
      <c r="AW902" s="107"/>
      <c r="AX902" s="107"/>
      <c r="AY902" s="107"/>
      <c r="AZ902" s="107"/>
      <c r="BA902" s="107"/>
      <c r="BB902" s="107"/>
      <c r="BC902" s="107"/>
      <c r="BD902" s="107"/>
      <c r="BE902" s="107"/>
      <c r="BF902" s="107"/>
      <c r="BG902" s="107"/>
      <c r="BH902" s="107"/>
    </row>
    <row r="903" spans="1:60" x14ac:dyDescent="0.25">
      <c r="A903" s="96"/>
      <c r="B903" s="97"/>
      <c r="C903" s="97"/>
      <c r="D903" s="97"/>
      <c r="E903" s="98"/>
      <c r="F903" s="99" t="str">
        <f>IF(H903&lt;&gt;"",H903-Accueil!N$6+1/60/24,"")</f>
        <v/>
      </c>
      <c r="G903" s="97"/>
      <c r="H903" s="99"/>
      <c r="I903" s="99"/>
      <c r="J903" s="100"/>
      <c r="K903" s="101"/>
      <c r="L903" s="102"/>
      <c r="M903" s="103"/>
      <c r="N903" s="104"/>
      <c r="O903" s="97"/>
      <c r="P903" s="97"/>
      <c r="Q903" s="97"/>
      <c r="R903" s="105"/>
      <c r="S903" s="97"/>
      <c r="T903" s="97"/>
      <c r="U903" s="97" t="str">
        <f t="shared" si="17"/>
        <v/>
      </c>
      <c r="V903" s="97"/>
      <c r="W903" s="97"/>
      <c r="X903" s="97"/>
      <c r="Y903" s="97"/>
      <c r="Z903" s="97"/>
      <c r="AA903" s="97"/>
      <c r="AB903" s="97"/>
      <c r="AC903" s="97"/>
      <c r="AD903" s="97"/>
      <c r="AE903" s="97"/>
      <c r="AF903" s="97"/>
      <c r="AG903" s="97"/>
      <c r="AH903" s="97"/>
      <c r="AI903" s="97"/>
      <c r="AJ903" s="97"/>
      <c r="AK903" s="97"/>
      <c r="AL903" s="97"/>
      <c r="AM903" s="97"/>
      <c r="AN903" s="97"/>
      <c r="AO903" s="97"/>
      <c r="AP903" s="97"/>
      <c r="AQ903" s="97"/>
      <c r="AR903" s="97"/>
      <c r="AS903" s="97"/>
      <c r="AT903" s="97"/>
      <c r="AU903" s="97"/>
      <c r="AV903" s="97"/>
      <c r="AW903" s="97"/>
      <c r="AX903" s="97"/>
      <c r="AY903" s="97"/>
      <c r="AZ903" s="97"/>
      <c r="BA903" s="97"/>
      <c r="BB903" s="97"/>
      <c r="BC903" s="97"/>
      <c r="BD903" s="97"/>
      <c r="BE903" s="97"/>
      <c r="BF903" s="97"/>
      <c r="BG903" s="97"/>
      <c r="BH903" s="97"/>
    </row>
    <row r="904" spans="1:60" x14ac:dyDescent="0.25">
      <c r="A904" s="106"/>
      <c r="B904" s="107"/>
      <c r="C904" s="107"/>
      <c r="D904" s="107"/>
      <c r="E904" s="108"/>
      <c r="F904" s="109" t="str">
        <f>IF(H904&lt;&gt;"",H904-Accueil!N$6+1/60/24,"")</f>
        <v/>
      </c>
      <c r="G904" s="107"/>
      <c r="H904" s="109"/>
      <c r="I904" s="110"/>
      <c r="J904" s="110"/>
      <c r="K904" s="111"/>
      <c r="L904" s="112"/>
      <c r="M904" s="113"/>
      <c r="N904" s="114"/>
      <c r="O904" s="107"/>
      <c r="P904" s="107"/>
      <c r="Q904" s="115"/>
      <c r="R904" s="116"/>
      <c r="S904" s="107"/>
      <c r="T904" s="107"/>
      <c r="U904" s="107" t="str">
        <f t="shared" si="17"/>
        <v/>
      </c>
      <c r="V904" s="107"/>
      <c r="W904" s="107"/>
      <c r="X904" s="107"/>
      <c r="Y904" s="107"/>
      <c r="Z904" s="107"/>
      <c r="AA904" s="107"/>
      <c r="AB904" s="107"/>
      <c r="AC904" s="107"/>
      <c r="AD904" s="107"/>
      <c r="AE904" s="107"/>
      <c r="AF904" s="107"/>
      <c r="AG904" s="107"/>
      <c r="AH904" s="107"/>
      <c r="AI904" s="107"/>
      <c r="AJ904" s="107"/>
      <c r="AK904" s="107"/>
      <c r="AL904" s="107"/>
      <c r="AM904" s="107"/>
      <c r="AN904" s="107"/>
      <c r="AO904" s="107"/>
      <c r="AP904" s="107"/>
      <c r="AQ904" s="107"/>
      <c r="AR904" s="107"/>
      <c r="AS904" s="107"/>
      <c r="AT904" s="107"/>
      <c r="AU904" s="107"/>
      <c r="AV904" s="107"/>
      <c r="AW904" s="107"/>
      <c r="AX904" s="107"/>
      <c r="AY904" s="107"/>
      <c r="AZ904" s="107"/>
      <c r="BA904" s="107"/>
      <c r="BB904" s="107"/>
      <c r="BC904" s="107"/>
      <c r="BD904" s="107"/>
      <c r="BE904" s="107"/>
      <c r="BF904" s="107"/>
      <c r="BG904" s="107"/>
      <c r="BH904" s="107"/>
    </row>
    <row r="905" spans="1:60" x14ac:dyDescent="0.25">
      <c r="A905" s="96"/>
      <c r="B905" s="97"/>
      <c r="C905" s="97"/>
      <c r="D905" s="97"/>
      <c r="E905" s="98"/>
      <c r="F905" s="99" t="str">
        <f>IF(H905&lt;&gt;"",H905-Accueil!N$6+1/60/24,"")</f>
        <v/>
      </c>
      <c r="G905" s="97"/>
      <c r="H905" s="99"/>
      <c r="I905" s="99"/>
      <c r="J905" s="100"/>
      <c r="K905" s="101"/>
      <c r="L905" s="102"/>
      <c r="M905" s="103"/>
      <c r="N905" s="104"/>
      <c r="O905" s="97"/>
      <c r="P905" s="97"/>
      <c r="Q905" s="97"/>
      <c r="R905" s="105"/>
      <c r="S905" s="97"/>
      <c r="T905" s="97"/>
      <c r="U905" s="97" t="str">
        <f t="shared" si="17"/>
        <v/>
      </c>
      <c r="V905" s="97"/>
      <c r="W905" s="97"/>
      <c r="X905" s="97"/>
      <c r="Y905" s="97"/>
      <c r="Z905" s="97"/>
      <c r="AA905" s="97"/>
      <c r="AB905" s="97"/>
      <c r="AC905" s="97"/>
      <c r="AD905" s="97"/>
      <c r="AE905" s="97"/>
      <c r="AF905" s="97"/>
      <c r="AG905" s="97"/>
      <c r="AH905" s="97"/>
      <c r="AI905" s="97"/>
      <c r="AJ905" s="97"/>
      <c r="AK905" s="97"/>
      <c r="AL905" s="97"/>
      <c r="AM905" s="97"/>
      <c r="AN905" s="97"/>
      <c r="AO905" s="97"/>
      <c r="AP905" s="97"/>
      <c r="AQ905" s="97"/>
      <c r="AR905" s="97"/>
      <c r="AS905" s="97"/>
      <c r="AT905" s="97"/>
      <c r="AU905" s="97"/>
      <c r="AV905" s="97"/>
      <c r="AW905" s="97"/>
      <c r="AX905" s="97"/>
      <c r="AY905" s="97"/>
      <c r="AZ905" s="97"/>
      <c r="BA905" s="97"/>
      <c r="BB905" s="97"/>
      <c r="BC905" s="97"/>
      <c r="BD905" s="97"/>
      <c r="BE905" s="97"/>
      <c r="BF905" s="97"/>
      <c r="BG905" s="97"/>
      <c r="BH905" s="97"/>
    </row>
    <row r="906" spans="1:60" x14ac:dyDescent="0.25">
      <c r="A906" s="106"/>
      <c r="B906" s="107"/>
      <c r="C906" s="107"/>
      <c r="D906" s="107"/>
      <c r="E906" s="108"/>
      <c r="F906" s="109" t="str">
        <f>IF(H906&lt;&gt;"",H906-Accueil!N$6+1/60/24,"")</f>
        <v/>
      </c>
      <c r="G906" s="107"/>
      <c r="H906" s="109"/>
      <c r="I906" s="110"/>
      <c r="J906" s="110"/>
      <c r="K906" s="111"/>
      <c r="L906" s="112"/>
      <c r="M906" s="113"/>
      <c r="N906" s="114"/>
      <c r="O906" s="107"/>
      <c r="P906" s="107"/>
      <c r="Q906" s="115"/>
      <c r="R906" s="116"/>
      <c r="S906" s="107"/>
      <c r="T906" s="107"/>
      <c r="U906" s="107" t="str">
        <f t="shared" si="17"/>
        <v/>
      </c>
      <c r="V906" s="107"/>
      <c r="W906" s="107"/>
      <c r="X906" s="107"/>
      <c r="Y906" s="107"/>
      <c r="Z906" s="107"/>
      <c r="AA906" s="107"/>
      <c r="AB906" s="107"/>
      <c r="AC906" s="107"/>
      <c r="AD906" s="107"/>
      <c r="AE906" s="107"/>
      <c r="AF906" s="107"/>
      <c r="AG906" s="107"/>
      <c r="AH906" s="107"/>
      <c r="AI906" s="107"/>
      <c r="AJ906" s="107"/>
      <c r="AK906" s="107"/>
      <c r="AL906" s="107"/>
      <c r="AM906" s="107"/>
      <c r="AN906" s="107"/>
      <c r="AO906" s="107"/>
      <c r="AP906" s="107"/>
      <c r="AQ906" s="107"/>
      <c r="AR906" s="107"/>
      <c r="AS906" s="107"/>
      <c r="AT906" s="107"/>
      <c r="AU906" s="107"/>
      <c r="AV906" s="107"/>
      <c r="AW906" s="107"/>
      <c r="AX906" s="107"/>
      <c r="AY906" s="107"/>
      <c r="AZ906" s="107"/>
      <c r="BA906" s="107"/>
      <c r="BB906" s="107"/>
      <c r="BC906" s="107"/>
      <c r="BD906" s="107"/>
      <c r="BE906" s="107"/>
      <c r="BF906" s="107"/>
      <c r="BG906" s="107"/>
      <c r="BH906" s="107"/>
    </row>
    <row r="907" spans="1:60" x14ac:dyDescent="0.25">
      <c r="A907" s="96"/>
      <c r="B907" s="97"/>
      <c r="C907" s="97"/>
      <c r="D907" s="97"/>
      <c r="E907" s="98"/>
      <c r="F907" s="99" t="str">
        <f>IF(H907&lt;&gt;"",H907-Accueil!N$6+1/60/24,"")</f>
        <v/>
      </c>
      <c r="G907" s="97"/>
      <c r="H907" s="99"/>
      <c r="I907" s="99"/>
      <c r="J907" s="100"/>
      <c r="K907" s="101"/>
      <c r="L907" s="102"/>
      <c r="M907" s="103"/>
      <c r="N907" s="104"/>
      <c r="O907" s="97"/>
      <c r="P907" s="97"/>
      <c r="Q907" s="97"/>
      <c r="R907" s="105"/>
      <c r="S907" s="97"/>
      <c r="T907" s="97"/>
      <c r="U907" s="97" t="str">
        <f t="shared" si="17"/>
        <v/>
      </c>
      <c r="V907" s="97"/>
      <c r="W907" s="97"/>
      <c r="X907" s="97"/>
      <c r="Y907" s="97"/>
      <c r="Z907" s="97"/>
      <c r="AA907" s="97"/>
      <c r="AB907" s="97"/>
      <c r="AC907" s="97"/>
      <c r="AD907" s="97"/>
      <c r="AE907" s="97"/>
      <c r="AF907" s="97"/>
      <c r="AG907" s="97"/>
      <c r="AH907" s="97"/>
      <c r="AI907" s="97"/>
      <c r="AJ907" s="97"/>
      <c r="AK907" s="97"/>
      <c r="AL907" s="97"/>
      <c r="AM907" s="97"/>
      <c r="AN907" s="97"/>
      <c r="AO907" s="97"/>
      <c r="AP907" s="97"/>
      <c r="AQ907" s="97"/>
      <c r="AR907" s="97"/>
      <c r="AS907" s="97"/>
      <c r="AT907" s="97"/>
      <c r="AU907" s="97"/>
      <c r="AV907" s="97"/>
      <c r="AW907" s="97"/>
      <c r="AX907" s="97"/>
      <c r="AY907" s="97"/>
      <c r="AZ907" s="97"/>
      <c r="BA907" s="97"/>
      <c r="BB907" s="97"/>
      <c r="BC907" s="97"/>
      <c r="BD907" s="97"/>
      <c r="BE907" s="97"/>
      <c r="BF907" s="97"/>
      <c r="BG907" s="97"/>
      <c r="BH907" s="97"/>
    </row>
    <row r="908" spans="1:60" x14ac:dyDescent="0.25">
      <c r="A908" s="106"/>
      <c r="B908" s="107"/>
      <c r="C908" s="107"/>
      <c r="D908" s="107"/>
      <c r="E908" s="108"/>
      <c r="F908" s="109" t="str">
        <f>IF(H908&lt;&gt;"",H908-Accueil!N$6+1/60/24,"")</f>
        <v/>
      </c>
      <c r="G908" s="107"/>
      <c r="H908" s="109"/>
      <c r="I908" s="110"/>
      <c r="J908" s="110"/>
      <c r="K908" s="111"/>
      <c r="L908" s="112"/>
      <c r="M908" s="113"/>
      <c r="N908" s="114"/>
      <c r="O908" s="107"/>
      <c r="P908" s="107"/>
      <c r="Q908" s="115"/>
      <c r="R908" s="116"/>
      <c r="S908" s="107"/>
      <c r="T908" s="107"/>
      <c r="U908" s="107" t="str">
        <f t="shared" si="17"/>
        <v/>
      </c>
      <c r="V908" s="107"/>
      <c r="W908" s="107"/>
      <c r="X908" s="107"/>
      <c r="Y908" s="107"/>
      <c r="Z908" s="107"/>
      <c r="AA908" s="107"/>
      <c r="AB908" s="107"/>
      <c r="AC908" s="107"/>
      <c r="AD908" s="107"/>
      <c r="AE908" s="107"/>
      <c r="AF908" s="107"/>
      <c r="AG908" s="107"/>
      <c r="AH908" s="107"/>
      <c r="AI908" s="107"/>
      <c r="AJ908" s="107"/>
      <c r="AK908" s="107"/>
      <c r="AL908" s="107"/>
      <c r="AM908" s="107"/>
      <c r="AN908" s="107"/>
      <c r="AO908" s="107"/>
      <c r="AP908" s="107"/>
      <c r="AQ908" s="107"/>
      <c r="AR908" s="107"/>
      <c r="AS908" s="107"/>
      <c r="AT908" s="107"/>
      <c r="AU908" s="107"/>
      <c r="AV908" s="107"/>
      <c r="AW908" s="107"/>
      <c r="AX908" s="107"/>
      <c r="AY908" s="107"/>
      <c r="AZ908" s="107"/>
      <c r="BA908" s="107"/>
      <c r="BB908" s="107"/>
      <c r="BC908" s="107"/>
      <c r="BD908" s="107"/>
      <c r="BE908" s="107"/>
      <c r="BF908" s="107"/>
      <c r="BG908" s="107"/>
      <c r="BH908" s="107"/>
    </row>
    <row r="909" spans="1:60" x14ac:dyDescent="0.25">
      <c r="A909" s="96"/>
      <c r="B909" s="97"/>
      <c r="C909" s="97"/>
      <c r="D909" s="97"/>
      <c r="E909" s="98"/>
      <c r="F909" s="99" t="str">
        <f>IF(H909&lt;&gt;"",H909-Accueil!N$6+1/60/24,"")</f>
        <v/>
      </c>
      <c r="G909" s="97"/>
      <c r="H909" s="99"/>
      <c r="I909" s="99"/>
      <c r="J909" s="100"/>
      <c r="K909" s="101"/>
      <c r="L909" s="102"/>
      <c r="M909" s="103"/>
      <c r="N909" s="104"/>
      <c r="O909" s="97"/>
      <c r="P909" s="97"/>
      <c r="Q909" s="97"/>
      <c r="R909" s="105"/>
      <c r="S909" s="97"/>
      <c r="T909" s="97"/>
      <c r="U909" s="97" t="str">
        <f t="shared" si="17"/>
        <v/>
      </c>
      <c r="V909" s="97"/>
      <c r="W909" s="97"/>
      <c r="X909" s="97"/>
      <c r="Y909" s="97"/>
      <c r="Z909" s="97"/>
      <c r="AA909" s="97"/>
      <c r="AB909" s="97"/>
      <c r="AC909" s="97"/>
      <c r="AD909" s="97"/>
      <c r="AE909" s="97"/>
      <c r="AF909" s="97"/>
      <c r="AG909" s="97"/>
      <c r="AH909" s="97"/>
      <c r="AI909" s="97"/>
      <c r="AJ909" s="97"/>
      <c r="AK909" s="97"/>
      <c r="AL909" s="97"/>
      <c r="AM909" s="97"/>
      <c r="AN909" s="97"/>
      <c r="AO909" s="97"/>
      <c r="AP909" s="97"/>
      <c r="AQ909" s="97"/>
      <c r="AR909" s="97"/>
      <c r="AS909" s="97"/>
      <c r="AT909" s="97"/>
      <c r="AU909" s="97"/>
      <c r="AV909" s="97"/>
      <c r="AW909" s="97"/>
      <c r="AX909" s="97"/>
      <c r="AY909" s="97"/>
      <c r="AZ909" s="97"/>
      <c r="BA909" s="97"/>
      <c r="BB909" s="97"/>
      <c r="BC909" s="97"/>
      <c r="BD909" s="97"/>
      <c r="BE909" s="97"/>
      <c r="BF909" s="97"/>
      <c r="BG909" s="97"/>
      <c r="BH909" s="97"/>
    </row>
    <row r="910" spans="1:60" x14ac:dyDescent="0.25">
      <c r="A910" s="106"/>
      <c r="B910" s="107"/>
      <c r="C910" s="107"/>
      <c r="D910" s="107"/>
      <c r="E910" s="108"/>
      <c r="F910" s="109" t="str">
        <f>IF(H910&lt;&gt;"",H910-Accueil!N$6+1/60/24,"")</f>
        <v/>
      </c>
      <c r="G910" s="107"/>
      <c r="H910" s="109"/>
      <c r="I910" s="110"/>
      <c r="J910" s="110"/>
      <c r="K910" s="111"/>
      <c r="L910" s="112"/>
      <c r="M910" s="113"/>
      <c r="N910" s="114"/>
      <c r="O910" s="107"/>
      <c r="P910" s="107"/>
      <c r="Q910" s="115"/>
      <c r="R910" s="116"/>
      <c r="S910" s="107"/>
      <c r="T910" s="107"/>
      <c r="U910" s="107" t="str">
        <f t="shared" si="17"/>
        <v/>
      </c>
      <c r="V910" s="107"/>
      <c r="W910" s="107"/>
      <c r="X910" s="107"/>
      <c r="Y910" s="107"/>
      <c r="Z910" s="107"/>
      <c r="AA910" s="107"/>
      <c r="AB910" s="107"/>
      <c r="AC910" s="107"/>
      <c r="AD910" s="107"/>
      <c r="AE910" s="107"/>
      <c r="AF910" s="107"/>
      <c r="AG910" s="107"/>
      <c r="AH910" s="107"/>
      <c r="AI910" s="107"/>
      <c r="AJ910" s="107"/>
      <c r="AK910" s="107"/>
      <c r="AL910" s="107"/>
      <c r="AM910" s="107"/>
      <c r="AN910" s="107"/>
      <c r="AO910" s="107"/>
      <c r="AP910" s="107"/>
      <c r="AQ910" s="107"/>
      <c r="AR910" s="107"/>
      <c r="AS910" s="107"/>
      <c r="AT910" s="107"/>
      <c r="AU910" s="107"/>
      <c r="AV910" s="107"/>
      <c r="AW910" s="107"/>
      <c r="AX910" s="107"/>
      <c r="AY910" s="107"/>
      <c r="AZ910" s="107"/>
      <c r="BA910" s="107"/>
      <c r="BB910" s="107"/>
      <c r="BC910" s="107"/>
      <c r="BD910" s="107"/>
      <c r="BE910" s="107"/>
      <c r="BF910" s="107"/>
      <c r="BG910" s="107"/>
      <c r="BH910" s="107"/>
    </row>
    <row r="911" spans="1:60" x14ac:dyDescent="0.25">
      <c r="A911" s="96"/>
      <c r="B911" s="97"/>
      <c r="C911" s="97"/>
      <c r="D911" s="97"/>
      <c r="E911" s="98"/>
      <c r="F911" s="99" t="str">
        <f>IF(H911&lt;&gt;"",H911-Accueil!N$6+1/60/24,"")</f>
        <v/>
      </c>
      <c r="G911" s="97"/>
      <c r="H911" s="99"/>
      <c r="I911" s="99"/>
      <c r="J911" s="100"/>
      <c r="K911" s="101"/>
      <c r="L911" s="102"/>
      <c r="M911" s="103"/>
      <c r="N911" s="104"/>
      <c r="O911" s="97"/>
      <c r="P911" s="97"/>
      <c r="Q911" s="97"/>
      <c r="R911" s="105"/>
      <c r="S911" s="97"/>
      <c r="T911" s="97"/>
      <c r="U911" s="97" t="str">
        <f t="shared" si="17"/>
        <v/>
      </c>
      <c r="V911" s="97"/>
      <c r="W911" s="97"/>
      <c r="X911" s="97"/>
      <c r="Y911" s="97"/>
      <c r="Z911" s="97"/>
      <c r="AA911" s="97"/>
      <c r="AB911" s="97"/>
      <c r="AC911" s="97"/>
      <c r="AD911" s="97"/>
      <c r="AE911" s="97"/>
      <c r="AF911" s="97"/>
      <c r="AG911" s="97"/>
      <c r="AH911" s="97"/>
      <c r="AI911" s="97"/>
      <c r="AJ911" s="97"/>
      <c r="AK911" s="97"/>
      <c r="AL911" s="97"/>
      <c r="AM911" s="97"/>
      <c r="AN911" s="97"/>
      <c r="AO911" s="97"/>
      <c r="AP911" s="97"/>
      <c r="AQ911" s="97"/>
      <c r="AR911" s="97"/>
      <c r="AS911" s="97"/>
      <c r="AT911" s="97"/>
      <c r="AU911" s="97"/>
      <c r="AV911" s="97"/>
      <c r="AW911" s="97"/>
      <c r="AX911" s="97"/>
      <c r="AY911" s="97"/>
      <c r="AZ911" s="97"/>
      <c r="BA911" s="97"/>
      <c r="BB911" s="97"/>
      <c r="BC911" s="97"/>
      <c r="BD911" s="97"/>
      <c r="BE911" s="97"/>
      <c r="BF911" s="97"/>
      <c r="BG911" s="97"/>
      <c r="BH911" s="97"/>
    </row>
    <row r="912" spans="1:60" x14ac:dyDescent="0.25">
      <c r="A912" s="106"/>
      <c r="B912" s="107"/>
      <c r="C912" s="107"/>
      <c r="D912" s="107"/>
      <c r="E912" s="108"/>
      <c r="F912" s="109" t="str">
        <f>IF(H912&lt;&gt;"",H912-Accueil!N$6+1/60/24,"")</f>
        <v/>
      </c>
      <c r="G912" s="107"/>
      <c r="H912" s="109"/>
      <c r="I912" s="110"/>
      <c r="J912" s="110"/>
      <c r="K912" s="111"/>
      <c r="L912" s="112"/>
      <c r="M912" s="113"/>
      <c r="N912" s="114"/>
      <c r="O912" s="107"/>
      <c r="P912" s="107"/>
      <c r="Q912" s="115"/>
      <c r="R912" s="116"/>
      <c r="S912" s="107"/>
      <c r="T912" s="107"/>
      <c r="U912" s="107" t="str">
        <f t="shared" si="17"/>
        <v/>
      </c>
      <c r="V912" s="107"/>
      <c r="W912" s="107"/>
      <c r="X912" s="107"/>
      <c r="Y912" s="107"/>
      <c r="Z912" s="107"/>
      <c r="AA912" s="107"/>
      <c r="AB912" s="107"/>
      <c r="AC912" s="107"/>
      <c r="AD912" s="107"/>
      <c r="AE912" s="107"/>
      <c r="AF912" s="107"/>
      <c r="AG912" s="107"/>
      <c r="AH912" s="107"/>
      <c r="AI912" s="107"/>
      <c r="AJ912" s="107"/>
      <c r="AK912" s="107"/>
      <c r="AL912" s="107"/>
      <c r="AM912" s="107"/>
      <c r="AN912" s="107"/>
      <c r="AO912" s="107"/>
      <c r="AP912" s="107"/>
      <c r="AQ912" s="107"/>
      <c r="AR912" s="107"/>
      <c r="AS912" s="107"/>
      <c r="AT912" s="107"/>
      <c r="AU912" s="107"/>
      <c r="AV912" s="107"/>
      <c r="AW912" s="107"/>
      <c r="AX912" s="107"/>
      <c r="AY912" s="107"/>
      <c r="AZ912" s="107"/>
      <c r="BA912" s="107"/>
      <c r="BB912" s="107"/>
      <c r="BC912" s="107"/>
      <c r="BD912" s="107"/>
      <c r="BE912" s="107"/>
      <c r="BF912" s="107"/>
      <c r="BG912" s="107"/>
      <c r="BH912" s="107"/>
    </row>
    <row r="913" spans="1:60" x14ac:dyDescent="0.25">
      <c r="A913" s="96"/>
      <c r="B913" s="97"/>
      <c r="C913" s="97"/>
      <c r="D913" s="97"/>
      <c r="E913" s="98"/>
      <c r="F913" s="99" t="str">
        <f>IF(H913&lt;&gt;"",H913-Accueil!N$6+1/60/24,"")</f>
        <v/>
      </c>
      <c r="G913" s="97"/>
      <c r="H913" s="99"/>
      <c r="I913" s="99"/>
      <c r="J913" s="100"/>
      <c r="K913" s="101"/>
      <c r="L913" s="102"/>
      <c r="M913" s="103"/>
      <c r="N913" s="104"/>
      <c r="O913" s="97"/>
      <c r="P913" s="97"/>
      <c r="Q913" s="97"/>
      <c r="R913" s="105"/>
      <c r="S913" s="97"/>
      <c r="T913" s="97"/>
      <c r="U913" s="97" t="str">
        <f t="shared" si="17"/>
        <v/>
      </c>
      <c r="V913" s="97"/>
      <c r="W913" s="97"/>
      <c r="X913" s="97"/>
      <c r="Y913" s="97"/>
      <c r="Z913" s="97"/>
      <c r="AA913" s="97"/>
      <c r="AB913" s="97"/>
      <c r="AC913" s="97"/>
      <c r="AD913" s="97"/>
      <c r="AE913" s="97"/>
      <c r="AF913" s="97"/>
      <c r="AG913" s="97"/>
      <c r="AH913" s="97"/>
      <c r="AI913" s="97"/>
      <c r="AJ913" s="97"/>
      <c r="AK913" s="97"/>
      <c r="AL913" s="97"/>
      <c r="AM913" s="97"/>
      <c r="AN913" s="97"/>
      <c r="AO913" s="97"/>
      <c r="AP913" s="97"/>
      <c r="AQ913" s="97"/>
      <c r="AR913" s="97"/>
      <c r="AS913" s="97"/>
      <c r="AT913" s="97"/>
      <c r="AU913" s="97"/>
      <c r="AV913" s="97"/>
      <c r="AW913" s="97"/>
      <c r="AX913" s="97"/>
      <c r="AY913" s="97"/>
      <c r="AZ913" s="97"/>
      <c r="BA913" s="97"/>
      <c r="BB913" s="97"/>
      <c r="BC913" s="97"/>
      <c r="BD913" s="97"/>
      <c r="BE913" s="97"/>
      <c r="BF913" s="97"/>
      <c r="BG913" s="97"/>
      <c r="BH913" s="97"/>
    </row>
    <row r="914" spans="1:60" x14ac:dyDescent="0.25">
      <c r="A914" s="106"/>
      <c r="B914" s="107"/>
      <c r="C914" s="107"/>
      <c r="D914" s="107"/>
      <c r="E914" s="108"/>
      <c r="F914" s="109" t="str">
        <f>IF(H914&lt;&gt;"",H914-Accueil!N$6+1/60/24,"")</f>
        <v/>
      </c>
      <c r="G914" s="107"/>
      <c r="H914" s="109"/>
      <c r="I914" s="110"/>
      <c r="J914" s="110"/>
      <c r="K914" s="111"/>
      <c r="L914" s="112"/>
      <c r="M914" s="113"/>
      <c r="N914" s="114"/>
      <c r="O914" s="107"/>
      <c r="P914" s="107"/>
      <c r="Q914" s="115"/>
      <c r="R914" s="116"/>
      <c r="S914" s="107"/>
      <c r="T914" s="107"/>
      <c r="U914" s="107" t="str">
        <f t="shared" si="17"/>
        <v/>
      </c>
      <c r="V914" s="107"/>
      <c r="W914" s="107"/>
      <c r="X914" s="107"/>
      <c r="Y914" s="107"/>
      <c r="Z914" s="107"/>
      <c r="AA914" s="107"/>
      <c r="AB914" s="107"/>
      <c r="AC914" s="107"/>
      <c r="AD914" s="107"/>
      <c r="AE914" s="107"/>
      <c r="AF914" s="107"/>
      <c r="AG914" s="107"/>
      <c r="AH914" s="107"/>
      <c r="AI914" s="107"/>
      <c r="AJ914" s="107"/>
      <c r="AK914" s="107"/>
      <c r="AL914" s="107"/>
      <c r="AM914" s="107"/>
      <c r="AN914" s="107"/>
      <c r="AO914" s="107"/>
      <c r="AP914" s="107"/>
      <c r="AQ914" s="107"/>
      <c r="AR914" s="107"/>
      <c r="AS914" s="107"/>
      <c r="AT914" s="107"/>
      <c r="AU914" s="107"/>
      <c r="AV914" s="107"/>
      <c r="AW914" s="107"/>
      <c r="AX914" s="107"/>
      <c r="AY914" s="107"/>
      <c r="AZ914" s="107"/>
      <c r="BA914" s="107"/>
      <c r="BB914" s="107"/>
      <c r="BC914" s="107"/>
      <c r="BD914" s="107"/>
      <c r="BE914" s="107"/>
      <c r="BF914" s="107"/>
      <c r="BG914" s="107"/>
      <c r="BH914" s="107"/>
    </row>
    <row r="915" spans="1:60" x14ac:dyDescent="0.25">
      <c r="A915" s="96"/>
      <c r="B915" s="97"/>
      <c r="C915" s="97"/>
      <c r="D915" s="97"/>
      <c r="E915" s="98"/>
      <c r="F915" s="99" t="str">
        <f>IF(H915&lt;&gt;"",H915-Accueil!N$6+1/60/24,"")</f>
        <v/>
      </c>
      <c r="G915" s="97"/>
      <c r="H915" s="99"/>
      <c r="I915" s="99"/>
      <c r="J915" s="100"/>
      <c r="K915" s="101"/>
      <c r="L915" s="102"/>
      <c r="M915" s="103"/>
      <c r="N915" s="104"/>
      <c r="O915" s="97"/>
      <c r="P915" s="97"/>
      <c r="Q915" s="97"/>
      <c r="R915" s="105"/>
      <c r="S915" s="97"/>
      <c r="T915" s="97"/>
      <c r="U915" s="97" t="str">
        <f t="shared" si="17"/>
        <v/>
      </c>
      <c r="V915" s="97"/>
      <c r="W915" s="97"/>
      <c r="X915" s="97"/>
      <c r="Y915" s="97"/>
      <c r="Z915" s="97"/>
      <c r="AA915" s="97"/>
      <c r="AB915" s="97"/>
      <c r="AC915" s="97"/>
      <c r="AD915" s="97"/>
      <c r="AE915" s="97"/>
      <c r="AF915" s="97"/>
      <c r="AG915" s="97"/>
      <c r="AH915" s="97"/>
      <c r="AI915" s="97"/>
      <c r="AJ915" s="97"/>
      <c r="AK915" s="97"/>
      <c r="AL915" s="97"/>
      <c r="AM915" s="97"/>
      <c r="AN915" s="97"/>
      <c r="AO915" s="97"/>
      <c r="AP915" s="97"/>
      <c r="AQ915" s="97"/>
      <c r="AR915" s="97"/>
      <c r="AS915" s="97"/>
      <c r="AT915" s="97"/>
      <c r="AU915" s="97"/>
      <c r="AV915" s="97"/>
      <c r="AW915" s="97"/>
      <c r="AX915" s="97"/>
      <c r="AY915" s="97"/>
      <c r="AZ915" s="97"/>
      <c r="BA915" s="97"/>
      <c r="BB915" s="97"/>
      <c r="BC915" s="97"/>
      <c r="BD915" s="97"/>
      <c r="BE915" s="97"/>
      <c r="BF915" s="97"/>
      <c r="BG915" s="97"/>
      <c r="BH915" s="97"/>
    </row>
    <row r="916" spans="1:60" x14ac:dyDescent="0.25">
      <c r="A916" s="106"/>
      <c r="B916" s="107"/>
      <c r="C916" s="107"/>
      <c r="D916" s="107"/>
      <c r="E916" s="108"/>
      <c r="F916" s="109" t="str">
        <f>IF(H916&lt;&gt;"",H916-Accueil!N$6+1/60/24,"")</f>
        <v/>
      </c>
      <c r="G916" s="107"/>
      <c r="H916" s="109"/>
      <c r="I916" s="110"/>
      <c r="J916" s="110"/>
      <c r="K916" s="111"/>
      <c r="L916" s="112"/>
      <c r="M916" s="113"/>
      <c r="N916" s="114"/>
      <c r="O916" s="107"/>
      <c r="P916" s="107"/>
      <c r="Q916" s="115"/>
      <c r="R916" s="116"/>
      <c r="S916" s="107"/>
      <c r="T916" s="107"/>
      <c r="U916" s="107" t="str">
        <f t="shared" si="17"/>
        <v/>
      </c>
      <c r="V916" s="107"/>
      <c r="W916" s="107"/>
      <c r="X916" s="107"/>
      <c r="Y916" s="107"/>
      <c r="Z916" s="107"/>
      <c r="AA916" s="107"/>
      <c r="AB916" s="107"/>
      <c r="AC916" s="107"/>
      <c r="AD916" s="107"/>
      <c r="AE916" s="107"/>
      <c r="AF916" s="107"/>
      <c r="AG916" s="107"/>
      <c r="AH916" s="107"/>
      <c r="AI916" s="107"/>
      <c r="AJ916" s="107"/>
      <c r="AK916" s="107"/>
      <c r="AL916" s="107"/>
      <c r="AM916" s="107"/>
      <c r="AN916" s="107"/>
      <c r="AO916" s="107"/>
      <c r="AP916" s="107"/>
      <c r="AQ916" s="107"/>
      <c r="AR916" s="107"/>
      <c r="AS916" s="107"/>
      <c r="AT916" s="107"/>
      <c r="AU916" s="107"/>
      <c r="AV916" s="107"/>
      <c r="AW916" s="107"/>
      <c r="AX916" s="107"/>
      <c r="AY916" s="107"/>
      <c r="AZ916" s="107"/>
      <c r="BA916" s="107"/>
      <c r="BB916" s="107"/>
      <c r="BC916" s="107"/>
      <c r="BD916" s="107"/>
      <c r="BE916" s="107"/>
      <c r="BF916" s="107"/>
      <c r="BG916" s="107"/>
      <c r="BH916" s="107"/>
    </row>
    <row r="917" spans="1:60" x14ac:dyDescent="0.25">
      <c r="A917" s="96"/>
      <c r="B917" s="97"/>
      <c r="C917" s="97"/>
      <c r="D917" s="97"/>
      <c r="E917" s="98"/>
      <c r="F917" s="99" t="str">
        <f>IF(H917&lt;&gt;"",H917-Accueil!N$6+1/60/24,"")</f>
        <v/>
      </c>
      <c r="G917" s="97"/>
      <c r="H917" s="99"/>
      <c r="I917" s="99"/>
      <c r="J917" s="100"/>
      <c r="K917" s="101"/>
      <c r="L917" s="102"/>
      <c r="M917" s="103"/>
      <c r="N917" s="104"/>
      <c r="O917" s="97"/>
      <c r="P917" s="97"/>
      <c r="Q917" s="97"/>
      <c r="R917" s="105"/>
      <c r="S917" s="97"/>
      <c r="T917" s="97"/>
      <c r="U917" s="97" t="str">
        <f t="shared" si="17"/>
        <v/>
      </c>
      <c r="V917" s="97"/>
      <c r="W917" s="97"/>
      <c r="X917" s="97"/>
      <c r="Y917" s="97"/>
      <c r="Z917" s="97"/>
      <c r="AA917" s="97"/>
      <c r="AB917" s="97"/>
      <c r="AC917" s="97"/>
      <c r="AD917" s="97"/>
      <c r="AE917" s="97"/>
      <c r="AF917" s="97"/>
      <c r="AG917" s="97"/>
      <c r="AH917" s="97"/>
      <c r="AI917" s="97"/>
      <c r="AJ917" s="97"/>
      <c r="AK917" s="97"/>
      <c r="AL917" s="97"/>
      <c r="AM917" s="97"/>
      <c r="AN917" s="97"/>
      <c r="AO917" s="97"/>
      <c r="AP917" s="97"/>
      <c r="AQ917" s="97"/>
      <c r="AR917" s="97"/>
      <c r="AS917" s="97"/>
      <c r="AT917" s="97"/>
      <c r="AU917" s="97"/>
      <c r="AV917" s="97"/>
      <c r="AW917" s="97"/>
      <c r="AX917" s="97"/>
      <c r="AY917" s="97"/>
      <c r="AZ917" s="97"/>
      <c r="BA917" s="97"/>
      <c r="BB917" s="97"/>
      <c r="BC917" s="97"/>
      <c r="BD917" s="97"/>
      <c r="BE917" s="97"/>
      <c r="BF917" s="97"/>
      <c r="BG917" s="97"/>
      <c r="BH917" s="97"/>
    </row>
    <row r="918" spans="1:60" x14ac:dyDescent="0.25">
      <c r="A918" s="106"/>
      <c r="B918" s="107"/>
      <c r="C918" s="107"/>
      <c r="D918" s="107"/>
      <c r="E918" s="108"/>
      <c r="F918" s="109" t="str">
        <f>IF(H918&lt;&gt;"",H918-Accueil!N$6+1/60/24,"")</f>
        <v/>
      </c>
      <c r="G918" s="107"/>
      <c r="H918" s="109"/>
      <c r="I918" s="110"/>
      <c r="J918" s="110"/>
      <c r="K918" s="111"/>
      <c r="L918" s="112"/>
      <c r="M918" s="113"/>
      <c r="N918" s="114"/>
      <c r="O918" s="107"/>
      <c r="P918" s="107"/>
      <c r="Q918" s="115"/>
      <c r="R918" s="116"/>
      <c r="S918" s="107"/>
      <c r="T918" s="107"/>
      <c r="U918" s="107" t="str">
        <f t="shared" si="17"/>
        <v/>
      </c>
      <c r="V918" s="107"/>
      <c r="W918" s="107"/>
      <c r="X918" s="107"/>
      <c r="Y918" s="107"/>
      <c r="Z918" s="107"/>
      <c r="AA918" s="107"/>
      <c r="AB918" s="107"/>
      <c r="AC918" s="107"/>
      <c r="AD918" s="107"/>
      <c r="AE918" s="107"/>
      <c r="AF918" s="107"/>
      <c r="AG918" s="107"/>
      <c r="AH918" s="107"/>
      <c r="AI918" s="107"/>
      <c r="AJ918" s="107"/>
      <c r="AK918" s="107"/>
      <c r="AL918" s="107"/>
      <c r="AM918" s="107"/>
      <c r="AN918" s="107"/>
      <c r="AO918" s="107"/>
      <c r="AP918" s="107"/>
      <c r="AQ918" s="107"/>
      <c r="AR918" s="107"/>
      <c r="AS918" s="107"/>
      <c r="AT918" s="107"/>
      <c r="AU918" s="107"/>
      <c r="AV918" s="107"/>
      <c r="AW918" s="107"/>
      <c r="AX918" s="107"/>
      <c r="AY918" s="107"/>
      <c r="AZ918" s="107"/>
      <c r="BA918" s="107"/>
      <c r="BB918" s="107"/>
      <c r="BC918" s="107"/>
      <c r="BD918" s="107"/>
      <c r="BE918" s="107"/>
      <c r="BF918" s="107"/>
      <c r="BG918" s="107"/>
      <c r="BH918" s="107"/>
    </row>
    <row r="919" spans="1:60" x14ac:dyDescent="0.25">
      <c r="A919" s="96"/>
      <c r="B919" s="97"/>
      <c r="C919" s="97"/>
      <c r="D919" s="97"/>
      <c r="E919" s="98"/>
      <c r="F919" s="99" t="str">
        <f>IF(H919&lt;&gt;"",H919-Accueil!N$6+1/60/24,"")</f>
        <v/>
      </c>
      <c r="G919" s="97"/>
      <c r="H919" s="99"/>
      <c r="I919" s="99"/>
      <c r="J919" s="100"/>
      <c r="K919" s="101"/>
      <c r="L919" s="102"/>
      <c r="M919" s="103"/>
      <c r="N919" s="104"/>
      <c r="O919" s="97"/>
      <c r="P919" s="97"/>
      <c r="Q919" s="97"/>
      <c r="R919" s="105"/>
      <c r="S919" s="97"/>
      <c r="T919" s="97"/>
      <c r="U919" s="97" t="str">
        <f t="shared" si="17"/>
        <v/>
      </c>
      <c r="V919" s="97"/>
      <c r="W919" s="97"/>
      <c r="X919" s="97"/>
      <c r="Y919" s="97"/>
      <c r="Z919" s="97"/>
      <c r="AA919" s="97"/>
      <c r="AB919" s="97"/>
      <c r="AC919" s="97"/>
      <c r="AD919" s="97"/>
      <c r="AE919" s="97"/>
      <c r="AF919" s="97"/>
      <c r="AG919" s="97"/>
      <c r="AH919" s="97"/>
      <c r="AI919" s="97"/>
      <c r="AJ919" s="97"/>
      <c r="AK919" s="97"/>
      <c r="AL919" s="97"/>
      <c r="AM919" s="97"/>
      <c r="AN919" s="97"/>
      <c r="AO919" s="97"/>
      <c r="AP919" s="97"/>
      <c r="AQ919" s="97"/>
      <c r="AR919" s="97"/>
      <c r="AS919" s="97"/>
      <c r="AT919" s="97"/>
      <c r="AU919" s="97"/>
      <c r="AV919" s="97"/>
      <c r="AW919" s="97"/>
      <c r="AX919" s="97"/>
      <c r="AY919" s="97"/>
      <c r="AZ919" s="97"/>
      <c r="BA919" s="97"/>
      <c r="BB919" s="97"/>
      <c r="BC919" s="97"/>
      <c r="BD919" s="97"/>
      <c r="BE919" s="97"/>
      <c r="BF919" s="97"/>
      <c r="BG919" s="97"/>
      <c r="BH919" s="97"/>
    </row>
    <row r="920" spans="1:60" x14ac:dyDescent="0.25">
      <c r="A920" s="106"/>
      <c r="B920" s="107"/>
      <c r="C920" s="107"/>
      <c r="D920" s="107"/>
      <c r="E920" s="108"/>
      <c r="F920" s="109" t="str">
        <f>IF(H920&lt;&gt;"",H920-Accueil!N$6+1/60/24,"")</f>
        <v/>
      </c>
      <c r="G920" s="107"/>
      <c r="H920" s="109"/>
      <c r="I920" s="110"/>
      <c r="J920" s="110"/>
      <c r="K920" s="111"/>
      <c r="L920" s="112"/>
      <c r="M920" s="113"/>
      <c r="N920" s="114"/>
      <c r="O920" s="107"/>
      <c r="P920" s="107"/>
      <c r="Q920" s="115"/>
      <c r="R920" s="116"/>
      <c r="S920" s="107"/>
      <c r="T920" s="107"/>
      <c r="U920" s="107" t="str">
        <f t="shared" si="17"/>
        <v/>
      </c>
      <c r="V920" s="107"/>
      <c r="W920" s="107"/>
      <c r="X920" s="107"/>
      <c r="Y920" s="107"/>
      <c r="Z920" s="107"/>
      <c r="AA920" s="107"/>
      <c r="AB920" s="107"/>
      <c r="AC920" s="107"/>
      <c r="AD920" s="107"/>
      <c r="AE920" s="107"/>
      <c r="AF920" s="107"/>
      <c r="AG920" s="107"/>
      <c r="AH920" s="107"/>
      <c r="AI920" s="107"/>
      <c r="AJ920" s="107"/>
      <c r="AK920" s="107"/>
      <c r="AL920" s="107"/>
      <c r="AM920" s="107"/>
      <c r="AN920" s="107"/>
      <c r="AO920" s="107"/>
      <c r="AP920" s="107"/>
      <c r="AQ920" s="107"/>
      <c r="AR920" s="107"/>
      <c r="AS920" s="107"/>
      <c r="AT920" s="107"/>
      <c r="AU920" s="107"/>
      <c r="AV920" s="107"/>
      <c r="AW920" s="107"/>
      <c r="AX920" s="107"/>
      <c r="AY920" s="107"/>
      <c r="AZ920" s="107"/>
      <c r="BA920" s="107"/>
      <c r="BB920" s="107"/>
      <c r="BC920" s="107"/>
      <c r="BD920" s="107"/>
      <c r="BE920" s="107"/>
      <c r="BF920" s="107"/>
      <c r="BG920" s="107"/>
      <c r="BH920" s="107"/>
    </row>
    <row r="921" spans="1:60" x14ac:dyDescent="0.25">
      <c r="A921" s="96"/>
      <c r="B921" s="97"/>
      <c r="C921" s="97"/>
      <c r="D921" s="97"/>
      <c r="E921" s="98"/>
      <c r="F921" s="99" t="str">
        <f>IF(H921&lt;&gt;"",H921-Accueil!N$6+1/60/24,"")</f>
        <v/>
      </c>
      <c r="G921" s="97"/>
      <c r="H921" s="99"/>
      <c r="I921" s="99"/>
      <c r="J921" s="100"/>
      <c r="K921" s="101"/>
      <c r="L921" s="102"/>
      <c r="M921" s="103"/>
      <c r="N921" s="104"/>
      <c r="O921" s="97"/>
      <c r="P921" s="97"/>
      <c r="Q921" s="97"/>
      <c r="R921" s="105"/>
      <c r="S921" s="97"/>
      <c r="T921" s="97"/>
      <c r="U921" s="97" t="str">
        <f t="shared" si="17"/>
        <v/>
      </c>
      <c r="V921" s="97"/>
      <c r="W921" s="97"/>
      <c r="X921" s="97"/>
      <c r="Y921" s="97"/>
      <c r="Z921" s="97"/>
      <c r="AA921" s="97"/>
      <c r="AB921" s="97"/>
      <c r="AC921" s="97"/>
      <c r="AD921" s="97"/>
      <c r="AE921" s="97"/>
      <c r="AF921" s="97"/>
      <c r="AG921" s="97"/>
      <c r="AH921" s="97"/>
      <c r="AI921" s="97"/>
      <c r="AJ921" s="97"/>
      <c r="AK921" s="97"/>
      <c r="AL921" s="97"/>
      <c r="AM921" s="97"/>
      <c r="AN921" s="97"/>
      <c r="AO921" s="97"/>
      <c r="AP921" s="97"/>
      <c r="AQ921" s="97"/>
      <c r="AR921" s="97"/>
      <c r="AS921" s="97"/>
      <c r="AT921" s="97"/>
      <c r="AU921" s="97"/>
      <c r="AV921" s="97"/>
      <c r="AW921" s="97"/>
      <c r="AX921" s="97"/>
      <c r="AY921" s="97"/>
      <c r="AZ921" s="97"/>
      <c r="BA921" s="97"/>
      <c r="BB921" s="97"/>
      <c r="BC921" s="97"/>
      <c r="BD921" s="97"/>
      <c r="BE921" s="97"/>
      <c r="BF921" s="97"/>
      <c r="BG921" s="97"/>
      <c r="BH921" s="97"/>
    </row>
    <row r="922" spans="1:60" x14ac:dyDescent="0.25">
      <c r="A922" s="106"/>
      <c r="B922" s="107"/>
      <c r="C922" s="107"/>
      <c r="D922" s="107"/>
      <c r="E922" s="108"/>
      <c r="F922" s="109" t="str">
        <f>IF(H922&lt;&gt;"",H922-Accueil!N$6+1/60/24,"")</f>
        <v/>
      </c>
      <c r="G922" s="107"/>
      <c r="H922" s="109"/>
      <c r="I922" s="110"/>
      <c r="J922" s="110"/>
      <c r="K922" s="111"/>
      <c r="L922" s="112"/>
      <c r="M922" s="113"/>
      <c r="N922" s="114"/>
      <c r="O922" s="107"/>
      <c r="P922" s="107"/>
      <c r="Q922" s="115"/>
      <c r="R922" s="116"/>
      <c r="S922" s="107"/>
      <c r="T922" s="107"/>
      <c r="U922" s="107" t="str">
        <f t="shared" si="17"/>
        <v/>
      </c>
      <c r="V922" s="107"/>
      <c r="W922" s="107"/>
      <c r="X922" s="107"/>
      <c r="Y922" s="107"/>
      <c r="Z922" s="107"/>
      <c r="AA922" s="107"/>
      <c r="AB922" s="107"/>
      <c r="AC922" s="107"/>
      <c r="AD922" s="107"/>
      <c r="AE922" s="107"/>
      <c r="AF922" s="107"/>
      <c r="AG922" s="107"/>
      <c r="AH922" s="107"/>
      <c r="AI922" s="107"/>
      <c r="AJ922" s="107"/>
      <c r="AK922" s="107"/>
      <c r="AL922" s="107"/>
      <c r="AM922" s="107"/>
      <c r="AN922" s="107"/>
      <c r="AO922" s="107"/>
      <c r="AP922" s="107"/>
      <c r="AQ922" s="107"/>
      <c r="AR922" s="107"/>
      <c r="AS922" s="107"/>
      <c r="AT922" s="107"/>
      <c r="AU922" s="107"/>
      <c r="AV922" s="107"/>
      <c r="AW922" s="107"/>
      <c r="AX922" s="107"/>
      <c r="AY922" s="107"/>
      <c r="AZ922" s="107"/>
      <c r="BA922" s="107"/>
      <c r="BB922" s="107"/>
      <c r="BC922" s="107"/>
      <c r="BD922" s="107"/>
      <c r="BE922" s="107"/>
      <c r="BF922" s="107"/>
      <c r="BG922" s="107"/>
      <c r="BH922" s="107"/>
    </row>
    <row r="923" spans="1:60" x14ac:dyDescent="0.25">
      <c r="A923" s="96"/>
      <c r="B923" s="97"/>
      <c r="C923" s="97"/>
      <c r="D923" s="97"/>
      <c r="E923" s="98"/>
      <c r="F923" s="99" t="str">
        <f>IF(H923&lt;&gt;"",H923-Accueil!N$6+1/60/24,"")</f>
        <v/>
      </c>
      <c r="G923" s="97"/>
      <c r="H923" s="99"/>
      <c r="I923" s="99"/>
      <c r="J923" s="100"/>
      <c r="K923" s="101"/>
      <c r="L923" s="102"/>
      <c r="M923" s="103"/>
      <c r="N923" s="104"/>
      <c r="O923" s="97"/>
      <c r="P923" s="97"/>
      <c r="Q923" s="97"/>
      <c r="R923" s="105"/>
      <c r="S923" s="97"/>
      <c r="T923" s="97"/>
      <c r="U923" s="97" t="str">
        <f t="shared" si="17"/>
        <v/>
      </c>
      <c r="V923" s="97"/>
      <c r="W923" s="97"/>
      <c r="X923" s="97"/>
      <c r="Y923" s="97"/>
      <c r="Z923" s="97"/>
      <c r="AA923" s="97"/>
      <c r="AB923" s="97"/>
      <c r="AC923" s="97"/>
      <c r="AD923" s="97"/>
      <c r="AE923" s="97"/>
      <c r="AF923" s="97"/>
      <c r="AG923" s="97"/>
      <c r="AH923" s="97"/>
      <c r="AI923" s="97"/>
      <c r="AJ923" s="97"/>
      <c r="AK923" s="97"/>
      <c r="AL923" s="97"/>
      <c r="AM923" s="97"/>
      <c r="AN923" s="97"/>
      <c r="AO923" s="97"/>
      <c r="AP923" s="97"/>
      <c r="AQ923" s="97"/>
      <c r="AR923" s="97"/>
      <c r="AS923" s="97"/>
      <c r="AT923" s="97"/>
      <c r="AU923" s="97"/>
      <c r="AV923" s="97"/>
      <c r="AW923" s="97"/>
      <c r="AX923" s="97"/>
      <c r="AY923" s="97"/>
      <c r="AZ923" s="97"/>
      <c r="BA923" s="97"/>
      <c r="BB923" s="97"/>
      <c r="BC923" s="97"/>
      <c r="BD923" s="97"/>
      <c r="BE923" s="97"/>
      <c r="BF923" s="97"/>
      <c r="BG923" s="97"/>
      <c r="BH923" s="97"/>
    </row>
    <row r="924" spans="1:60" x14ac:dyDescent="0.25">
      <c r="A924" s="106"/>
      <c r="B924" s="107"/>
      <c r="C924" s="107"/>
      <c r="D924" s="107"/>
      <c r="E924" s="108"/>
      <c r="F924" s="109" t="str">
        <f>IF(H924&lt;&gt;"",H924-Accueil!N$6+1/60/24,"")</f>
        <v/>
      </c>
      <c r="G924" s="107"/>
      <c r="H924" s="109"/>
      <c r="I924" s="110"/>
      <c r="J924" s="110"/>
      <c r="K924" s="111"/>
      <c r="L924" s="112"/>
      <c r="M924" s="113"/>
      <c r="N924" s="114"/>
      <c r="O924" s="107"/>
      <c r="P924" s="107"/>
      <c r="Q924" s="115"/>
      <c r="R924" s="116"/>
      <c r="S924" s="107"/>
      <c r="T924" s="107"/>
      <c r="U924" s="107" t="str">
        <f t="shared" si="17"/>
        <v/>
      </c>
      <c r="V924" s="107"/>
      <c r="W924" s="107"/>
      <c r="X924" s="107"/>
      <c r="Y924" s="107"/>
      <c r="Z924" s="107"/>
      <c r="AA924" s="107"/>
      <c r="AB924" s="107"/>
      <c r="AC924" s="107"/>
      <c r="AD924" s="107"/>
      <c r="AE924" s="107"/>
      <c r="AF924" s="107"/>
      <c r="AG924" s="107"/>
      <c r="AH924" s="107"/>
      <c r="AI924" s="107"/>
      <c r="AJ924" s="107"/>
      <c r="AK924" s="107"/>
      <c r="AL924" s="107"/>
      <c r="AM924" s="107"/>
      <c r="AN924" s="107"/>
      <c r="AO924" s="107"/>
      <c r="AP924" s="107"/>
      <c r="AQ924" s="107"/>
      <c r="AR924" s="107"/>
      <c r="AS924" s="107"/>
      <c r="AT924" s="107"/>
      <c r="AU924" s="107"/>
      <c r="AV924" s="107"/>
      <c r="AW924" s="107"/>
      <c r="AX924" s="107"/>
      <c r="AY924" s="107"/>
      <c r="AZ924" s="107"/>
      <c r="BA924" s="107"/>
      <c r="BB924" s="107"/>
      <c r="BC924" s="107"/>
      <c r="BD924" s="107"/>
      <c r="BE924" s="107"/>
      <c r="BF924" s="107"/>
      <c r="BG924" s="107"/>
      <c r="BH924" s="107"/>
    </row>
    <row r="925" spans="1:60" x14ac:dyDescent="0.25">
      <c r="A925" s="96"/>
      <c r="B925" s="97"/>
      <c r="C925" s="97"/>
      <c r="D925" s="97"/>
      <c r="E925" s="98"/>
      <c r="F925" s="99" t="str">
        <f>IF(H925&lt;&gt;"",H925-Accueil!N$6+1/60/24,"")</f>
        <v/>
      </c>
      <c r="G925" s="97"/>
      <c r="H925" s="99"/>
      <c r="I925" s="99"/>
      <c r="J925" s="100"/>
      <c r="K925" s="101"/>
      <c r="L925" s="102"/>
      <c r="M925" s="103"/>
      <c r="N925" s="104"/>
      <c r="O925" s="97"/>
      <c r="P925" s="97"/>
      <c r="Q925" s="97"/>
      <c r="R925" s="105"/>
      <c r="S925" s="97"/>
      <c r="T925" s="97"/>
      <c r="U925" s="97" t="str">
        <f t="shared" si="17"/>
        <v/>
      </c>
      <c r="V925" s="97"/>
      <c r="W925" s="97"/>
      <c r="X925" s="97"/>
      <c r="Y925" s="97"/>
      <c r="Z925" s="97"/>
      <c r="AA925" s="97"/>
      <c r="AB925" s="97"/>
      <c r="AC925" s="97"/>
      <c r="AD925" s="97"/>
      <c r="AE925" s="97"/>
      <c r="AF925" s="97"/>
      <c r="AG925" s="97"/>
      <c r="AH925" s="97"/>
      <c r="AI925" s="97"/>
      <c r="AJ925" s="97"/>
      <c r="AK925" s="97"/>
      <c r="AL925" s="97"/>
      <c r="AM925" s="97"/>
      <c r="AN925" s="97"/>
      <c r="AO925" s="97"/>
      <c r="AP925" s="97"/>
      <c r="AQ925" s="97"/>
      <c r="AR925" s="97"/>
      <c r="AS925" s="97"/>
      <c r="AT925" s="97"/>
      <c r="AU925" s="97"/>
      <c r="AV925" s="97"/>
      <c r="AW925" s="97"/>
      <c r="AX925" s="97"/>
      <c r="AY925" s="97"/>
      <c r="AZ925" s="97"/>
      <c r="BA925" s="97"/>
      <c r="BB925" s="97"/>
      <c r="BC925" s="97"/>
      <c r="BD925" s="97"/>
      <c r="BE925" s="97"/>
      <c r="BF925" s="97"/>
      <c r="BG925" s="97"/>
      <c r="BH925" s="97"/>
    </row>
    <row r="926" spans="1:60" x14ac:dyDescent="0.25">
      <c r="A926" s="106"/>
      <c r="B926" s="107"/>
      <c r="C926" s="107"/>
      <c r="D926" s="107"/>
      <c r="E926" s="108"/>
      <c r="F926" s="109" t="str">
        <f>IF(H926&lt;&gt;"",H926-Accueil!N$6+1/60/24,"")</f>
        <v/>
      </c>
      <c r="G926" s="107"/>
      <c r="H926" s="109"/>
      <c r="I926" s="110"/>
      <c r="J926" s="110"/>
      <c r="K926" s="111"/>
      <c r="L926" s="112"/>
      <c r="M926" s="113"/>
      <c r="N926" s="114"/>
      <c r="O926" s="107"/>
      <c r="P926" s="107"/>
      <c r="Q926" s="115"/>
      <c r="R926" s="116"/>
      <c r="S926" s="107"/>
      <c r="T926" s="107"/>
      <c r="U926" s="107" t="str">
        <f t="shared" si="17"/>
        <v/>
      </c>
      <c r="V926" s="107"/>
      <c r="W926" s="107"/>
      <c r="X926" s="107"/>
      <c r="Y926" s="107"/>
      <c r="Z926" s="107"/>
      <c r="AA926" s="107"/>
      <c r="AB926" s="107"/>
      <c r="AC926" s="107"/>
      <c r="AD926" s="107"/>
      <c r="AE926" s="107"/>
      <c r="AF926" s="107"/>
      <c r="AG926" s="107"/>
      <c r="AH926" s="107"/>
      <c r="AI926" s="107"/>
      <c r="AJ926" s="107"/>
      <c r="AK926" s="107"/>
      <c r="AL926" s="107"/>
      <c r="AM926" s="107"/>
      <c r="AN926" s="107"/>
      <c r="AO926" s="107"/>
      <c r="AP926" s="107"/>
      <c r="AQ926" s="107"/>
      <c r="AR926" s="107"/>
      <c r="AS926" s="107"/>
      <c r="AT926" s="107"/>
      <c r="AU926" s="107"/>
      <c r="AV926" s="107"/>
      <c r="AW926" s="107"/>
      <c r="AX926" s="107"/>
      <c r="AY926" s="107"/>
      <c r="AZ926" s="107"/>
      <c r="BA926" s="107"/>
      <c r="BB926" s="107"/>
      <c r="BC926" s="107"/>
      <c r="BD926" s="107"/>
      <c r="BE926" s="107"/>
      <c r="BF926" s="107"/>
      <c r="BG926" s="107"/>
      <c r="BH926" s="107"/>
    </row>
    <row r="927" spans="1:60" x14ac:dyDescent="0.25">
      <c r="A927" s="96"/>
      <c r="B927" s="97"/>
      <c r="C927" s="97"/>
      <c r="D927" s="97"/>
      <c r="E927" s="98"/>
      <c r="F927" s="99" t="str">
        <f>IF(H927&lt;&gt;"",H927-Accueil!N$6+1/60/24,"")</f>
        <v/>
      </c>
      <c r="G927" s="97"/>
      <c r="H927" s="99"/>
      <c r="I927" s="99"/>
      <c r="J927" s="100"/>
      <c r="K927" s="101"/>
      <c r="L927" s="102"/>
      <c r="M927" s="103"/>
      <c r="N927" s="104"/>
      <c r="O927" s="97"/>
      <c r="P927" s="97"/>
      <c r="Q927" s="97"/>
      <c r="R927" s="105"/>
      <c r="S927" s="97"/>
      <c r="T927" s="97"/>
      <c r="U927" s="97" t="str">
        <f t="shared" si="17"/>
        <v/>
      </c>
      <c r="V927" s="97"/>
      <c r="W927" s="97"/>
      <c r="X927" s="97"/>
      <c r="Y927" s="97"/>
      <c r="Z927" s="97"/>
      <c r="AA927" s="97"/>
      <c r="AB927" s="97"/>
      <c r="AC927" s="97"/>
      <c r="AD927" s="97"/>
      <c r="AE927" s="97"/>
      <c r="AF927" s="97"/>
      <c r="AG927" s="97"/>
      <c r="AH927" s="97"/>
      <c r="AI927" s="97"/>
      <c r="AJ927" s="97"/>
      <c r="AK927" s="97"/>
      <c r="AL927" s="97"/>
      <c r="AM927" s="97"/>
      <c r="AN927" s="97"/>
      <c r="AO927" s="97"/>
      <c r="AP927" s="97"/>
      <c r="AQ927" s="97"/>
      <c r="AR927" s="97"/>
      <c r="AS927" s="97"/>
      <c r="AT927" s="97"/>
      <c r="AU927" s="97"/>
      <c r="AV927" s="97"/>
      <c r="AW927" s="97"/>
      <c r="AX927" s="97"/>
      <c r="AY927" s="97"/>
      <c r="AZ927" s="97"/>
      <c r="BA927" s="97"/>
      <c r="BB927" s="97"/>
      <c r="BC927" s="97"/>
      <c r="BD927" s="97"/>
      <c r="BE927" s="97"/>
      <c r="BF927" s="97"/>
      <c r="BG927" s="97"/>
      <c r="BH927" s="97"/>
    </row>
    <row r="928" spans="1:60" x14ac:dyDescent="0.25">
      <c r="A928" s="106"/>
      <c r="B928" s="107"/>
      <c r="C928" s="107"/>
      <c r="D928" s="107"/>
      <c r="E928" s="108"/>
      <c r="F928" s="109" t="str">
        <f>IF(H928&lt;&gt;"",H928-Accueil!N$6+1/60/24,"")</f>
        <v/>
      </c>
      <c r="G928" s="107"/>
      <c r="H928" s="109"/>
      <c r="I928" s="110"/>
      <c r="J928" s="110"/>
      <c r="K928" s="111"/>
      <c r="L928" s="112"/>
      <c r="M928" s="113"/>
      <c r="N928" s="114"/>
      <c r="O928" s="107"/>
      <c r="P928" s="107"/>
      <c r="Q928" s="115"/>
      <c r="R928" s="116"/>
      <c r="S928" s="107"/>
      <c r="T928" s="107"/>
      <c r="U928" s="107" t="str">
        <f t="shared" si="17"/>
        <v/>
      </c>
      <c r="V928" s="107"/>
      <c r="W928" s="107"/>
      <c r="X928" s="107"/>
      <c r="Y928" s="107"/>
      <c r="Z928" s="107"/>
      <c r="AA928" s="107"/>
      <c r="AB928" s="107"/>
      <c r="AC928" s="107"/>
      <c r="AD928" s="107"/>
      <c r="AE928" s="107"/>
      <c r="AF928" s="107"/>
      <c r="AG928" s="107"/>
      <c r="AH928" s="107"/>
      <c r="AI928" s="107"/>
      <c r="AJ928" s="107"/>
      <c r="AK928" s="107"/>
      <c r="AL928" s="107"/>
      <c r="AM928" s="107"/>
      <c r="AN928" s="107"/>
      <c r="AO928" s="107"/>
      <c r="AP928" s="107"/>
      <c r="AQ928" s="107"/>
      <c r="AR928" s="107"/>
      <c r="AS928" s="107"/>
      <c r="AT928" s="107"/>
      <c r="AU928" s="107"/>
      <c r="AV928" s="107"/>
      <c r="AW928" s="107"/>
      <c r="AX928" s="107"/>
      <c r="AY928" s="107"/>
      <c r="AZ928" s="107"/>
      <c r="BA928" s="107"/>
      <c r="BB928" s="107"/>
      <c r="BC928" s="107"/>
      <c r="BD928" s="107"/>
      <c r="BE928" s="107"/>
      <c r="BF928" s="107"/>
      <c r="BG928" s="107"/>
      <c r="BH928" s="107"/>
    </row>
    <row r="929" spans="1:60" x14ac:dyDescent="0.25">
      <c r="A929" s="96"/>
      <c r="B929" s="97"/>
      <c r="C929" s="97"/>
      <c r="D929" s="97"/>
      <c r="E929" s="98"/>
      <c r="F929" s="99" t="str">
        <f>IF(H929&lt;&gt;"",H929-Accueil!N$6+1/60/24,"")</f>
        <v/>
      </c>
      <c r="G929" s="97"/>
      <c r="H929" s="99"/>
      <c r="I929" s="99"/>
      <c r="J929" s="100"/>
      <c r="K929" s="101"/>
      <c r="L929" s="102"/>
      <c r="M929" s="103"/>
      <c r="N929" s="104"/>
      <c r="O929" s="97"/>
      <c r="P929" s="97"/>
      <c r="Q929" s="97"/>
      <c r="R929" s="105"/>
      <c r="S929" s="97"/>
      <c r="T929" s="97"/>
      <c r="U929" s="97" t="str">
        <f t="shared" si="17"/>
        <v/>
      </c>
      <c r="V929" s="97"/>
      <c r="W929" s="97"/>
      <c r="X929" s="97"/>
      <c r="Y929" s="97"/>
      <c r="Z929" s="97"/>
      <c r="AA929" s="97"/>
      <c r="AB929" s="97"/>
      <c r="AC929" s="97"/>
      <c r="AD929" s="97"/>
      <c r="AE929" s="97"/>
      <c r="AF929" s="97"/>
      <c r="AG929" s="97"/>
      <c r="AH929" s="97"/>
      <c r="AI929" s="97"/>
      <c r="AJ929" s="97"/>
      <c r="AK929" s="97"/>
      <c r="AL929" s="97"/>
      <c r="AM929" s="97"/>
      <c r="AN929" s="97"/>
      <c r="AO929" s="97"/>
      <c r="AP929" s="97"/>
      <c r="AQ929" s="97"/>
      <c r="AR929" s="97"/>
      <c r="AS929" s="97"/>
      <c r="AT929" s="97"/>
      <c r="AU929" s="97"/>
      <c r="AV929" s="97"/>
      <c r="AW929" s="97"/>
      <c r="AX929" s="97"/>
      <c r="AY929" s="97"/>
      <c r="AZ929" s="97"/>
      <c r="BA929" s="97"/>
      <c r="BB929" s="97"/>
      <c r="BC929" s="97"/>
      <c r="BD929" s="97"/>
      <c r="BE929" s="97"/>
      <c r="BF929" s="97"/>
      <c r="BG929" s="97"/>
      <c r="BH929" s="97"/>
    </row>
    <row r="930" spans="1:60" x14ac:dyDescent="0.25">
      <c r="A930" s="106"/>
      <c r="B930" s="107"/>
      <c r="C930" s="107"/>
      <c r="D930" s="107"/>
      <c r="E930" s="108"/>
      <c r="F930" s="109" t="str">
        <f>IF(H930&lt;&gt;"",H930-Accueil!N$6+1/60/24,"")</f>
        <v/>
      </c>
      <c r="G930" s="107"/>
      <c r="H930" s="109"/>
      <c r="I930" s="110"/>
      <c r="J930" s="110"/>
      <c r="K930" s="111"/>
      <c r="L930" s="112"/>
      <c r="M930" s="113"/>
      <c r="N930" s="114"/>
      <c r="O930" s="107"/>
      <c r="P930" s="107"/>
      <c r="Q930" s="115"/>
      <c r="R930" s="116"/>
      <c r="S930" s="107"/>
      <c r="T930" s="107"/>
      <c r="U930" s="107" t="str">
        <f t="shared" si="17"/>
        <v/>
      </c>
      <c r="V930" s="107"/>
      <c r="W930" s="107"/>
      <c r="X930" s="107"/>
      <c r="Y930" s="107"/>
      <c r="Z930" s="107"/>
      <c r="AA930" s="107"/>
      <c r="AB930" s="107"/>
      <c r="AC930" s="107"/>
      <c r="AD930" s="107"/>
      <c r="AE930" s="107"/>
      <c r="AF930" s="107"/>
      <c r="AG930" s="107"/>
      <c r="AH930" s="107"/>
      <c r="AI930" s="107"/>
      <c r="AJ930" s="107"/>
      <c r="AK930" s="107"/>
      <c r="AL930" s="107"/>
      <c r="AM930" s="107"/>
      <c r="AN930" s="107"/>
      <c r="AO930" s="107"/>
      <c r="AP930" s="107"/>
      <c r="AQ930" s="107"/>
      <c r="AR930" s="107"/>
      <c r="AS930" s="107"/>
      <c r="AT930" s="107"/>
      <c r="AU930" s="107"/>
      <c r="AV930" s="107"/>
      <c r="AW930" s="107"/>
      <c r="AX930" s="107"/>
      <c r="AY930" s="107"/>
      <c r="AZ930" s="107"/>
      <c r="BA930" s="107"/>
      <c r="BB930" s="107"/>
      <c r="BC930" s="107"/>
      <c r="BD930" s="107"/>
      <c r="BE930" s="107"/>
      <c r="BF930" s="107"/>
      <c r="BG930" s="107"/>
      <c r="BH930" s="107"/>
    </row>
    <row r="931" spans="1:60" x14ac:dyDescent="0.25">
      <c r="A931" s="96"/>
      <c r="B931" s="97"/>
      <c r="C931" s="97"/>
      <c r="D931" s="97"/>
      <c r="E931" s="98"/>
      <c r="F931" s="99" t="str">
        <f>IF(H931&lt;&gt;"",H931-Accueil!N$6+1/60/24,"")</f>
        <v/>
      </c>
      <c r="G931" s="97"/>
      <c r="H931" s="99"/>
      <c r="I931" s="99"/>
      <c r="J931" s="100"/>
      <c r="K931" s="101"/>
      <c r="L931" s="102"/>
      <c r="M931" s="103"/>
      <c r="N931" s="104"/>
      <c r="O931" s="97"/>
      <c r="P931" s="97"/>
      <c r="Q931" s="97"/>
      <c r="R931" s="105"/>
      <c r="S931" s="97"/>
      <c r="T931" s="97"/>
      <c r="U931" s="97" t="str">
        <f t="shared" si="17"/>
        <v/>
      </c>
      <c r="V931" s="97"/>
      <c r="W931" s="97"/>
      <c r="X931" s="97"/>
      <c r="Y931" s="97"/>
      <c r="Z931" s="97"/>
      <c r="AA931" s="97"/>
      <c r="AB931" s="97"/>
      <c r="AC931" s="97"/>
      <c r="AD931" s="97"/>
      <c r="AE931" s="97"/>
      <c r="AF931" s="97"/>
      <c r="AG931" s="97"/>
      <c r="AH931" s="97"/>
      <c r="AI931" s="97"/>
      <c r="AJ931" s="97"/>
      <c r="AK931" s="97"/>
      <c r="AL931" s="97"/>
      <c r="AM931" s="97"/>
      <c r="AN931" s="97"/>
      <c r="AO931" s="97"/>
      <c r="AP931" s="97"/>
      <c r="AQ931" s="97"/>
      <c r="AR931" s="97"/>
      <c r="AS931" s="97"/>
      <c r="AT931" s="97"/>
      <c r="AU931" s="97"/>
      <c r="AV931" s="97"/>
      <c r="AW931" s="97"/>
      <c r="AX931" s="97"/>
      <c r="AY931" s="97"/>
      <c r="AZ931" s="97"/>
      <c r="BA931" s="97"/>
      <c r="BB931" s="97"/>
      <c r="BC931" s="97"/>
      <c r="BD931" s="97"/>
      <c r="BE931" s="97"/>
      <c r="BF931" s="97"/>
      <c r="BG931" s="97"/>
      <c r="BH931" s="97"/>
    </row>
    <row r="932" spans="1:60" x14ac:dyDescent="0.25">
      <c r="A932" s="106"/>
      <c r="B932" s="107"/>
      <c r="C932" s="107"/>
      <c r="D932" s="107"/>
      <c r="E932" s="108"/>
      <c r="F932" s="109" t="str">
        <f>IF(H932&lt;&gt;"",H932-Accueil!N$6+1/60/24,"")</f>
        <v/>
      </c>
      <c r="G932" s="107"/>
      <c r="H932" s="109"/>
      <c r="I932" s="110"/>
      <c r="J932" s="110"/>
      <c r="K932" s="111"/>
      <c r="L932" s="112"/>
      <c r="M932" s="113"/>
      <c r="N932" s="114"/>
      <c r="O932" s="107"/>
      <c r="P932" s="107"/>
      <c r="Q932" s="115"/>
      <c r="R932" s="116"/>
      <c r="S932" s="107"/>
      <c r="T932" s="107"/>
      <c r="U932" s="107" t="str">
        <f t="shared" si="17"/>
        <v/>
      </c>
      <c r="V932" s="107"/>
      <c r="W932" s="107"/>
      <c r="X932" s="107"/>
      <c r="Y932" s="107"/>
      <c r="Z932" s="107"/>
      <c r="AA932" s="107"/>
      <c r="AB932" s="107"/>
      <c r="AC932" s="107"/>
      <c r="AD932" s="107"/>
      <c r="AE932" s="107"/>
      <c r="AF932" s="107"/>
      <c r="AG932" s="107"/>
      <c r="AH932" s="107"/>
      <c r="AI932" s="107"/>
      <c r="AJ932" s="107"/>
      <c r="AK932" s="107"/>
      <c r="AL932" s="107"/>
      <c r="AM932" s="107"/>
      <c r="AN932" s="107"/>
      <c r="AO932" s="107"/>
      <c r="AP932" s="107"/>
      <c r="AQ932" s="107"/>
      <c r="AR932" s="107"/>
      <c r="AS932" s="107"/>
      <c r="AT932" s="107"/>
      <c r="AU932" s="107"/>
      <c r="AV932" s="107"/>
      <c r="AW932" s="107"/>
      <c r="AX932" s="107"/>
      <c r="AY932" s="107"/>
      <c r="AZ932" s="107"/>
      <c r="BA932" s="107"/>
      <c r="BB932" s="107"/>
      <c r="BC932" s="107"/>
      <c r="BD932" s="107"/>
      <c r="BE932" s="107"/>
      <c r="BF932" s="107"/>
      <c r="BG932" s="107"/>
      <c r="BH932" s="107"/>
    </row>
    <row r="933" spans="1:60" x14ac:dyDescent="0.25">
      <c r="A933" s="96"/>
      <c r="B933" s="97"/>
      <c r="C933" s="97"/>
      <c r="D933" s="97"/>
      <c r="E933" s="98"/>
      <c r="F933" s="99" t="str">
        <f>IF(H933&lt;&gt;"",H933-Accueil!N$6+1/60/24,"")</f>
        <v/>
      </c>
      <c r="G933" s="97"/>
      <c r="H933" s="99"/>
      <c r="I933" s="99"/>
      <c r="J933" s="100"/>
      <c r="K933" s="101"/>
      <c r="L933" s="102"/>
      <c r="M933" s="103"/>
      <c r="N933" s="104"/>
      <c r="O933" s="97"/>
      <c r="P933" s="97"/>
      <c r="Q933" s="97"/>
      <c r="R933" s="105"/>
      <c r="S933" s="97"/>
      <c r="T933" s="97"/>
      <c r="U933" s="97" t="str">
        <f t="shared" si="17"/>
        <v/>
      </c>
      <c r="V933" s="97"/>
      <c r="W933" s="97"/>
      <c r="X933" s="97"/>
      <c r="Y933" s="97"/>
      <c r="Z933" s="97"/>
      <c r="AA933" s="97"/>
      <c r="AB933" s="97"/>
      <c r="AC933" s="97"/>
      <c r="AD933" s="97"/>
      <c r="AE933" s="97"/>
      <c r="AF933" s="97"/>
      <c r="AG933" s="97"/>
      <c r="AH933" s="97"/>
      <c r="AI933" s="97"/>
      <c r="AJ933" s="97"/>
      <c r="AK933" s="97"/>
      <c r="AL933" s="97"/>
      <c r="AM933" s="97"/>
      <c r="AN933" s="97"/>
      <c r="AO933" s="97"/>
      <c r="AP933" s="97"/>
      <c r="AQ933" s="97"/>
      <c r="AR933" s="97"/>
      <c r="AS933" s="97"/>
      <c r="AT933" s="97"/>
      <c r="AU933" s="97"/>
      <c r="AV933" s="97"/>
      <c r="AW933" s="97"/>
      <c r="AX933" s="97"/>
      <c r="AY933" s="97"/>
      <c r="AZ933" s="97"/>
      <c r="BA933" s="97"/>
      <c r="BB933" s="97"/>
      <c r="BC933" s="97"/>
      <c r="BD933" s="97"/>
      <c r="BE933" s="97"/>
      <c r="BF933" s="97"/>
      <c r="BG933" s="97"/>
      <c r="BH933" s="97"/>
    </row>
    <row r="934" spans="1:60" x14ac:dyDescent="0.25">
      <c r="A934" s="106"/>
      <c r="B934" s="107"/>
      <c r="C934" s="107"/>
      <c r="D934" s="107"/>
      <c r="E934" s="108"/>
      <c r="F934" s="109" t="str">
        <f>IF(H934&lt;&gt;"",H934-Accueil!N$6+1/60/24,"")</f>
        <v/>
      </c>
      <c r="G934" s="107"/>
      <c r="H934" s="109"/>
      <c r="I934" s="110"/>
      <c r="J934" s="110"/>
      <c r="K934" s="111"/>
      <c r="L934" s="112"/>
      <c r="M934" s="113"/>
      <c r="N934" s="114"/>
      <c r="O934" s="107"/>
      <c r="P934" s="107"/>
      <c r="Q934" s="115"/>
      <c r="R934" s="116"/>
      <c r="S934" s="107"/>
      <c r="T934" s="107"/>
      <c r="U934" s="107" t="str">
        <f t="shared" si="17"/>
        <v/>
      </c>
      <c r="V934" s="107"/>
      <c r="W934" s="107"/>
      <c r="X934" s="107"/>
      <c r="Y934" s="107"/>
      <c r="Z934" s="107"/>
      <c r="AA934" s="107"/>
      <c r="AB934" s="107"/>
      <c r="AC934" s="107"/>
      <c r="AD934" s="107"/>
      <c r="AE934" s="107"/>
      <c r="AF934" s="107"/>
      <c r="AG934" s="107"/>
      <c r="AH934" s="107"/>
      <c r="AI934" s="107"/>
      <c r="AJ934" s="107"/>
      <c r="AK934" s="107"/>
      <c r="AL934" s="107"/>
      <c r="AM934" s="107"/>
      <c r="AN934" s="107"/>
      <c r="AO934" s="107"/>
      <c r="AP934" s="107"/>
      <c r="AQ934" s="107"/>
      <c r="AR934" s="107"/>
      <c r="AS934" s="107"/>
      <c r="AT934" s="107"/>
      <c r="AU934" s="107"/>
      <c r="AV934" s="107"/>
      <c r="AW934" s="107"/>
      <c r="AX934" s="107"/>
      <c r="AY934" s="107"/>
      <c r="AZ934" s="107"/>
      <c r="BA934" s="107"/>
      <c r="BB934" s="107"/>
      <c r="BC934" s="107"/>
      <c r="BD934" s="107"/>
      <c r="BE934" s="107"/>
      <c r="BF934" s="107"/>
      <c r="BG934" s="107"/>
      <c r="BH934" s="107"/>
    </row>
    <row r="935" spans="1:60" x14ac:dyDescent="0.25">
      <c r="A935" s="96"/>
      <c r="B935" s="97"/>
      <c r="C935" s="97"/>
      <c r="D935" s="97"/>
      <c r="E935" s="98"/>
      <c r="F935" s="99" t="str">
        <f>IF(H935&lt;&gt;"",H935-Accueil!N$6+1/60/24,"")</f>
        <v/>
      </c>
      <c r="G935" s="97"/>
      <c r="H935" s="99"/>
      <c r="I935" s="99"/>
      <c r="J935" s="100"/>
      <c r="K935" s="101"/>
      <c r="L935" s="102"/>
      <c r="M935" s="103"/>
      <c r="N935" s="104"/>
      <c r="O935" s="97"/>
      <c r="P935" s="97"/>
      <c r="Q935" s="97"/>
      <c r="R935" s="105"/>
      <c r="S935" s="97"/>
      <c r="T935" s="97"/>
      <c r="U935" s="97" t="str">
        <f t="shared" si="17"/>
        <v/>
      </c>
      <c r="V935" s="97"/>
      <c r="W935" s="97"/>
      <c r="X935" s="97"/>
      <c r="Y935" s="97"/>
      <c r="Z935" s="97"/>
      <c r="AA935" s="97"/>
      <c r="AB935" s="97"/>
      <c r="AC935" s="97"/>
      <c r="AD935" s="97"/>
      <c r="AE935" s="97"/>
      <c r="AF935" s="97"/>
      <c r="AG935" s="97"/>
      <c r="AH935" s="97"/>
      <c r="AI935" s="97"/>
      <c r="AJ935" s="97"/>
      <c r="AK935" s="97"/>
      <c r="AL935" s="97"/>
      <c r="AM935" s="97"/>
      <c r="AN935" s="97"/>
      <c r="AO935" s="97"/>
      <c r="AP935" s="97"/>
      <c r="AQ935" s="97"/>
      <c r="AR935" s="97"/>
      <c r="AS935" s="97"/>
      <c r="AT935" s="97"/>
      <c r="AU935" s="97"/>
      <c r="AV935" s="97"/>
      <c r="AW935" s="97"/>
      <c r="AX935" s="97"/>
      <c r="AY935" s="97"/>
      <c r="AZ935" s="97"/>
      <c r="BA935" s="97"/>
      <c r="BB935" s="97"/>
      <c r="BC935" s="97"/>
      <c r="BD935" s="97"/>
      <c r="BE935" s="97"/>
      <c r="BF935" s="97"/>
      <c r="BG935" s="97"/>
      <c r="BH935" s="97"/>
    </row>
    <row r="936" spans="1:60" x14ac:dyDescent="0.25">
      <c r="A936" s="106"/>
      <c r="B936" s="107"/>
      <c r="C936" s="107"/>
      <c r="D936" s="107"/>
      <c r="E936" s="108"/>
      <c r="F936" s="109" t="str">
        <f>IF(H936&lt;&gt;"",H936-Accueil!N$6+1/60/24,"")</f>
        <v/>
      </c>
      <c r="G936" s="107"/>
      <c r="H936" s="109"/>
      <c r="I936" s="110"/>
      <c r="J936" s="110"/>
      <c r="K936" s="111"/>
      <c r="L936" s="112"/>
      <c r="M936" s="113"/>
      <c r="N936" s="114"/>
      <c r="O936" s="107"/>
      <c r="P936" s="107"/>
      <c r="Q936" s="115"/>
      <c r="R936" s="116"/>
      <c r="S936" s="107"/>
      <c r="T936" s="107"/>
      <c r="U936" s="107" t="str">
        <f t="shared" si="17"/>
        <v/>
      </c>
      <c r="V936" s="107"/>
      <c r="W936" s="107"/>
      <c r="X936" s="107"/>
      <c r="Y936" s="107"/>
      <c r="Z936" s="107"/>
      <c r="AA936" s="107"/>
      <c r="AB936" s="107"/>
      <c r="AC936" s="107"/>
      <c r="AD936" s="107"/>
      <c r="AE936" s="107"/>
      <c r="AF936" s="107"/>
      <c r="AG936" s="107"/>
      <c r="AH936" s="107"/>
      <c r="AI936" s="107"/>
      <c r="AJ936" s="107"/>
      <c r="AK936" s="107"/>
      <c r="AL936" s="107"/>
      <c r="AM936" s="107"/>
      <c r="AN936" s="107"/>
      <c r="AO936" s="107"/>
      <c r="AP936" s="107"/>
      <c r="AQ936" s="107"/>
      <c r="AR936" s="107"/>
      <c r="AS936" s="107"/>
      <c r="AT936" s="107"/>
      <c r="AU936" s="107"/>
      <c r="AV936" s="107"/>
      <c r="AW936" s="107"/>
      <c r="AX936" s="107"/>
      <c r="AY936" s="107"/>
      <c r="AZ936" s="107"/>
      <c r="BA936" s="107"/>
      <c r="BB936" s="107"/>
      <c r="BC936" s="107"/>
      <c r="BD936" s="107"/>
      <c r="BE936" s="107"/>
      <c r="BF936" s="107"/>
      <c r="BG936" s="107"/>
      <c r="BH936" s="107"/>
    </row>
    <row r="937" spans="1:60" x14ac:dyDescent="0.25">
      <c r="A937" s="96"/>
      <c r="B937" s="97"/>
      <c r="C937" s="97"/>
      <c r="D937" s="97"/>
      <c r="E937" s="98"/>
      <c r="F937" s="99" t="str">
        <f>IF(H937&lt;&gt;"",H937-Accueil!N$6+1/60/24,"")</f>
        <v/>
      </c>
      <c r="G937" s="97"/>
      <c r="H937" s="99"/>
      <c r="I937" s="99"/>
      <c r="J937" s="100"/>
      <c r="K937" s="101"/>
      <c r="L937" s="102"/>
      <c r="M937" s="103"/>
      <c r="N937" s="104"/>
      <c r="O937" s="97"/>
      <c r="P937" s="97"/>
      <c r="Q937" s="97"/>
      <c r="R937" s="105"/>
      <c r="S937" s="97"/>
      <c r="T937" s="97"/>
      <c r="U937" s="97" t="str">
        <f t="shared" si="17"/>
        <v/>
      </c>
      <c r="V937" s="97"/>
      <c r="W937" s="97"/>
      <c r="X937" s="97"/>
      <c r="Y937" s="97"/>
      <c r="Z937" s="97"/>
      <c r="AA937" s="97"/>
      <c r="AB937" s="97"/>
      <c r="AC937" s="97"/>
      <c r="AD937" s="97"/>
      <c r="AE937" s="97"/>
      <c r="AF937" s="97"/>
      <c r="AG937" s="97"/>
      <c r="AH937" s="97"/>
      <c r="AI937" s="97"/>
      <c r="AJ937" s="97"/>
      <c r="AK937" s="97"/>
      <c r="AL937" s="97"/>
      <c r="AM937" s="97"/>
      <c r="AN937" s="97"/>
      <c r="AO937" s="97"/>
      <c r="AP937" s="97"/>
      <c r="AQ937" s="97"/>
      <c r="AR937" s="97"/>
      <c r="AS937" s="97"/>
      <c r="AT937" s="97"/>
      <c r="AU937" s="97"/>
      <c r="AV937" s="97"/>
      <c r="AW937" s="97"/>
      <c r="AX937" s="97"/>
      <c r="AY937" s="97"/>
      <c r="AZ937" s="97"/>
      <c r="BA937" s="97"/>
      <c r="BB937" s="97"/>
      <c r="BC937" s="97"/>
      <c r="BD937" s="97"/>
      <c r="BE937" s="97"/>
      <c r="BF937" s="97"/>
      <c r="BG937" s="97"/>
      <c r="BH937" s="97"/>
    </row>
    <row r="938" spans="1:60" x14ac:dyDescent="0.25">
      <c r="A938" s="106"/>
      <c r="B938" s="107"/>
      <c r="C938" s="107"/>
      <c r="D938" s="107"/>
      <c r="E938" s="108"/>
      <c r="F938" s="109" t="str">
        <f>IF(H938&lt;&gt;"",H938-Accueil!N$6+1/60/24,"")</f>
        <v/>
      </c>
      <c r="G938" s="107"/>
      <c r="H938" s="109"/>
      <c r="I938" s="110"/>
      <c r="J938" s="110"/>
      <c r="K938" s="111"/>
      <c r="L938" s="112"/>
      <c r="M938" s="113"/>
      <c r="N938" s="114"/>
      <c r="O938" s="107"/>
      <c r="P938" s="107"/>
      <c r="Q938" s="115"/>
      <c r="R938" s="116"/>
      <c r="S938" s="107"/>
      <c r="T938" s="107"/>
      <c r="U938" s="107" t="str">
        <f t="shared" si="17"/>
        <v/>
      </c>
      <c r="V938" s="107"/>
      <c r="W938" s="107"/>
      <c r="X938" s="107"/>
      <c r="Y938" s="107"/>
      <c r="Z938" s="107"/>
      <c r="AA938" s="107"/>
      <c r="AB938" s="107"/>
      <c r="AC938" s="107"/>
      <c r="AD938" s="107"/>
      <c r="AE938" s="107"/>
      <c r="AF938" s="107"/>
      <c r="AG938" s="107"/>
      <c r="AH938" s="107"/>
      <c r="AI938" s="107"/>
      <c r="AJ938" s="107"/>
      <c r="AK938" s="107"/>
      <c r="AL938" s="107"/>
      <c r="AM938" s="107"/>
      <c r="AN938" s="107"/>
      <c r="AO938" s="107"/>
      <c r="AP938" s="107"/>
      <c r="AQ938" s="107"/>
      <c r="AR938" s="107"/>
      <c r="AS938" s="107"/>
      <c r="AT938" s="107"/>
      <c r="AU938" s="107"/>
      <c r="AV938" s="107"/>
      <c r="AW938" s="107"/>
      <c r="AX938" s="107"/>
      <c r="AY938" s="107"/>
      <c r="AZ938" s="107"/>
      <c r="BA938" s="107"/>
      <c r="BB938" s="107"/>
      <c r="BC938" s="107"/>
      <c r="BD938" s="107"/>
      <c r="BE938" s="107"/>
      <c r="BF938" s="107"/>
      <c r="BG938" s="107"/>
      <c r="BH938" s="107"/>
    </row>
    <row r="939" spans="1:60" x14ac:dyDescent="0.25">
      <c r="A939" s="96"/>
      <c r="B939" s="97"/>
      <c r="C939" s="97"/>
      <c r="D939" s="97"/>
      <c r="E939" s="98"/>
      <c r="F939" s="99" t="str">
        <f>IF(H939&lt;&gt;"",H939-Accueil!N$6+1/60/24,"")</f>
        <v/>
      </c>
      <c r="G939" s="97"/>
      <c r="H939" s="99"/>
      <c r="I939" s="99"/>
      <c r="J939" s="100"/>
      <c r="K939" s="101"/>
      <c r="L939" s="102"/>
      <c r="M939" s="103"/>
      <c r="N939" s="104"/>
      <c r="O939" s="97"/>
      <c r="P939" s="97"/>
      <c r="Q939" s="97"/>
      <c r="R939" s="105"/>
      <c r="S939" s="97"/>
      <c r="T939" s="97"/>
      <c r="U939" s="97" t="str">
        <f t="shared" si="17"/>
        <v/>
      </c>
      <c r="V939" s="97"/>
      <c r="W939" s="97"/>
      <c r="X939" s="97"/>
      <c r="Y939" s="97"/>
      <c r="Z939" s="97"/>
      <c r="AA939" s="97"/>
      <c r="AB939" s="97"/>
      <c r="AC939" s="97"/>
      <c r="AD939" s="97"/>
      <c r="AE939" s="97"/>
      <c r="AF939" s="97"/>
      <c r="AG939" s="97"/>
      <c r="AH939" s="97"/>
      <c r="AI939" s="97"/>
      <c r="AJ939" s="97"/>
      <c r="AK939" s="97"/>
      <c r="AL939" s="97"/>
      <c r="AM939" s="97"/>
      <c r="AN939" s="97"/>
      <c r="AO939" s="97"/>
      <c r="AP939" s="97"/>
      <c r="AQ939" s="97"/>
      <c r="AR939" s="97"/>
      <c r="AS939" s="97"/>
      <c r="AT939" s="97"/>
      <c r="AU939" s="97"/>
      <c r="AV939" s="97"/>
      <c r="AW939" s="97"/>
      <c r="AX939" s="97"/>
      <c r="AY939" s="97"/>
      <c r="AZ939" s="97"/>
      <c r="BA939" s="97"/>
      <c r="BB939" s="97"/>
      <c r="BC939" s="97"/>
      <c r="BD939" s="97"/>
      <c r="BE939" s="97"/>
      <c r="BF939" s="97"/>
      <c r="BG939" s="97"/>
      <c r="BH939" s="97"/>
    </row>
    <row r="940" spans="1:60" x14ac:dyDescent="0.25">
      <c r="A940" s="106"/>
      <c r="B940" s="107"/>
      <c r="C940" s="107"/>
      <c r="D940" s="107"/>
      <c r="E940" s="108"/>
      <c r="F940" s="109" t="str">
        <f>IF(H940&lt;&gt;"",H940-Accueil!N$6+1/60/24,"")</f>
        <v/>
      </c>
      <c r="G940" s="107"/>
      <c r="H940" s="109"/>
      <c r="I940" s="110"/>
      <c r="J940" s="110"/>
      <c r="K940" s="111"/>
      <c r="L940" s="112"/>
      <c r="M940" s="113"/>
      <c r="N940" s="114"/>
      <c r="O940" s="107"/>
      <c r="P940" s="107"/>
      <c r="Q940" s="115"/>
      <c r="R940" s="116"/>
      <c r="S940" s="107"/>
      <c r="T940" s="107"/>
      <c r="U940" s="107" t="str">
        <f t="shared" si="17"/>
        <v/>
      </c>
      <c r="V940" s="107"/>
      <c r="W940" s="107"/>
      <c r="X940" s="107"/>
      <c r="Y940" s="107"/>
      <c r="Z940" s="107"/>
      <c r="AA940" s="107"/>
      <c r="AB940" s="107"/>
      <c r="AC940" s="107"/>
      <c r="AD940" s="107"/>
      <c r="AE940" s="107"/>
      <c r="AF940" s="107"/>
      <c r="AG940" s="107"/>
      <c r="AH940" s="107"/>
      <c r="AI940" s="107"/>
      <c r="AJ940" s="107"/>
      <c r="AK940" s="107"/>
      <c r="AL940" s="107"/>
      <c r="AM940" s="107"/>
      <c r="AN940" s="107"/>
      <c r="AO940" s="107"/>
      <c r="AP940" s="107"/>
      <c r="AQ940" s="107"/>
      <c r="AR940" s="107"/>
      <c r="AS940" s="107"/>
      <c r="AT940" s="107"/>
      <c r="AU940" s="107"/>
      <c r="AV940" s="107"/>
      <c r="AW940" s="107"/>
      <c r="AX940" s="107"/>
      <c r="AY940" s="107"/>
      <c r="AZ940" s="107"/>
      <c r="BA940" s="107"/>
      <c r="BB940" s="107"/>
      <c r="BC940" s="107"/>
      <c r="BD940" s="107"/>
      <c r="BE940" s="107"/>
      <c r="BF940" s="107"/>
      <c r="BG940" s="107"/>
      <c r="BH940" s="107"/>
    </row>
    <row r="941" spans="1:60" x14ac:dyDescent="0.25">
      <c r="A941" s="96"/>
      <c r="B941" s="97"/>
      <c r="C941" s="97"/>
      <c r="D941" s="97"/>
      <c r="E941" s="98"/>
      <c r="F941" s="99" t="str">
        <f>IF(H941&lt;&gt;"",H941-Accueil!N$6+1/60/24,"")</f>
        <v/>
      </c>
      <c r="G941" s="97"/>
      <c r="H941" s="99"/>
      <c r="I941" s="99"/>
      <c r="J941" s="100"/>
      <c r="K941" s="101"/>
      <c r="L941" s="102"/>
      <c r="M941" s="103"/>
      <c r="N941" s="104"/>
      <c r="O941" s="97"/>
      <c r="P941" s="97"/>
      <c r="Q941" s="97"/>
      <c r="R941" s="105"/>
      <c r="S941" s="97"/>
      <c r="T941" s="97"/>
      <c r="U941" s="97" t="str">
        <f t="shared" si="17"/>
        <v/>
      </c>
      <c r="V941" s="97"/>
      <c r="W941" s="97"/>
      <c r="X941" s="97"/>
      <c r="Y941" s="97"/>
      <c r="Z941" s="97"/>
      <c r="AA941" s="97"/>
      <c r="AB941" s="97"/>
      <c r="AC941" s="97"/>
      <c r="AD941" s="97"/>
      <c r="AE941" s="97"/>
      <c r="AF941" s="97"/>
      <c r="AG941" s="97"/>
      <c r="AH941" s="97"/>
      <c r="AI941" s="97"/>
      <c r="AJ941" s="97"/>
      <c r="AK941" s="97"/>
      <c r="AL941" s="97"/>
      <c r="AM941" s="97"/>
      <c r="AN941" s="97"/>
      <c r="AO941" s="97"/>
      <c r="AP941" s="97"/>
      <c r="AQ941" s="97"/>
      <c r="AR941" s="97"/>
      <c r="AS941" s="97"/>
      <c r="AT941" s="97"/>
      <c r="AU941" s="97"/>
      <c r="AV941" s="97"/>
      <c r="AW941" s="97"/>
      <c r="AX941" s="97"/>
      <c r="AY941" s="97"/>
      <c r="AZ941" s="97"/>
      <c r="BA941" s="97"/>
      <c r="BB941" s="97"/>
      <c r="BC941" s="97"/>
      <c r="BD941" s="97"/>
      <c r="BE941" s="97"/>
      <c r="BF941" s="97"/>
      <c r="BG941" s="97"/>
      <c r="BH941" s="97"/>
    </row>
    <row r="942" spans="1:60" x14ac:dyDescent="0.25">
      <c r="A942" s="106"/>
      <c r="B942" s="107"/>
      <c r="C942" s="107"/>
      <c r="D942" s="107"/>
      <c r="E942" s="108"/>
      <c r="F942" s="109" t="str">
        <f>IF(H942&lt;&gt;"",H942-Accueil!N$6+1/60/24,"")</f>
        <v/>
      </c>
      <c r="G942" s="107"/>
      <c r="H942" s="109"/>
      <c r="I942" s="110"/>
      <c r="J942" s="110"/>
      <c r="K942" s="111"/>
      <c r="L942" s="112"/>
      <c r="M942" s="113"/>
      <c r="N942" s="114"/>
      <c r="O942" s="107"/>
      <c r="P942" s="107"/>
      <c r="Q942" s="115"/>
      <c r="R942" s="116"/>
      <c r="S942" s="107"/>
      <c r="T942" s="107"/>
      <c r="U942" s="107" t="str">
        <f t="shared" si="17"/>
        <v/>
      </c>
      <c r="V942" s="107"/>
      <c r="W942" s="107"/>
      <c r="X942" s="107"/>
      <c r="Y942" s="107"/>
      <c r="Z942" s="107"/>
      <c r="AA942" s="107"/>
      <c r="AB942" s="107"/>
      <c r="AC942" s="107"/>
      <c r="AD942" s="107"/>
      <c r="AE942" s="107"/>
      <c r="AF942" s="107"/>
      <c r="AG942" s="107"/>
      <c r="AH942" s="107"/>
      <c r="AI942" s="107"/>
      <c r="AJ942" s="107"/>
      <c r="AK942" s="107"/>
      <c r="AL942" s="107"/>
      <c r="AM942" s="107"/>
      <c r="AN942" s="107"/>
      <c r="AO942" s="107"/>
      <c r="AP942" s="107"/>
      <c r="AQ942" s="107"/>
      <c r="AR942" s="107"/>
      <c r="AS942" s="107"/>
      <c r="AT942" s="107"/>
      <c r="AU942" s="107"/>
      <c r="AV942" s="107"/>
      <c r="AW942" s="107"/>
      <c r="AX942" s="107"/>
      <c r="AY942" s="107"/>
      <c r="AZ942" s="107"/>
      <c r="BA942" s="107"/>
      <c r="BB942" s="107"/>
      <c r="BC942" s="107"/>
      <c r="BD942" s="107"/>
      <c r="BE942" s="107"/>
      <c r="BF942" s="107"/>
      <c r="BG942" s="107"/>
      <c r="BH942" s="107"/>
    </row>
    <row r="943" spans="1:60" x14ac:dyDescent="0.25">
      <c r="A943" s="96"/>
      <c r="B943" s="97"/>
      <c r="C943" s="97"/>
      <c r="D943" s="97"/>
      <c r="E943" s="98"/>
      <c r="F943" s="99" t="str">
        <f>IF(H943&lt;&gt;"",H943-Accueil!N$6+1/60/24,"")</f>
        <v/>
      </c>
      <c r="G943" s="97"/>
      <c r="H943" s="99"/>
      <c r="I943" s="99"/>
      <c r="J943" s="100"/>
      <c r="K943" s="101"/>
      <c r="L943" s="102"/>
      <c r="M943" s="103"/>
      <c r="N943" s="104"/>
      <c r="O943" s="97"/>
      <c r="P943" s="97"/>
      <c r="Q943" s="97"/>
      <c r="R943" s="105"/>
      <c r="S943" s="97"/>
      <c r="T943" s="97"/>
      <c r="U943" s="97" t="str">
        <f t="shared" si="17"/>
        <v/>
      </c>
      <c r="V943" s="97"/>
      <c r="W943" s="97"/>
      <c r="X943" s="97"/>
      <c r="Y943" s="97"/>
      <c r="Z943" s="97"/>
      <c r="AA943" s="97"/>
      <c r="AB943" s="97"/>
      <c r="AC943" s="97"/>
      <c r="AD943" s="97"/>
      <c r="AE943" s="97"/>
      <c r="AF943" s="97"/>
      <c r="AG943" s="97"/>
      <c r="AH943" s="97"/>
      <c r="AI943" s="97"/>
      <c r="AJ943" s="97"/>
      <c r="AK943" s="97"/>
      <c r="AL943" s="97"/>
      <c r="AM943" s="97"/>
      <c r="AN943" s="97"/>
      <c r="AO943" s="97"/>
      <c r="AP943" s="97"/>
      <c r="AQ943" s="97"/>
      <c r="AR943" s="97"/>
      <c r="AS943" s="97"/>
      <c r="AT943" s="97"/>
      <c r="AU943" s="97"/>
      <c r="AV943" s="97"/>
      <c r="AW943" s="97"/>
      <c r="AX943" s="97"/>
      <c r="AY943" s="97"/>
      <c r="AZ943" s="97"/>
      <c r="BA943" s="97"/>
      <c r="BB943" s="97"/>
      <c r="BC943" s="97"/>
      <c r="BD943" s="97"/>
      <c r="BE943" s="97"/>
      <c r="BF943" s="97"/>
      <c r="BG943" s="97"/>
      <c r="BH943" s="97"/>
    </row>
    <row r="944" spans="1:60" x14ac:dyDescent="0.25">
      <c r="A944" s="106"/>
      <c r="B944" s="107"/>
      <c r="C944" s="107"/>
      <c r="D944" s="107"/>
      <c r="E944" s="108"/>
      <c r="F944" s="109" t="str">
        <f>IF(H944&lt;&gt;"",H944-Accueil!N$6+1/60/24,"")</f>
        <v/>
      </c>
      <c r="G944" s="107"/>
      <c r="H944" s="109"/>
      <c r="I944" s="110"/>
      <c r="J944" s="110"/>
      <c r="K944" s="111"/>
      <c r="L944" s="112"/>
      <c r="M944" s="113"/>
      <c r="N944" s="114"/>
      <c r="O944" s="107"/>
      <c r="P944" s="107"/>
      <c r="Q944" s="115"/>
      <c r="R944" s="116"/>
      <c r="S944" s="107"/>
      <c r="T944" s="107"/>
      <c r="U944" s="107" t="str">
        <f t="shared" si="17"/>
        <v/>
      </c>
      <c r="V944" s="107"/>
      <c r="W944" s="107"/>
      <c r="X944" s="107"/>
      <c r="Y944" s="107"/>
      <c r="Z944" s="107"/>
      <c r="AA944" s="107"/>
      <c r="AB944" s="107"/>
      <c r="AC944" s="107"/>
      <c r="AD944" s="107"/>
      <c r="AE944" s="107"/>
      <c r="AF944" s="107"/>
      <c r="AG944" s="107"/>
      <c r="AH944" s="107"/>
      <c r="AI944" s="107"/>
      <c r="AJ944" s="107"/>
      <c r="AK944" s="107"/>
      <c r="AL944" s="107"/>
      <c r="AM944" s="107"/>
      <c r="AN944" s="107"/>
      <c r="AO944" s="107"/>
      <c r="AP944" s="107"/>
      <c r="AQ944" s="107"/>
      <c r="AR944" s="107"/>
      <c r="AS944" s="107"/>
      <c r="AT944" s="107"/>
      <c r="AU944" s="107"/>
      <c r="AV944" s="107"/>
      <c r="AW944" s="107"/>
      <c r="AX944" s="107"/>
      <c r="AY944" s="107"/>
      <c r="AZ944" s="107"/>
      <c r="BA944" s="107"/>
      <c r="BB944" s="107"/>
      <c r="BC944" s="107"/>
      <c r="BD944" s="107"/>
      <c r="BE944" s="107"/>
      <c r="BF944" s="107"/>
      <c r="BG944" s="107"/>
      <c r="BH944" s="107"/>
    </row>
    <row r="945" spans="1:60" x14ac:dyDescent="0.25">
      <c r="A945" s="96"/>
      <c r="B945" s="97"/>
      <c r="C945" s="97"/>
      <c r="D945" s="97"/>
      <c r="E945" s="98"/>
      <c r="F945" s="99" t="str">
        <f>IF(H945&lt;&gt;"",H945-Accueil!N$6+1/60/24,"")</f>
        <v/>
      </c>
      <c r="G945" s="97"/>
      <c r="H945" s="99"/>
      <c r="I945" s="99"/>
      <c r="J945" s="100"/>
      <c r="K945" s="101"/>
      <c r="L945" s="102"/>
      <c r="M945" s="103"/>
      <c r="N945" s="104"/>
      <c r="O945" s="97"/>
      <c r="P945" s="97"/>
      <c r="Q945" s="97"/>
      <c r="R945" s="105"/>
      <c r="S945" s="97"/>
      <c r="T945" s="97"/>
      <c r="U945" s="97" t="str">
        <f t="shared" si="17"/>
        <v/>
      </c>
      <c r="V945" s="97"/>
      <c r="W945" s="97"/>
      <c r="X945" s="97"/>
      <c r="Y945" s="97"/>
      <c r="Z945" s="97"/>
      <c r="AA945" s="97"/>
      <c r="AB945" s="97"/>
      <c r="AC945" s="97"/>
      <c r="AD945" s="97"/>
      <c r="AE945" s="97"/>
      <c r="AF945" s="97"/>
      <c r="AG945" s="97"/>
      <c r="AH945" s="97"/>
      <c r="AI945" s="97"/>
      <c r="AJ945" s="97"/>
      <c r="AK945" s="97"/>
      <c r="AL945" s="97"/>
      <c r="AM945" s="97"/>
      <c r="AN945" s="97"/>
      <c r="AO945" s="97"/>
      <c r="AP945" s="97"/>
      <c r="AQ945" s="97"/>
      <c r="AR945" s="97"/>
      <c r="AS945" s="97"/>
      <c r="AT945" s="97"/>
      <c r="AU945" s="97"/>
      <c r="AV945" s="97"/>
      <c r="AW945" s="97"/>
      <c r="AX945" s="97"/>
      <c r="AY945" s="97"/>
      <c r="AZ945" s="97"/>
      <c r="BA945" s="97"/>
      <c r="BB945" s="97"/>
      <c r="BC945" s="97"/>
      <c r="BD945" s="97"/>
      <c r="BE945" s="97"/>
      <c r="BF945" s="97"/>
      <c r="BG945" s="97"/>
      <c r="BH945" s="97"/>
    </row>
    <row r="946" spans="1:60" x14ac:dyDescent="0.25">
      <c r="A946" s="106"/>
      <c r="B946" s="107"/>
      <c r="C946" s="107"/>
      <c r="D946" s="107"/>
      <c r="E946" s="108"/>
      <c r="F946" s="109" t="str">
        <f>IF(H946&lt;&gt;"",H946-Accueil!N$6+1/60/24,"")</f>
        <v/>
      </c>
      <c r="G946" s="107"/>
      <c r="H946" s="109"/>
      <c r="I946" s="110"/>
      <c r="J946" s="110"/>
      <c r="K946" s="111"/>
      <c r="L946" s="112"/>
      <c r="M946" s="113"/>
      <c r="N946" s="114"/>
      <c r="O946" s="107"/>
      <c r="P946" s="107"/>
      <c r="Q946" s="115"/>
      <c r="R946" s="116"/>
      <c r="S946" s="107"/>
      <c r="T946" s="107"/>
      <c r="U946" s="107" t="str">
        <f t="shared" si="17"/>
        <v/>
      </c>
      <c r="V946" s="107"/>
      <c r="W946" s="107"/>
      <c r="X946" s="107"/>
      <c r="Y946" s="107"/>
      <c r="Z946" s="107"/>
      <c r="AA946" s="107"/>
      <c r="AB946" s="107"/>
      <c r="AC946" s="107"/>
      <c r="AD946" s="107"/>
      <c r="AE946" s="107"/>
      <c r="AF946" s="107"/>
      <c r="AG946" s="107"/>
      <c r="AH946" s="107"/>
      <c r="AI946" s="107"/>
      <c r="AJ946" s="107"/>
      <c r="AK946" s="107"/>
      <c r="AL946" s="107"/>
      <c r="AM946" s="107"/>
      <c r="AN946" s="107"/>
      <c r="AO946" s="107"/>
      <c r="AP946" s="107"/>
      <c r="AQ946" s="107"/>
      <c r="AR946" s="107"/>
      <c r="AS946" s="107"/>
      <c r="AT946" s="107"/>
      <c r="AU946" s="107"/>
      <c r="AV946" s="107"/>
      <c r="AW946" s="107"/>
      <c r="AX946" s="107"/>
      <c r="AY946" s="107"/>
      <c r="AZ946" s="107"/>
      <c r="BA946" s="107"/>
      <c r="BB946" s="107"/>
      <c r="BC946" s="107"/>
      <c r="BD946" s="107"/>
      <c r="BE946" s="107"/>
      <c r="BF946" s="107"/>
      <c r="BG946" s="107"/>
      <c r="BH946" s="107"/>
    </row>
    <row r="947" spans="1:60" x14ac:dyDescent="0.25">
      <c r="A947" s="96"/>
      <c r="B947" s="97"/>
      <c r="C947" s="97"/>
      <c r="D947" s="97"/>
      <c r="E947" s="98"/>
      <c r="F947" s="99" t="str">
        <f>IF(H947&lt;&gt;"",H947-Accueil!N$6+1/60/24,"")</f>
        <v/>
      </c>
      <c r="G947" s="97"/>
      <c r="H947" s="99"/>
      <c r="I947" s="99"/>
      <c r="J947" s="100"/>
      <c r="K947" s="101"/>
      <c r="L947" s="102"/>
      <c r="M947" s="103"/>
      <c r="N947" s="104"/>
      <c r="O947" s="97"/>
      <c r="P947" s="97"/>
      <c r="Q947" s="97"/>
      <c r="R947" s="105"/>
      <c r="S947" s="97"/>
      <c r="T947" s="97"/>
      <c r="U947" s="97" t="str">
        <f t="shared" si="17"/>
        <v/>
      </c>
      <c r="V947" s="97"/>
      <c r="W947" s="97"/>
      <c r="X947" s="97"/>
      <c r="Y947" s="97"/>
      <c r="Z947" s="97"/>
      <c r="AA947" s="97"/>
      <c r="AB947" s="97"/>
      <c r="AC947" s="97"/>
      <c r="AD947" s="97"/>
      <c r="AE947" s="97"/>
      <c r="AF947" s="97"/>
      <c r="AG947" s="97"/>
      <c r="AH947" s="97"/>
      <c r="AI947" s="97"/>
      <c r="AJ947" s="97"/>
      <c r="AK947" s="97"/>
      <c r="AL947" s="97"/>
      <c r="AM947" s="97"/>
      <c r="AN947" s="97"/>
      <c r="AO947" s="97"/>
      <c r="AP947" s="97"/>
      <c r="AQ947" s="97"/>
      <c r="AR947" s="97"/>
      <c r="AS947" s="97"/>
      <c r="AT947" s="97"/>
      <c r="AU947" s="97"/>
      <c r="AV947" s="97"/>
      <c r="AW947" s="97"/>
      <c r="AX947" s="97"/>
      <c r="AY947" s="97"/>
      <c r="AZ947" s="97"/>
      <c r="BA947" s="97"/>
      <c r="BB947" s="97"/>
      <c r="BC947" s="97"/>
      <c r="BD947" s="97"/>
      <c r="BE947" s="97"/>
      <c r="BF947" s="97"/>
      <c r="BG947" s="97"/>
      <c r="BH947" s="97"/>
    </row>
    <row r="948" spans="1:60" x14ac:dyDescent="0.25">
      <c r="A948" s="106"/>
      <c r="B948" s="107"/>
      <c r="C948" s="107"/>
      <c r="D948" s="107"/>
      <c r="E948" s="108"/>
      <c r="F948" s="109" t="str">
        <f>IF(H948&lt;&gt;"",H948-Accueil!N$6+1/60/24,"")</f>
        <v/>
      </c>
      <c r="G948" s="107"/>
      <c r="H948" s="109"/>
      <c r="I948" s="110"/>
      <c r="J948" s="110"/>
      <c r="K948" s="111"/>
      <c r="L948" s="112"/>
      <c r="M948" s="113"/>
      <c r="N948" s="114"/>
      <c r="O948" s="107"/>
      <c r="P948" s="107"/>
      <c r="Q948" s="115"/>
      <c r="R948" s="116"/>
      <c r="S948" s="107"/>
      <c r="T948" s="107"/>
      <c r="U948" s="107" t="str">
        <f t="shared" si="17"/>
        <v/>
      </c>
      <c r="V948" s="107"/>
      <c r="W948" s="107"/>
      <c r="X948" s="107"/>
      <c r="Y948" s="107"/>
      <c r="Z948" s="107"/>
      <c r="AA948" s="107"/>
      <c r="AB948" s="107"/>
      <c r="AC948" s="107"/>
      <c r="AD948" s="107"/>
      <c r="AE948" s="107"/>
      <c r="AF948" s="107"/>
      <c r="AG948" s="107"/>
      <c r="AH948" s="107"/>
      <c r="AI948" s="107"/>
      <c r="AJ948" s="107"/>
      <c r="AK948" s="107"/>
      <c r="AL948" s="107"/>
      <c r="AM948" s="107"/>
      <c r="AN948" s="107"/>
      <c r="AO948" s="107"/>
      <c r="AP948" s="107"/>
      <c r="AQ948" s="107"/>
      <c r="AR948" s="107"/>
      <c r="AS948" s="107"/>
      <c r="AT948" s="107"/>
      <c r="AU948" s="107"/>
      <c r="AV948" s="107"/>
      <c r="AW948" s="107"/>
      <c r="AX948" s="107"/>
      <c r="AY948" s="107"/>
      <c r="AZ948" s="107"/>
      <c r="BA948" s="107"/>
      <c r="BB948" s="107"/>
      <c r="BC948" s="107"/>
      <c r="BD948" s="107"/>
      <c r="BE948" s="107"/>
      <c r="BF948" s="107"/>
      <c r="BG948" s="107"/>
      <c r="BH948" s="107"/>
    </row>
    <row r="949" spans="1:60" x14ac:dyDescent="0.25">
      <c r="A949" s="96"/>
      <c r="B949" s="97"/>
      <c r="C949" s="97"/>
      <c r="D949" s="97"/>
      <c r="E949" s="98"/>
      <c r="F949" s="99" t="str">
        <f>IF(H949&lt;&gt;"",H949-Accueil!N$6+1/60/24,"")</f>
        <v/>
      </c>
      <c r="G949" s="97"/>
      <c r="H949" s="99"/>
      <c r="I949" s="99"/>
      <c r="J949" s="100"/>
      <c r="K949" s="101"/>
      <c r="L949" s="102"/>
      <c r="M949" s="103"/>
      <c r="N949" s="104"/>
      <c r="O949" s="97"/>
      <c r="P949" s="97"/>
      <c r="Q949" s="97"/>
      <c r="R949" s="105"/>
      <c r="S949" s="97"/>
      <c r="T949" s="97"/>
      <c r="U949" s="97" t="str">
        <f t="shared" si="17"/>
        <v/>
      </c>
      <c r="V949" s="97"/>
      <c r="W949" s="97"/>
      <c r="X949" s="97"/>
      <c r="Y949" s="97"/>
      <c r="Z949" s="97"/>
      <c r="AA949" s="97"/>
      <c r="AB949" s="97"/>
      <c r="AC949" s="97"/>
      <c r="AD949" s="97"/>
      <c r="AE949" s="97"/>
      <c r="AF949" s="97"/>
      <c r="AG949" s="97"/>
      <c r="AH949" s="97"/>
      <c r="AI949" s="97"/>
      <c r="AJ949" s="97"/>
      <c r="AK949" s="97"/>
      <c r="AL949" s="97"/>
      <c r="AM949" s="97"/>
      <c r="AN949" s="97"/>
      <c r="AO949" s="97"/>
      <c r="AP949" s="97"/>
      <c r="AQ949" s="97"/>
      <c r="AR949" s="97"/>
      <c r="AS949" s="97"/>
      <c r="AT949" s="97"/>
      <c r="AU949" s="97"/>
      <c r="AV949" s="97"/>
      <c r="AW949" s="97"/>
      <c r="AX949" s="97"/>
      <c r="AY949" s="97"/>
      <c r="AZ949" s="97"/>
      <c r="BA949" s="97"/>
      <c r="BB949" s="97"/>
      <c r="BC949" s="97"/>
      <c r="BD949" s="97"/>
      <c r="BE949" s="97"/>
      <c r="BF949" s="97"/>
      <c r="BG949" s="97"/>
      <c r="BH949" s="97"/>
    </row>
    <row r="950" spans="1:60" x14ac:dyDescent="0.25">
      <c r="A950" s="106"/>
      <c r="B950" s="107"/>
      <c r="C950" s="107"/>
      <c r="D950" s="107"/>
      <c r="E950" s="108"/>
      <c r="F950" s="109" t="str">
        <f>IF(H950&lt;&gt;"",H950-Accueil!N$6+1/60/24,"")</f>
        <v/>
      </c>
      <c r="G950" s="107"/>
      <c r="H950" s="109"/>
      <c r="I950" s="110"/>
      <c r="J950" s="110"/>
      <c r="K950" s="111"/>
      <c r="L950" s="112"/>
      <c r="M950" s="113"/>
      <c r="N950" s="114"/>
      <c r="O950" s="107"/>
      <c r="P950" s="107"/>
      <c r="Q950" s="115"/>
      <c r="R950" s="116"/>
      <c r="S950" s="107"/>
      <c r="T950" s="107"/>
      <c r="U950" s="107" t="str">
        <f t="shared" si="17"/>
        <v/>
      </c>
      <c r="V950" s="107"/>
      <c r="W950" s="107"/>
      <c r="X950" s="107"/>
      <c r="Y950" s="107"/>
      <c r="Z950" s="107"/>
      <c r="AA950" s="107"/>
      <c r="AB950" s="107"/>
      <c r="AC950" s="107"/>
      <c r="AD950" s="107"/>
      <c r="AE950" s="107"/>
      <c r="AF950" s="107"/>
      <c r="AG950" s="107"/>
      <c r="AH950" s="107"/>
      <c r="AI950" s="107"/>
      <c r="AJ950" s="107"/>
      <c r="AK950" s="107"/>
      <c r="AL950" s="107"/>
      <c r="AM950" s="107"/>
      <c r="AN950" s="107"/>
      <c r="AO950" s="107"/>
      <c r="AP950" s="107"/>
      <c r="AQ950" s="107"/>
      <c r="AR950" s="107"/>
      <c r="AS950" s="107"/>
      <c r="AT950" s="107"/>
      <c r="AU950" s="107"/>
      <c r="AV950" s="107"/>
      <c r="AW950" s="107"/>
      <c r="AX950" s="107"/>
      <c r="AY950" s="107"/>
      <c r="AZ950" s="107"/>
      <c r="BA950" s="107"/>
      <c r="BB950" s="107"/>
      <c r="BC950" s="107"/>
      <c r="BD950" s="107"/>
      <c r="BE950" s="107"/>
      <c r="BF950" s="107"/>
      <c r="BG950" s="107"/>
      <c r="BH950" s="107"/>
    </row>
    <row r="951" spans="1:60" x14ac:dyDescent="0.25">
      <c r="A951" s="96"/>
      <c r="B951" s="97"/>
      <c r="C951" s="97"/>
      <c r="D951" s="97"/>
      <c r="E951" s="98"/>
      <c r="F951" s="99" t="str">
        <f>IF(H951&lt;&gt;"",H951-Accueil!N$6+1/60/24,"")</f>
        <v/>
      </c>
      <c r="G951" s="97"/>
      <c r="H951" s="99"/>
      <c r="I951" s="99"/>
      <c r="J951" s="100"/>
      <c r="K951" s="101"/>
      <c r="L951" s="102"/>
      <c r="M951" s="103"/>
      <c r="N951" s="104"/>
      <c r="O951" s="97"/>
      <c r="P951" s="97"/>
      <c r="Q951" s="97"/>
      <c r="R951" s="105"/>
      <c r="S951" s="97"/>
      <c r="T951" s="97"/>
      <c r="U951" s="97" t="str">
        <f t="shared" si="17"/>
        <v/>
      </c>
      <c r="V951" s="97"/>
      <c r="W951" s="97"/>
      <c r="X951" s="97"/>
      <c r="Y951" s="97"/>
      <c r="Z951" s="97"/>
      <c r="AA951" s="97"/>
      <c r="AB951" s="97"/>
      <c r="AC951" s="97"/>
      <c r="AD951" s="97"/>
      <c r="AE951" s="97"/>
      <c r="AF951" s="97"/>
      <c r="AG951" s="97"/>
      <c r="AH951" s="97"/>
      <c r="AI951" s="97"/>
      <c r="AJ951" s="97"/>
      <c r="AK951" s="97"/>
      <c r="AL951" s="97"/>
      <c r="AM951" s="97"/>
      <c r="AN951" s="97"/>
      <c r="AO951" s="97"/>
      <c r="AP951" s="97"/>
      <c r="AQ951" s="97"/>
      <c r="AR951" s="97"/>
      <c r="AS951" s="97"/>
      <c r="AT951" s="97"/>
      <c r="AU951" s="97"/>
      <c r="AV951" s="97"/>
      <c r="AW951" s="97"/>
      <c r="AX951" s="97"/>
      <c r="AY951" s="97"/>
      <c r="AZ951" s="97"/>
      <c r="BA951" s="97"/>
      <c r="BB951" s="97"/>
      <c r="BC951" s="97"/>
      <c r="BD951" s="97"/>
      <c r="BE951" s="97"/>
      <c r="BF951" s="97"/>
      <c r="BG951" s="97"/>
      <c r="BH951" s="97"/>
    </row>
    <row r="952" spans="1:60" x14ac:dyDescent="0.25">
      <c r="A952" s="106"/>
      <c r="B952" s="107"/>
      <c r="C952" s="107"/>
      <c r="D952" s="107"/>
      <c r="E952" s="108"/>
      <c r="F952" s="109" t="str">
        <f>IF(H952&lt;&gt;"",H952-Accueil!N$6+1/60/24,"")</f>
        <v/>
      </c>
      <c r="G952" s="107"/>
      <c r="H952" s="109"/>
      <c r="I952" s="110"/>
      <c r="J952" s="110"/>
      <c r="K952" s="111"/>
      <c r="L952" s="112"/>
      <c r="M952" s="113"/>
      <c r="N952" s="114"/>
      <c r="O952" s="107"/>
      <c r="P952" s="107"/>
      <c r="Q952" s="115"/>
      <c r="R952" s="116"/>
      <c r="S952" s="107"/>
      <c r="T952" s="107"/>
      <c r="U952" s="107" t="str">
        <f t="shared" si="17"/>
        <v/>
      </c>
      <c r="V952" s="107"/>
      <c r="W952" s="107"/>
      <c r="X952" s="107"/>
      <c r="Y952" s="107"/>
      <c r="Z952" s="107"/>
      <c r="AA952" s="107"/>
      <c r="AB952" s="107"/>
      <c r="AC952" s="107"/>
      <c r="AD952" s="107"/>
      <c r="AE952" s="107"/>
      <c r="AF952" s="107"/>
      <c r="AG952" s="107"/>
      <c r="AH952" s="107"/>
      <c r="AI952" s="107"/>
      <c r="AJ952" s="107"/>
      <c r="AK952" s="107"/>
      <c r="AL952" s="107"/>
      <c r="AM952" s="107"/>
      <c r="AN952" s="107"/>
      <c r="AO952" s="107"/>
      <c r="AP952" s="107"/>
      <c r="AQ952" s="107"/>
      <c r="AR952" s="107"/>
      <c r="AS952" s="107"/>
      <c r="AT952" s="107"/>
      <c r="AU952" s="107"/>
      <c r="AV952" s="107"/>
      <c r="AW952" s="107"/>
      <c r="AX952" s="107"/>
      <c r="AY952" s="107"/>
      <c r="AZ952" s="107"/>
      <c r="BA952" s="107"/>
      <c r="BB952" s="107"/>
      <c r="BC952" s="107"/>
      <c r="BD952" s="107"/>
      <c r="BE952" s="107"/>
      <c r="BF952" s="107"/>
      <c r="BG952" s="107"/>
      <c r="BH952" s="107"/>
    </row>
    <row r="953" spans="1:60" x14ac:dyDescent="0.25">
      <c r="A953" s="96"/>
      <c r="B953" s="97"/>
      <c r="C953" s="97"/>
      <c r="D953" s="97"/>
      <c r="E953" s="98"/>
      <c r="F953" s="99" t="str">
        <f>IF(H953&lt;&gt;"",H953-Accueil!N$6+1/60/24,"")</f>
        <v/>
      </c>
      <c r="G953" s="97"/>
      <c r="H953" s="99"/>
      <c r="I953" s="99"/>
      <c r="J953" s="100"/>
      <c r="K953" s="101"/>
      <c r="L953" s="102"/>
      <c r="M953" s="103"/>
      <c r="N953" s="104"/>
      <c r="O953" s="97"/>
      <c r="P953" s="97"/>
      <c r="Q953" s="97"/>
      <c r="R953" s="105"/>
      <c r="S953" s="97"/>
      <c r="T953" s="97"/>
      <c r="U953" s="97" t="str">
        <f t="shared" si="17"/>
        <v/>
      </c>
      <c r="V953" s="97"/>
      <c r="W953" s="97"/>
      <c r="X953" s="97"/>
      <c r="Y953" s="97"/>
      <c r="Z953" s="97"/>
      <c r="AA953" s="97"/>
      <c r="AB953" s="97"/>
      <c r="AC953" s="97"/>
      <c r="AD953" s="97"/>
      <c r="AE953" s="97"/>
      <c r="AF953" s="97"/>
      <c r="AG953" s="97"/>
      <c r="AH953" s="97"/>
      <c r="AI953" s="97"/>
      <c r="AJ953" s="97"/>
      <c r="AK953" s="97"/>
      <c r="AL953" s="97"/>
      <c r="AM953" s="97"/>
      <c r="AN953" s="97"/>
      <c r="AO953" s="97"/>
      <c r="AP953" s="97"/>
      <c r="AQ953" s="97"/>
      <c r="AR953" s="97"/>
      <c r="AS953" s="97"/>
      <c r="AT953" s="97"/>
      <c r="AU953" s="97"/>
      <c r="AV953" s="97"/>
      <c r="AW953" s="97"/>
      <c r="AX953" s="97"/>
      <c r="AY953" s="97"/>
      <c r="AZ953" s="97"/>
      <c r="BA953" s="97"/>
      <c r="BB953" s="97"/>
      <c r="BC953" s="97"/>
      <c r="BD953" s="97"/>
      <c r="BE953" s="97"/>
      <c r="BF953" s="97"/>
      <c r="BG953" s="97"/>
      <c r="BH953" s="97"/>
    </row>
    <row r="954" spans="1:60" x14ac:dyDescent="0.25">
      <c r="A954" s="106"/>
      <c r="B954" s="107"/>
      <c r="C954" s="107"/>
      <c r="D954" s="107"/>
      <c r="E954" s="108"/>
      <c r="F954" s="109" t="str">
        <f>IF(H954&lt;&gt;"",H954-Accueil!N$6+1/60/24,"")</f>
        <v/>
      </c>
      <c r="G954" s="107"/>
      <c r="H954" s="109"/>
      <c r="I954" s="110"/>
      <c r="J954" s="110"/>
      <c r="K954" s="111"/>
      <c r="L954" s="112"/>
      <c r="M954" s="113"/>
      <c r="N954" s="114"/>
      <c r="O954" s="107"/>
      <c r="P954" s="107"/>
      <c r="Q954" s="115"/>
      <c r="R954" s="116"/>
      <c r="S954" s="107"/>
      <c r="T954" s="107"/>
      <c r="U954" s="107" t="str">
        <f t="shared" si="17"/>
        <v/>
      </c>
      <c r="V954" s="107"/>
      <c r="W954" s="107"/>
      <c r="X954" s="107"/>
      <c r="Y954" s="107"/>
      <c r="Z954" s="107"/>
      <c r="AA954" s="107"/>
      <c r="AB954" s="107"/>
      <c r="AC954" s="107"/>
      <c r="AD954" s="107"/>
      <c r="AE954" s="107"/>
      <c r="AF954" s="107"/>
      <c r="AG954" s="107"/>
      <c r="AH954" s="107"/>
      <c r="AI954" s="107"/>
      <c r="AJ954" s="107"/>
      <c r="AK954" s="107"/>
      <c r="AL954" s="107"/>
      <c r="AM954" s="107"/>
      <c r="AN954" s="107"/>
      <c r="AO954" s="107"/>
      <c r="AP954" s="107"/>
      <c r="AQ954" s="107"/>
      <c r="AR954" s="107"/>
      <c r="AS954" s="107"/>
      <c r="AT954" s="107"/>
      <c r="AU954" s="107"/>
      <c r="AV954" s="107"/>
      <c r="AW954" s="107"/>
      <c r="AX954" s="107"/>
      <c r="AY954" s="107"/>
      <c r="AZ954" s="107"/>
      <c r="BA954" s="107"/>
      <c r="BB954" s="107"/>
      <c r="BC954" s="107"/>
      <c r="BD954" s="107"/>
      <c r="BE954" s="107"/>
      <c r="BF954" s="107"/>
      <c r="BG954" s="107"/>
      <c r="BH954" s="107"/>
    </row>
    <row r="955" spans="1:60" x14ac:dyDescent="0.25">
      <c r="A955" s="96"/>
      <c r="B955" s="97"/>
      <c r="C955" s="97"/>
      <c r="D955" s="97"/>
      <c r="E955" s="98"/>
      <c r="F955" s="99" t="str">
        <f>IF(H955&lt;&gt;"",H955-Accueil!N$6+1/60/24,"")</f>
        <v/>
      </c>
      <c r="G955" s="97"/>
      <c r="H955" s="99"/>
      <c r="I955" s="99"/>
      <c r="J955" s="100"/>
      <c r="K955" s="101"/>
      <c r="L955" s="102"/>
      <c r="M955" s="103"/>
      <c r="N955" s="104"/>
      <c r="O955" s="97"/>
      <c r="P955" s="97"/>
      <c r="Q955" s="97"/>
      <c r="R955" s="105"/>
      <c r="S955" s="97"/>
      <c r="T955" s="97"/>
      <c r="U955" s="97" t="str">
        <f t="shared" si="17"/>
        <v/>
      </c>
      <c r="V955" s="97"/>
      <c r="W955" s="97"/>
      <c r="X955" s="97"/>
      <c r="Y955" s="97"/>
      <c r="Z955" s="97"/>
      <c r="AA955" s="97"/>
      <c r="AB955" s="97"/>
      <c r="AC955" s="97"/>
      <c r="AD955" s="97"/>
      <c r="AE955" s="97"/>
      <c r="AF955" s="97"/>
      <c r="AG955" s="97"/>
      <c r="AH955" s="97"/>
      <c r="AI955" s="97"/>
      <c r="AJ955" s="97"/>
      <c r="AK955" s="97"/>
      <c r="AL955" s="97"/>
      <c r="AM955" s="97"/>
      <c r="AN955" s="97"/>
      <c r="AO955" s="97"/>
      <c r="AP955" s="97"/>
      <c r="AQ955" s="97"/>
      <c r="AR955" s="97"/>
      <c r="AS955" s="97"/>
      <c r="AT955" s="97"/>
      <c r="AU955" s="97"/>
      <c r="AV955" s="97"/>
      <c r="AW955" s="97"/>
      <c r="AX955" s="97"/>
      <c r="AY955" s="97"/>
      <c r="AZ955" s="97"/>
      <c r="BA955" s="97"/>
      <c r="BB955" s="97"/>
      <c r="BC955" s="97"/>
      <c r="BD955" s="97"/>
      <c r="BE955" s="97"/>
      <c r="BF955" s="97"/>
      <c r="BG955" s="97"/>
      <c r="BH955" s="97"/>
    </row>
    <row r="956" spans="1:60" x14ac:dyDescent="0.25">
      <c r="A956" s="106"/>
      <c r="B956" s="107"/>
      <c r="C956" s="107"/>
      <c r="D956" s="107"/>
      <c r="E956" s="108"/>
      <c r="F956" s="109" t="str">
        <f>IF(H956&lt;&gt;"",H956-Accueil!N$6+1/60/24,"")</f>
        <v/>
      </c>
      <c r="G956" s="107"/>
      <c r="H956" s="109"/>
      <c r="I956" s="110"/>
      <c r="J956" s="110"/>
      <c r="K956" s="111"/>
      <c r="L956" s="112"/>
      <c r="M956" s="113"/>
      <c r="N956" s="114"/>
      <c r="O956" s="107"/>
      <c r="P956" s="107"/>
      <c r="Q956" s="115"/>
      <c r="R956" s="116"/>
      <c r="S956" s="107"/>
      <c r="T956" s="107"/>
      <c r="U956" s="107" t="str">
        <f t="shared" si="17"/>
        <v/>
      </c>
      <c r="V956" s="107"/>
      <c r="W956" s="107"/>
      <c r="X956" s="107"/>
      <c r="Y956" s="107"/>
      <c r="Z956" s="107"/>
      <c r="AA956" s="107"/>
      <c r="AB956" s="107"/>
      <c r="AC956" s="107"/>
      <c r="AD956" s="107"/>
      <c r="AE956" s="107"/>
      <c r="AF956" s="107"/>
      <c r="AG956" s="107"/>
      <c r="AH956" s="107"/>
      <c r="AI956" s="107"/>
      <c r="AJ956" s="107"/>
      <c r="AK956" s="107"/>
      <c r="AL956" s="107"/>
      <c r="AM956" s="107"/>
      <c r="AN956" s="107"/>
      <c r="AO956" s="107"/>
      <c r="AP956" s="107"/>
      <c r="AQ956" s="107"/>
      <c r="AR956" s="107"/>
      <c r="AS956" s="107"/>
      <c r="AT956" s="107"/>
      <c r="AU956" s="107"/>
      <c r="AV956" s="107"/>
      <c r="AW956" s="107"/>
      <c r="AX956" s="107"/>
      <c r="AY956" s="107"/>
      <c r="AZ956" s="107"/>
      <c r="BA956" s="107"/>
      <c r="BB956" s="107"/>
      <c r="BC956" s="107"/>
      <c r="BD956" s="107"/>
      <c r="BE956" s="107"/>
      <c r="BF956" s="107"/>
      <c r="BG956" s="107"/>
      <c r="BH956" s="107"/>
    </row>
    <row r="957" spans="1:60" x14ac:dyDescent="0.25">
      <c r="A957" s="96"/>
      <c r="B957" s="97"/>
      <c r="C957" s="97"/>
      <c r="D957" s="97"/>
      <c r="E957" s="98"/>
      <c r="F957" s="99" t="str">
        <f>IF(H957&lt;&gt;"",H957-Accueil!N$6+1/60/24,"")</f>
        <v/>
      </c>
      <c r="G957" s="97"/>
      <c r="H957" s="99"/>
      <c r="I957" s="99"/>
      <c r="J957" s="100"/>
      <c r="K957" s="101"/>
      <c r="L957" s="102"/>
      <c r="M957" s="103"/>
      <c r="N957" s="104"/>
      <c r="O957" s="97"/>
      <c r="P957" s="97"/>
      <c r="Q957" s="97"/>
      <c r="R957" s="105"/>
      <c r="S957" s="97"/>
      <c r="T957" s="97"/>
      <c r="U957" s="97" t="str">
        <f t="shared" si="17"/>
        <v/>
      </c>
      <c r="V957" s="97"/>
      <c r="W957" s="97"/>
      <c r="X957" s="97"/>
      <c r="Y957" s="97"/>
      <c r="Z957" s="97"/>
      <c r="AA957" s="97"/>
      <c r="AB957" s="97"/>
      <c r="AC957" s="97"/>
      <c r="AD957" s="97"/>
      <c r="AE957" s="97"/>
      <c r="AF957" s="97"/>
      <c r="AG957" s="97"/>
      <c r="AH957" s="97"/>
      <c r="AI957" s="97"/>
      <c r="AJ957" s="97"/>
      <c r="AK957" s="97"/>
      <c r="AL957" s="97"/>
      <c r="AM957" s="97"/>
      <c r="AN957" s="97"/>
      <c r="AO957" s="97"/>
      <c r="AP957" s="97"/>
      <c r="AQ957" s="97"/>
      <c r="AR957" s="97"/>
      <c r="AS957" s="97"/>
      <c r="AT957" s="97"/>
      <c r="AU957" s="97"/>
      <c r="AV957" s="97"/>
      <c r="AW957" s="97"/>
      <c r="AX957" s="97"/>
      <c r="AY957" s="97"/>
      <c r="AZ957" s="97"/>
      <c r="BA957" s="97"/>
      <c r="BB957" s="97"/>
      <c r="BC957" s="97"/>
      <c r="BD957" s="97"/>
      <c r="BE957" s="97"/>
      <c r="BF957" s="97"/>
      <c r="BG957" s="97"/>
      <c r="BH957" s="97"/>
    </row>
    <row r="958" spans="1:60" x14ac:dyDescent="0.25">
      <c r="A958" s="106"/>
      <c r="B958" s="107"/>
      <c r="C958" s="107"/>
      <c r="D958" s="107"/>
      <c r="E958" s="108"/>
      <c r="F958" s="109" t="str">
        <f>IF(H958&lt;&gt;"",H958-Accueil!N$6+1/60/24,"")</f>
        <v/>
      </c>
      <c r="G958" s="107"/>
      <c r="H958" s="109"/>
      <c r="I958" s="110"/>
      <c r="J958" s="110"/>
      <c r="K958" s="111"/>
      <c r="L958" s="112"/>
      <c r="M958" s="113"/>
      <c r="N958" s="114"/>
      <c r="O958" s="107"/>
      <c r="P958" s="107"/>
      <c r="Q958" s="115"/>
      <c r="R958" s="116"/>
      <c r="S958" s="107"/>
      <c r="T958" s="107"/>
      <c r="U958" s="107" t="str">
        <f t="shared" si="17"/>
        <v/>
      </c>
      <c r="V958" s="107"/>
      <c r="W958" s="107"/>
      <c r="X958" s="107"/>
      <c r="Y958" s="107"/>
      <c r="Z958" s="107"/>
      <c r="AA958" s="107"/>
      <c r="AB958" s="107"/>
      <c r="AC958" s="107"/>
      <c r="AD958" s="107"/>
      <c r="AE958" s="107"/>
      <c r="AF958" s="107"/>
      <c r="AG958" s="107"/>
      <c r="AH958" s="107"/>
      <c r="AI958" s="107"/>
      <c r="AJ958" s="107"/>
      <c r="AK958" s="107"/>
      <c r="AL958" s="107"/>
      <c r="AM958" s="107"/>
      <c r="AN958" s="107"/>
      <c r="AO958" s="107"/>
      <c r="AP958" s="107"/>
      <c r="AQ958" s="107"/>
      <c r="AR958" s="107"/>
      <c r="AS958" s="107"/>
      <c r="AT958" s="107"/>
      <c r="AU958" s="107"/>
      <c r="AV958" s="107"/>
      <c r="AW958" s="107"/>
      <c r="AX958" s="107"/>
      <c r="AY958" s="107"/>
      <c r="AZ958" s="107"/>
      <c r="BA958" s="107"/>
      <c r="BB958" s="107"/>
      <c r="BC958" s="107"/>
      <c r="BD958" s="107"/>
      <c r="BE958" s="107"/>
      <c r="BF958" s="107"/>
      <c r="BG958" s="107"/>
      <c r="BH958" s="107"/>
    </row>
    <row r="959" spans="1:60" x14ac:dyDescent="0.25">
      <c r="A959" s="96"/>
      <c r="B959" s="97"/>
      <c r="C959" s="97"/>
      <c r="D959" s="97"/>
      <c r="E959" s="98"/>
      <c r="F959" s="99" t="str">
        <f>IF(H959&lt;&gt;"",H959-Accueil!N$6+1/60/24,"")</f>
        <v/>
      </c>
      <c r="G959" s="97"/>
      <c r="H959" s="99"/>
      <c r="I959" s="99"/>
      <c r="J959" s="100"/>
      <c r="K959" s="101"/>
      <c r="L959" s="102"/>
      <c r="M959" s="103"/>
      <c r="N959" s="104"/>
      <c r="O959" s="97"/>
      <c r="P959" s="97"/>
      <c r="Q959" s="97"/>
      <c r="R959" s="105"/>
      <c r="S959" s="97"/>
      <c r="T959" s="97"/>
      <c r="U959" s="97" t="str">
        <f t="shared" si="17"/>
        <v/>
      </c>
      <c r="V959" s="97"/>
      <c r="W959" s="97"/>
      <c r="X959" s="97"/>
      <c r="Y959" s="97"/>
      <c r="Z959" s="97"/>
      <c r="AA959" s="97"/>
      <c r="AB959" s="97"/>
      <c r="AC959" s="97"/>
      <c r="AD959" s="97"/>
      <c r="AE959" s="97"/>
      <c r="AF959" s="97"/>
      <c r="AG959" s="97"/>
      <c r="AH959" s="97"/>
      <c r="AI959" s="97"/>
      <c r="AJ959" s="97"/>
      <c r="AK959" s="97"/>
      <c r="AL959" s="97"/>
      <c r="AM959" s="97"/>
      <c r="AN959" s="97"/>
      <c r="AO959" s="97"/>
      <c r="AP959" s="97"/>
      <c r="AQ959" s="97"/>
      <c r="AR959" s="97"/>
      <c r="AS959" s="97"/>
      <c r="AT959" s="97"/>
      <c r="AU959" s="97"/>
      <c r="AV959" s="97"/>
      <c r="AW959" s="97"/>
      <c r="AX959" s="97"/>
      <c r="AY959" s="97"/>
      <c r="AZ959" s="97"/>
      <c r="BA959" s="97"/>
      <c r="BB959" s="97"/>
      <c r="BC959" s="97"/>
      <c r="BD959" s="97"/>
      <c r="BE959" s="97"/>
      <c r="BF959" s="97"/>
      <c r="BG959" s="97"/>
      <c r="BH959" s="97"/>
    </row>
    <row r="960" spans="1:60" x14ac:dyDescent="0.25">
      <c r="A960" s="106"/>
      <c r="B960" s="107"/>
      <c r="C960" s="107"/>
      <c r="D960" s="107"/>
      <c r="E960" s="108"/>
      <c r="F960" s="109" t="str">
        <f>IF(H960&lt;&gt;"",H960-Accueil!N$6+1/60/24,"")</f>
        <v/>
      </c>
      <c r="G960" s="107"/>
      <c r="H960" s="109"/>
      <c r="I960" s="110"/>
      <c r="J960" s="110"/>
      <c r="K960" s="111"/>
      <c r="L960" s="112"/>
      <c r="M960" s="113"/>
      <c r="N960" s="114"/>
      <c r="O960" s="107"/>
      <c r="P960" s="107"/>
      <c r="Q960" s="115"/>
      <c r="R960" s="116"/>
      <c r="S960" s="107"/>
      <c r="T960" s="107"/>
      <c r="U960" s="107" t="str">
        <f t="shared" si="17"/>
        <v/>
      </c>
      <c r="V960" s="107"/>
      <c r="W960" s="107"/>
      <c r="X960" s="107"/>
      <c r="Y960" s="107"/>
      <c r="Z960" s="107"/>
      <c r="AA960" s="107"/>
      <c r="AB960" s="107"/>
      <c r="AC960" s="107"/>
      <c r="AD960" s="107"/>
      <c r="AE960" s="107"/>
      <c r="AF960" s="107"/>
      <c r="AG960" s="107"/>
      <c r="AH960" s="107"/>
      <c r="AI960" s="107"/>
      <c r="AJ960" s="107"/>
      <c r="AK960" s="107"/>
      <c r="AL960" s="107"/>
      <c r="AM960" s="107"/>
      <c r="AN960" s="107"/>
      <c r="AO960" s="107"/>
      <c r="AP960" s="107"/>
      <c r="AQ960" s="107"/>
      <c r="AR960" s="107"/>
      <c r="AS960" s="107"/>
      <c r="AT960" s="107"/>
      <c r="AU960" s="107"/>
      <c r="AV960" s="107"/>
      <c r="AW960" s="107"/>
      <c r="AX960" s="107"/>
      <c r="AY960" s="107"/>
      <c r="AZ960" s="107"/>
      <c r="BA960" s="107"/>
      <c r="BB960" s="107"/>
      <c r="BC960" s="107"/>
      <c r="BD960" s="107"/>
      <c r="BE960" s="107"/>
      <c r="BF960" s="107"/>
      <c r="BG960" s="107"/>
      <c r="BH960" s="107"/>
    </row>
    <row r="961" spans="1:60" x14ac:dyDescent="0.25">
      <c r="A961" s="96"/>
      <c r="B961" s="97"/>
      <c r="C961" s="97"/>
      <c r="D961" s="97"/>
      <c r="E961" s="98"/>
      <c r="F961" s="99" t="str">
        <f>IF(H961&lt;&gt;"",H961-Accueil!N$6+1/60/24,"")</f>
        <v/>
      </c>
      <c r="G961" s="97"/>
      <c r="H961" s="99"/>
      <c r="I961" s="99"/>
      <c r="J961" s="100"/>
      <c r="K961" s="101"/>
      <c r="L961" s="102"/>
      <c r="M961" s="103"/>
      <c r="N961" s="104"/>
      <c r="O961" s="97"/>
      <c r="P961" s="97"/>
      <c r="Q961" s="97"/>
      <c r="R961" s="105"/>
      <c r="S961" s="97"/>
      <c r="T961" s="97"/>
      <c r="U961" s="97" t="str">
        <f t="shared" si="17"/>
        <v/>
      </c>
      <c r="V961" s="97"/>
      <c r="W961" s="97"/>
      <c r="X961" s="97"/>
      <c r="Y961" s="97"/>
      <c r="Z961" s="97"/>
      <c r="AA961" s="97"/>
      <c r="AB961" s="97"/>
      <c r="AC961" s="97"/>
      <c r="AD961" s="97"/>
      <c r="AE961" s="97"/>
      <c r="AF961" s="97"/>
      <c r="AG961" s="97"/>
      <c r="AH961" s="97"/>
      <c r="AI961" s="97"/>
      <c r="AJ961" s="97"/>
      <c r="AK961" s="97"/>
      <c r="AL961" s="97"/>
      <c r="AM961" s="97"/>
      <c r="AN961" s="97"/>
      <c r="AO961" s="97"/>
      <c r="AP961" s="97"/>
      <c r="AQ961" s="97"/>
      <c r="AR961" s="97"/>
      <c r="AS961" s="97"/>
      <c r="AT961" s="97"/>
      <c r="AU961" s="97"/>
      <c r="AV961" s="97"/>
      <c r="AW961" s="97"/>
      <c r="AX961" s="97"/>
      <c r="AY961" s="97"/>
      <c r="AZ961" s="97"/>
      <c r="BA961" s="97"/>
      <c r="BB961" s="97"/>
      <c r="BC961" s="97"/>
      <c r="BD961" s="97"/>
      <c r="BE961" s="97"/>
      <c r="BF961" s="97"/>
      <c r="BG961" s="97"/>
      <c r="BH961" s="97"/>
    </row>
    <row r="962" spans="1:60" x14ac:dyDescent="0.25">
      <c r="A962" s="106"/>
      <c r="B962" s="107"/>
      <c r="C962" s="107"/>
      <c r="D962" s="107"/>
      <c r="E962" s="108"/>
      <c r="F962" s="109" t="str">
        <f>IF(H962&lt;&gt;"",H962-Accueil!N$6+1/60/24,"")</f>
        <v/>
      </c>
      <c r="G962" s="107"/>
      <c r="H962" s="109"/>
      <c r="I962" s="110"/>
      <c r="J962" s="110"/>
      <c r="K962" s="111"/>
      <c r="L962" s="112"/>
      <c r="M962" s="113"/>
      <c r="N962" s="114"/>
      <c r="O962" s="107"/>
      <c r="P962" s="107"/>
      <c r="Q962" s="115"/>
      <c r="R962" s="116"/>
      <c r="S962" s="107"/>
      <c r="T962" s="107"/>
      <c r="U962" s="107" t="str">
        <f t="shared" si="17"/>
        <v/>
      </c>
      <c r="V962" s="107"/>
      <c r="W962" s="107"/>
      <c r="X962" s="107"/>
      <c r="Y962" s="107"/>
      <c r="Z962" s="107"/>
      <c r="AA962" s="107"/>
      <c r="AB962" s="107"/>
      <c r="AC962" s="107"/>
      <c r="AD962" s="107"/>
      <c r="AE962" s="107"/>
      <c r="AF962" s="107"/>
      <c r="AG962" s="107"/>
      <c r="AH962" s="107"/>
      <c r="AI962" s="107"/>
      <c r="AJ962" s="107"/>
      <c r="AK962" s="107"/>
      <c r="AL962" s="107"/>
      <c r="AM962" s="107"/>
      <c r="AN962" s="107"/>
      <c r="AO962" s="107"/>
      <c r="AP962" s="107"/>
      <c r="AQ962" s="107"/>
      <c r="AR962" s="107"/>
      <c r="AS962" s="107"/>
      <c r="AT962" s="107"/>
      <c r="AU962" s="107"/>
      <c r="AV962" s="107"/>
      <c r="AW962" s="107"/>
      <c r="AX962" s="107"/>
      <c r="AY962" s="107"/>
      <c r="AZ962" s="107"/>
      <c r="BA962" s="107"/>
      <c r="BB962" s="107"/>
      <c r="BC962" s="107"/>
      <c r="BD962" s="107"/>
      <c r="BE962" s="107"/>
      <c r="BF962" s="107"/>
      <c r="BG962" s="107"/>
      <c r="BH962" s="107"/>
    </row>
    <row r="963" spans="1:60" x14ac:dyDescent="0.25">
      <c r="A963" s="96"/>
      <c r="B963" s="97"/>
      <c r="C963" s="97"/>
      <c r="D963" s="97"/>
      <c r="E963" s="98"/>
      <c r="F963" s="99" t="str">
        <f>IF(H963&lt;&gt;"",H963-Accueil!N$6+1/60/24,"")</f>
        <v/>
      </c>
      <c r="G963" s="97"/>
      <c r="H963" s="99"/>
      <c r="I963" s="99"/>
      <c r="J963" s="100"/>
      <c r="K963" s="101"/>
      <c r="L963" s="102"/>
      <c r="M963" s="103"/>
      <c r="N963" s="104"/>
      <c r="O963" s="97"/>
      <c r="P963" s="97"/>
      <c r="Q963" s="97"/>
      <c r="R963" s="105"/>
      <c r="S963" s="97"/>
      <c r="T963" s="97"/>
      <c r="U963" s="97" t="str">
        <f t="shared" ref="U963:U1003" si="18">IF(B963="","",IF(I963="",0,1))</f>
        <v/>
      </c>
      <c r="V963" s="97"/>
      <c r="W963" s="97"/>
      <c r="X963" s="97"/>
      <c r="Y963" s="97"/>
      <c r="Z963" s="97"/>
      <c r="AA963" s="97"/>
      <c r="AB963" s="97"/>
      <c r="AC963" s="97"/>
      <c r="AD963" s="97"/>
      <c r="AE963" s="97"/>
      <c r="AF963" s="97"/>
      <c r="AG963" s="97"/>
      <c r="AH963" s="97"/>
      <c r="AI963" s="97"/>
      <c r="AJ963" s="97"/>
      <c r="AK963" s="97"/>
      <c r="AL963" s="97"/>
      <c r="AM963" s="97"/>
      <c r="AN963" s="97"/>
      <c r="AO963" s="97"/>
      <c r="AP963" s="97"/>
      <c r="AQ963" s="97"/>
      <c r="AR963" s="97"/>
      <c r="AS963" s="97"/>
      <c r="AT963" s="97"/>
      <c r="AU963" s="97"/>
      <c r="AV963" s="97"/>
      <c r="AW963" s="97"/>
      <c r="AX963" s="97"/>
      <c r="AY963" s="97"/>
      <c r="AZ963" s="97"/>
      <c r="BA963" s="97"/>
      <c r="BB963" s="97"/>
      <c r="BC963" s="97"/>
      <c r="BD963" s="97"/>
      <c r="BE963" s="97"/>
      <c r="BF963" s="97"/>
      <c r="BG963" s="97"/>
      <c r="BH963" s="97"/>
    </row>
    <row r="964" spans="1:60" x14ac:dyDescent="0.25">
      <c r="A964" s="106"/>
      <c r="B964" s="107"/>
      <c r="C964" s="107"/>
      <c r="D964" s="107"/>
      <c r="E964" s="108"/>
      <c r="F964" s="109" t="str">
        <f>IF(H964&lt;&gt;"",H964-Accueil!N$6+1/60/24,"")</f>
        <v/>
      </c>
      <c r="G964" s="107"/>
      <c r="H964" s="109"/>
      <c r="I964" s="110"/>
      <c r="J964" s="110"/>
      <c r="K964" s="111"/>
      <c r="L964" s="112"/>
      <c r="M964" s="113"/>
      <c r="N964" s="114"/>
      <c r="O964" s="107"/>
      <c r="P964" s="107"/>
      <c r="Q964" s="115"/>
      <c r="R964" s="116"/>
      <c r="S964" s="107"/>
      <c r="T964" s="107"/>
      <c r="U964" s="107" t="str">
        <f t="shared" si="18"/>
        <v/>
      </c>
      <c r="V964" s="107"/>
      <c r="W964" s="107"/>
      <c r="X964" s="107"/>
      <c r="Y964" s="107"/>
      <c r="Z964" s="107"/>
      <c r="AA964" s="107"/>
      <c r="AB964" s="107"/>
      <c r="AC964" s="107"/>
      <c r="AD964" s="107"/>
      <c r="AE964" s="107"/>
      <c r="AF964" s="107"/>
      <c r="AG964" s="107"/>
      <c r="AH964" s="107"/>
      <c r="AI964" s="107"/>
      <c r="AJ964" s="107"/>
      <c r="AK964" s="107"/>
      <c r="AL964" s="107"/>
      <c r="AM964" s="107"/>
      <c r="AN964" s="107"/>
      <c r="AO964" s="107"/>
      <c r="AP964" s="107"/>
      <c r="AQ964" s="107"/>
      <c r="AR964" s="107"/>
      <c r="AS964" s="107"/>
      <c r="AT964" s="107"/>
      <c r="AU964" s="107"/>
      <c r="AV964" s="107"/>
      <c r="AW964" s="107"/>
      <c r="AX964" s="107"/>
      <c r="AY964" s="107"/>
      <c r="AZ964" s="107"/>
      <c r="BA964" s="107"/>
      <c r="BB964" s="107"/>
      <c r="BC964" s="107"/>
      <c r="BD964" s="107"/>
      <c r="BE964" s="107"/>
      <c r="BF964" s="107"/>
      <c r="BG964" s="107"/>
      <c r="BH964" s="107"/>
    </row>
    <row r="965" spans="1:60" x14ac:dyDescent="0.25">
      <c r="A965" s="96"/>
      <c r="B965" s="97"/>
      <c r="C965" s="97"/>
      <c r="D965" s="97"/>
      <c r="E965" s="98"/>
      <c r="F965" s="99" t="str">
        <f>IF(H965&lt;&gt;"",H965-Accueil!N$6+1/60/24,"")</f>
        <v/>
      </c>
      <c r="G965" s="97"/>
      <c r="H965" s="99"/>
      <c r="I965" s="99"/>
      <c r="J965" s="100"/>
      <c r="K965" s="101"/>
      <c r="L965" s="102"/>
      <c r="M965" s="103"/>
      <c r="N965" s="104"/>
      <c r="O965" s="97"/>
      <c r="P965" s="97"/>
      <c r="Q965" s="97"/>
      <c r="R965" s="105"/>
      <c r="S965" s="97"/>
      <c r="T965" s="97"/>
      <c r="U965" s="97" t="str">
        <f t="shared" si="18"/>
        <v/>
      </c>
      <c r="V965" s="97"/>
      <c r="W965" s="97"/>
      <c r="X965" s="97"/>
      <c r="Y965" s="97"/>
      <c r="Z965" s="97"/>
      <c r="AA965" s="97"/>
      <c r="AB965" s="97"/>
      <c r="AC965" s="97"/>
      <c r="AD965" s="97"/>
      <c r="AE965" s="97"/>
      <c r="AF965" s="97"/>
      <c r="AG965" s="97"/>
      <c r="AH965" s="97"/>
      <c r="AI965" s="97"/>
      <c r="AJ965" s="97"/>
      <c r="AK965" s="97"/>
      <c r="AL965" s="97"/>
      <c r="AM965" s="97"/>
      <c r="AN965" s="97"/>
      <c r="AO965" s="97"/>
      <c r="AP965" s="97"/>
      <c r="AQ965" s="97"/>
      <c r="AR965" s="97"/>
      <c r="AS965" s="97"/>
      <c r="AT965" s="97"/>
      <c r="AU965" s="97"/>
      <c r="AV965" s="97"/>
      <c r="AW965" s="97"/>
      <c r="AX965" s="97"/>
      <c r="AY965" s="97"/>
      <c r="AZ965" s="97"/>
      <c r="BA965" s="97"/>
      <c r="BB965" s="97"/>
      <c r="BC965" s="97"/>
      <c r="BD965" s="97"/>
      <c r="BE965" s="97"/>
      <c r="BF965" s="97"/>
      <c r="BG965" s="97"/>
      <c r="BH965" s="97"/>
    </row>
    <row r="966" spans="1:60" x14ac:dyDescent="0.25">
      <c r="A966" s="106"/>
      <c r="B966" s="107"/>
      <c r="C966" s="107"/>
      <c r="D966" s="107"/>
      <c r="E966" s="108"/>
      <c r="F966" s="109" t="str">
        <f>IF(H966&lt;&gt;"",H966-Accueil!N$6+1/60/24,"")</f>
        <v/>
      </c>
      <c r="G966" s="107"/>
      <c r="H966" s="109"/>
      <c r="I966" s="110"/>
      <c r="J966" s="110"/>
      <c r="K966" s="111"/>
      <c r="L966" s="112"/>
      <c r="M966" s="113"/>
      <c r="N966" s="114"/>
      <c r="O966" s="107"/>
      <c r="P966" s="107"/>
      <c r="Q966" s="115"/>
      <c r="R966" s="116"/>
      <c r="S966" s="107"/>
      <c r="T966" s="107"/>
      <c r="U966" s="107" t="str">
        <f t="shared" si="18"/>
        <v/>
      </c>
      <c r="V966" s="107"/>
      <c r="W966" s="107"/>
      <c r="X966" s="107"/>
      <c r="Y966" s="107"/>
      <c r="Z966" s="107"/>
      <c r="AA966" s="107"/>
      <c r="AB966" s="107"/>
      <c r="AC966" s="107"/>
      <c r="AD966" s="107"/>
      <c r="AE966" s="107"/>
      <c r="AF966" s="107"/>
      <c r="AG966" s="107"/>
      <c r="AH966" s="107"/>
      <c r="AI966" s="107"/>
      <c r="AJ966" s="107"/>
      <c r="AK966" s="107"/>
      <c r="AL966" s="107"/>
      <c r="AM966" s="107"/>
      <c r="AN966" s="107"/>
      <c r="AO966" s="107"/>
      <c r="AP966" s="107"/>
      <c r="AQ966" s="107"/>
      <c r="AR966" s="107"/>
      <c r="AS966" s="107"/>
      <c r="AT966" s="107"/>
      <c r="AU966" s="107"/>
      <c r="AV966" s="107"/>
      <c r="AW966" s="107"/>
      <c r="AX966" s="107"/>
      <c r="AY966" s="107"/>
      <c r="AZ966" s="107"/>
      <c r="BA966" s="107"/>
      <c r="BB966" s="107"/>
      <c r="BC966" s="107"/>
      <c r="BD966" s="107"/>
      <c r="BE966" s="107"/>
      <c r="BF966" s="107"/>
      <c r="BG966" s="107"/>
      <c r="BH966" s="107"/>
    </row>
    <row r="967" spans="1:60" x14ac:dyDescent="0.25">
      <c r="A967" s="96"/>
      <c r="B967" s="97"/>
      <c r="C967" s="97"/>
      <c r="D967" s="97"/>
      <c r="E967" s="98"/>
      <c r="F967" s="99" t="str">
        <f>IF(H967&lt;&gt;"",H967-Accueil!N$6+1/60/24,"")</f>
        <v/>
      </c>
      <c r="G967" s="97"/>
      <c r="H967" s="99"/>
      <c r="I967" s="99"/>
      <c r="J967" s="100"/>
      <c r="K967" s="101"/>
      <c r="L967" s="102"/>
      <c r="M967" s="103"/>
      <c r="N967" s="104"/>
      <c r="O967" s="97"/>
      <c r="P967" s="97"/>
      <c r="Q967" s="97"/>
      <c r="R967" s="105"/>
      <c r="S967" s="97"/>
      <c r="T967" s="97"/>
      <c r="U967" s="97" t="str">
        <f t="shared" si="18"/>
        <v/>
      </c>
      <c r="V967" s="97"/>
      <c r="W967" s="97"/>
      <c r="X967" s="97"/>
      <c r="Y967" s="97"/>
      <c r="Z967" s="97"/>
      <c r="AA967" s="97"/>
      <c r="AB967" s="97"/>
      <c r="AC967" s="97"/>
      <c r="AD967" s="97"/>
      <c r="AE967" s="97"/>
      <c r="AF967" s="97"/>
      <c r="AG967" s="97"/>
      <c r="AH967" s="97"/>
      <c r="AI967" s="97"/>
      <c r="AJ967" s="97"/>
      <c r="AK967" s="97"/>
      <c r="AL967" s="97"/>
      <c r="AM967" s="97"/>
      <c r="AN967" s="97"/>
      <c r="AO967" s="97"/>
      <c r="AP967" s="97"/>
      <c r="AQ967" s="97"/>
      <c r="AR967" s="97"/>
      <c r="AS967" s="97"/>
      <c r="AT967" s="97"/>
      <c r="AU967" s="97"/>
      <c r="AV967" s="97"/>
      <c r="AW967" s="97"/>
      <c r="AX967" s="97"/>
      <c r="AY967" s="97"/>
      <c r="AZ967" s="97"/>
      <c r="BA967" s="97"/>
      <c r="BB967" s="97"/>
      <c r="BC967" s="97"/>
      <c r="BD967" s="97"/>
      <c r="BE967" s="97"/>
      <c r="BF967" s="97"/>
      <c r="BG967" s="97"/>
      <c r="BH967" s="97"/>
    </row>
    <row r="968" spans="1:60" x14ac:dyDescent="0.25">
      <c r="A968" s="106"/>
      <c r="B968" s="107"/>
      <c r="C968" s="107"/>
      <c r="D968" s="107"/>
      <c r="E968" s="108"/>
      <c r="F968" s="109" t="str">
        <f>IF(H968&lt;&gt;"",H968-Accueil!N$6+1/60/24,"")</f>
        <v/>
      </c>
      <c r="G968" s="107"/>
      <c r="H968" s="109"/>
      <c r="I968" s="110"/>
      <c r="J968" s="110"/>
      <c r="K968" s="111"/>
      <c r="L968" s="112"/>
      <c r="M968" s="113"/>
      <c r="N968" s="114"/>
      <c r="O968" s="107"/>
      <c r="P968" s="107"/>
      <c r="Q968" s="115"/>
      <c r="R968" s="116"/>
      <c r="S968" s="107"/>
      <c r="T968" s="107"/>
      <c r="U968" s="107" t="str">
        <f t="shared" si="18"/>
        <v/>
      </c>
      <c r="V968" s="107"/>
      <c r="W968" s="107"/>
      <c r="X968" s="107"/>
      <c r="Y968" s="107"/>
      <c r="Z968" s="107"/>
      <c r="AA968" s="107"/>
      <c r="AB968" s="107"/>
      <c r="AC968" s="107"/>
      <c r="AD968" s="107"/>
      <c r="AE968" s="107"/>
      <c r="AF968" s="107"/>
      <c r="AG968" s="107"/>
      <c r="AH968" s="107"/>
      <c r="AI968" s="107"/>
      <c r="AJ968" s="107"/>
      <c r="AK968" s="107"/>
      <c r="AL968" s="107"/>
      <c r="AM968" s="107"/>
      <c r="AN968" s="107"/>
      <c r="AO968" s="107"/>
      <c r="AP968" s="107"/>
      <c r="AQ968" s="107"/>
      <c r="AR968" s="107"/>
      <c r="AS968" s="107"/>
      <c r="AT968" s="107"/>
      <c r="AU968" s="107"/>
      <c r="AV968" s="107"/>
      <c r="AW968" s="107"/>
      <c r="AX968" s="107"/>
      <c r="AY968" s="107"/>
      <c r="AZ968" s="107"/>
      <c r="BA968" s="107"/>
      <c r="BB968" s="107"/>
      <c r="BC968" s="107"/>
      <c r="BD968" s="107"/>
      <c r="BE968" s="107"/>
      <c r="BF968" s="107"/>
      <c r="BG968" s="107"/>
      <c r="BH968" s="107"/>
    </row>
    <row r="969" spans="1:60" x14ac:dyDescent="0.25">
      <c r="A969" s="96"/>
      <c r="B969" s="97"/>
      <c r="C969" s="97"/>
      <c r="D969" s="97"/>
      <c r="E969" s="98"/>
      <c r="F969" s="99" t="str">
        <f>IF(H969&lt;&gt;"",H969-Accueil!N$6+1/60/24,"")</f>
        <v/>
      </c>
      <c r="G969" s="97"/>
      <c r="H969" s="99"/>
      <c r="I969" s="99"/>
      <c r="J969" s="100"/>
      <c r="K969" s="101"/>
      <c r="L969" s="102"/>
      <c r="M969" s="103"/>
      <c r="N969" s="104"/>
      <c r="O969" s="97"/>
      <c r="P969" s="97"/>
      <c r="Q969" s="97"/>
      <c r="R969" s="105"/>
      <c r="S969" s="97"/>
      <c r="T969" s="97"/>
      <c r="U969" s="97" t="str">
        <f t="shared" si="18"/>
        <v/>
      </c>
      <c r="V969" s="97"/>
      <c r="W969" s="97"/>
      <c r="X969" s="97"/>
      <c r="Y969" s="97"/>
      <c r="Z969" s="97"/>
      <c r="AA969" s="97"/>
      <c r="AB969" s="97"/>
      <c r="AC969" s="97"/>
      <c r="AD969" s="97"/>
      <c r="AE969" s="97"/>
      <c r="AF969" s="97"/>
      <c r="AG969" s="97"/>
      <c r="AH969" s="97"/>
      <c r="AI969" s="97"/>
      <c r="AJ969" s="97"/>
      <c r="AK969" s="97"/>
      <c r="AL969" s="97"/>
      <c r="AM969" s="97"/>
      <c r="AN969" s="97"/>
      <c r="AO969" s="97"/>
      <c r="AP969" s="97"/>
      <c r="AQ969" s="97"/>
      <c r="AR969" s="97"/>
      <c r="AS969" s="97"/>
      <c r="AT969" s="97"/>
      <c r="AU969" s="97"/>
      <c r="AV969" s="97"/>
      <c r="AW969" s="97"/>
      <c r="AX969" s="97"/>
      <c r="AY969" s="97"/>
      <c r="AZ969" s="97"/>
      <c r="BA969" s="97"/>
      <c r="BB969" s="97"/>
      <c r="BC969" s="97"/>
      <c r="BD969" s="97"/>
      <c r="BE969" s="97"/>
      <c r="BF969" s="97"/>
      <c r="BG969" s="97"/>
      <c r="BH969" s="97"/>
    </row>
    <row r="970" spans="1:60" x14ac:dyDescent="0.25">
      <c r="A970" s="106"/>
      <c r="B970" s="107"/>
      <c r="C970" s="107"/>
      <c r="D970" s="107"/>
      <c r="E970" s="108"/>
      <c r="F970" s="109" t="str">
        <f>IF(H970&lt;&gt;"",H970-Accueil!N$6+1/60/24,"")</f>
        <v/>
      </c>
      <c r="G970" s="107"/>
      <c r="H970" s="109"/>
      <c r="I970" s="110"/>
      <c r="J970" s="110"/>
      <c r="K970" s="111"/>
      <c r="L970" s="112"/>
      <c r="M970" s="113"/>
      <c r="N970" s="114"/>
      <c r="O970" s="107"/>
      <c r="P970" s="107"/>
      <c r="Q970" s="115"/>
      <c r="R970" s="116"/>
      <c r="S970" s="107"/>
      <c r="T970" s="107"/>
      <c r="U970" s="107" t="str">
        <f t="shared" si="18"/>
        <v/>
      </c>
      <c r="V970" s="107"/>
      <c r="W970" s="107"/>
      <c r="X970" s="107"/>
      <c r="Y970" s="107"/>
      <c r="Z970" s="107"/>
      <c r="AA970" s="107"/>
      <c r="AB970" s="107"/>
      <c r="AC970" s="107"/>
      <c r="AD970" s="107"/>
      <c r="AE970" s="107"/>
      <c r="AF970" s="107"/>
      <c r="AG970" s="107"/>
      <c r="AH970" s="107"/>
      <c r="AI970" s="107"/>
      <c r="AJ970" s="107"/>
      <c r="AK970" s="107"/>
      <c r="AL970" s="107"/>
      <c r="AM970" s="107"/>
      <c r="AN970" s="107"/>
      <c r="AO970" s="107"/>
      <c r="AP970" s="107"/>
      <c r="AQ970" s="107"/>
      <c r="AR970" s="107"/>
      <c r="AS970" s="107"/>
      <c r="AT970" s="107"/>
      <c r="AU970" s="107"/>
      <c r="AV970" s="107"/>
      <c r="AW970" s="107"/>
      <c r="AX970" s="107"/>
      <c r="AY970" s="107"/>
      <c r="AZ970" s="107"/>
      <c r="BA970" s="107"/>
      <c r="BB970" s="107"/>
      <c r="BC970" s="107"/>
      <c r="BD970" s="107"/>
      <c r="BE970" s="107"/>
      <c r="BF970" s="107"/>
      <c r="BG970" s="107"/>
      <c r="BH970" s="107"/>
    </row>
    <row r="971" spans="1:60" x14ac:dyDescent="0.25">
      <c r="A971" s="96"/>
      <c r="B971" s="97"/>
      <c r="C971" s="97"/>
      <c r="D971" s="97"/>
      <c r="E971" s="98"/>
      <c r="F971" s="99" t="str">
        <f>IF(H971&lt;&gt;"",H971-Accueil!N$6+1/60/24,"")</f>
        <v/>
      </c>
      <c r="G971" s="97"/>
      <c r="H971" s="99"/>
      <c r="I971" s="99"/>
      <c r="J971" s="100"/>
      <c r="K971" s="101"/>
      <c r="L971" s="102"/>
      <c r="M971" s="103"/>
      <c r="N971" s="104"/>
      <c r="O971" s="97"/>
      <c r="P971" s="97"/>
      <c r="Q971" s="97"/>
      <c r="R971" s="105"/>
      <c r="S971" s="97"/>
      <c r="T971" s="97"/>
      <c r="U971" s="97" t="str">
        <f t="shared" si="18"/>
        <v/>
      </c>
      <c r="V971" s="97"/>
      <c r="W971" s="97"/>
      <c r="X971" s="97"/>
      <c r="Y971" s="97"/>
      <c r="Z971" s="97"/>
      <c r="AA971" s="97"/>
      <c r="AB971" s="97"/>
      <c r="AC971" s="97"/>
      <c r="AD971" s="97"/>
      <c r="AE971" s="97"/>
      <c r="AF971" s="97"/>
      <c r="AG971" s="97"/>
      <c r="AH971" s="97"/>
      <c r="AI971" s="97"/>
      <c r="AJ971" s="97"/>
      <c r="AK971" s="97"/>
      <c r="AL971" s="97"/>
      <c r="AM971" s="97"/>
      <c r="AN971" s="97"/>
      <c r="AO971" s="97"/>
      <c r="AP971" s="97"/>
      <c r="AQ971" s="97"/>
      <c r="AR971" s="97"/>
      <c r="AS971" s="97"/>
      <c r="AT971" s="97"/>
      <c r="AU971" s="97"/>
      <c r="AV971" s="97"/>
      <c r="AW971" s="97"/>
      <c r="AX971" s="97"/>
      <c r="AY971" s="97"/>
      <c r="AZ971" s="97"/>
      <c r="BA971" s="97"/>
      <c r="BB971" s="97"/>
      <c r="BC971" s="97"/>
      <c r="BD971" s="97"/>
      <c r="BE971" s="97"/>
      <c r="BF971" s="97"/>
      <c r="BG971" s="97"/>
      <c r="BH971" s="97"/>
    </row>
    <row r="972" spans="1:60" x14ac:dyDescent="0.25">
      <c r="A972" s="106"/>
      <c r="B972" s="107"/>
      <c r="C972" s="107"/>
      <c r="D972" s="107"/>
      <c r="E972" s="108"/>
      <c r="F972" s="109" t="str">
        <f>IF(H972&lt;&gt;"",H972-Accueil!N$6+1/60/24,"")</f>
        <v/>
      </c>
      <c r="G972" s="107"/>
      <c r="H972" s="109"/>
      <c r="I972" s="110"/>
      <c r="J972" s="110"/>
      <c r="K972" s="111"/>
      <c r="L972" s="112"/>
      <c r="M972" s="113"/>
      <c r="N972" s="114"/>
      <c r="O972" s="107"/>
      <c r="P972" s="107"/>
      <c r="Q972" s="115"/>
      <c r="R972" s="116"/>
      <c r="S972" s="107"/>
      <c r="T972" s="107"/>
      <c r="U972" s="107" t="str">
        <f t="shared" si="18"/>
        <v/>
      </c>
      <c r="V972" s="107"/>
      <c r="W972" s="107"/>
      <c r="X972" s="107"/>
      <c r="Y972" s="107"/>
      <c r="Z972" s="107"/>
      <c r="AA972" s="107"/>
      <c r="AB972" s="107"/>
      <c r="AC972" s="107"/>
      <c r="AD972" s="107"/>
      <c r="AE972" s="107"/>
      <c r="AF972" s="107"/>
      <c r="AG972" s="107"/>
      <c r="AH972" s="107"/>
      <c r="AI972" s="107"/>
      <c r="AJ972" s="107"/>
      <c r="AK972" s="107"/>
      <c r="AL972" s="107"/>
      <c r="AM972" s="107"/>
      <c r="AN972" s="107"/>
      <c r="AO972" s="107"/>
      <c r="AP972" s="107"/>
      <c r="AQ972" s="107"/>
      <c r="AR972" s="107"/>
      <c r="AS972" s="107"/>
      <c r="AT972" s="107"/>
      <c r="AU972" s="107"/>
      <c r="AV972" s="107"/>
      <c r="AW972" s="107"/>
      <c r="AX972" s="107"/>
      <c r="AY972" s="107"/>
      <c r="AZ972" s="107"/>
      <c r="BA972" s="107"/>
      <c r="BB972" s="107"/>
      <c r="BC972" s="107"/>
      <c r="BD972" s="107"/>
      <c r="BE972" s="107"/>
      <c r="BF972" s="107"/>
      <c r="BG972" s="107"/>
      <c r="BH972" s="107"/>
    </row>
    <row r="973" spans="1:60" x14ac:dyDescent="0.25">
      <c r="A973" s="96"/>
      <c r="B973" s="97"/>
      <c r="C973" s="97"/>
      <c r="D973" s="97"/>
      <c r="E973" s="98"/>
      <c r="F973" s="99" t="str">
        <f>IF(H973&lt;&gt;"",H973-Accueil!N$6+1/60/24,"")</f>
        <v/>
      </c>
      <c r="G973" s="97"/>
      <c r="H973" s="99"/>
      <c r="I973" s="99"/>
      <c r="J973" s="100"/>
      <c r="K973" s="101"/>
      <c r="L973" s="102"/>
      <c r="M973" s="103"/>
      <c r="N973" s="104"/>
      <c r="O973" s="97"/>
      <c r="P973" s="97"/>
      <c r="Q973" s="97"/>
      <c r="R973" s="105"/>
      <c r="S973" s="97"/>
      <c r="T973" s="97"/>
      <c r="U973" s="97" t="str">
        <f t="shared" si="18"/>
        <v/>
      </c>
      <c r="V973" s="97"/>
      <c r="W973" s="97"/>
      <c r="X973" s="97"/>
      <c r="Y973" s="97"/>
      <c r="Z973" s="97"/>
      <c r="AA973" s="97"/>
      <c r="AB973" s="97"/>
      <c r="AC973" s="97"/>
      <c r="AD973" s="97"/>
      <c r="AE973" s="97"/>
      <c r="AF973" s="97"/>
      <c r="AG973" s="97"/>
      <c r="AH973" s="97"/>
      <c r="AI973" s="97"/>
      <c r="AJ973" s="97"/>
      <c r="AK973" s="97"/>
      <c r="AL973" s="97"/>
      <c r="AM973" s="97"/>
      <c r="AN973" s="97"/>
      <c r="AO973" s="97"/>
      <c r="AP973" s="97"/>
      <c r="AQ973" s="97"/>
      <c r="AR973" s="97"/>
      <c r="AS973" s="97"/>
      <c r="AT973" s="97"/>
      <c r="AU973" s="97"/>
      <c r="AV973" s="97"/>
      <c r="AW973" s="97"/>
      <c r="AX973" s="97"/>
      <c r="AY973" s="97"/>
      <c r="AZ973" s="97"/>
      <c r="BA973" s="97"/>
      <c r="BB973" s="97"/>
      <c r="BC973" s="97"/>
      <c r="BD973" s="97"/>
      <c r="BE973" s="97"/>
      <c r="BF973" s="97"/>
      <c r="BG973" s="97"/>
      <c r="BH973" s="97"/>
    </row>
    <row r="974" spans="1:60" x14ac:dyDescent="0.25">
      <c r="A974" s="106"/>
      <c r="B974" s="107"/>
      <c r="C974" s="107"/>
      <c r="D974" s="107"/>
      <c r="E974" s="108"/>
      <c r="F974" s="109" t="str">
        <f>IF(H974&lt;&gt;"",H974-Accueil!N$6+1/60/24,"")</f>
        <v/>
      </c>
      <c r="G974" s="107"/>
      <c r="H974" s="109"/>
      <c r="I974" s="110"/>
      <c r="J974" s="110"/>
      <c r="K974" s="111"/>
      <c r="L974" s="112"/>
      <c r="M974" s="113"/>
      <c r="N974" s="114"/>
      <c r="O974" s="107"/>
      <c r="P974" s="107"/>
      <c r="Q974" s="115"/>
      <c r="R974" s="116"/>
      <c r="S974" s="107"/>
      <c r="T974" s="107"/>
      <c r="U974" s="107" t="str">
        <f t="shared" si="18"/>
        <v/>
      </c>
      <c r="V974" s="107"/>
      <c r="W974" s="107"/>
      <c r="X974" s="107"/>
      <c r="Y974" s="107"/>
      <c r="Z974" s="107"/>
      <c r="AA974" s="107"/>
      <c r="AB974" s="107"/>
      <c r="AC974" s="107"/>
      <c r="AD974" s="107"/>
      <c r="AE974" s="107"/>
      <c r="AF974" s="107"/>
      <c r="AG974" s="107"/>
      <c r="AH974" s="107"/>
      <c r="AI974" s="107"/>
      <c r="AJ974" s="107"/>
      <c r="AK974" s="107"/>
      <c r="AL974" s="107"/>
      <c r="AM974" s="107"/>
      <c r="AN974" s="107"/>
      <c r="AO974" s="107"/>
      <c r="AP974" s="107"/>
      <c r="AQ974" s="107"/>
      <c r="AR974" s="107"/>
      <c r="AS974" s="107"/>
      <c r="AT974" s="107"/>
      <c r="AU974" s="107"/>
      <c r="AV974" s="107"/>
      <c r="AW974" s="107"/>
      <c r="AX974" s="107"/>
      <c r="AY974" s="107"/>
      <c r="AZ974" s="107"/>
      <c r="BA974" s="107"/>
      <c r="BB974" s="107"/>
      <c r="BC974" s="107"/>
      <c r="BD974" s="107"/>
      <c r="BE974" s="107"/>
      <c r="BF974" s="107"/>
      <c r="BG974" s="107"/>
      <c r="BH974" s="107"/>
    </row>
    <row r="975" spans="1:60" x14ac:dyDescent="0.25">
      <c r="A975" s="96"/>
      <c r="B975" s="97"/>
      <c r="C975" s="97"/>
      <c r="D975" s="97"/>
      <c r="E975" s="98"/>
      <c r="F975" s="99" t="str">
        <f>IF(H975&lt;&gt;"",H975-Accueil!N$6+1/60/24,"")</f>
        <v/>
      </c>
      <c r="G975" s="97"/>
      <c r="H975" s="99"/>
      <c r="I975" s="99"/>
      <c r="J975" s="100"/>
      <c r="K975" s="101"/>
      <c r="L975" s="102"/>
      <c r="M975" s="103"/>
      <c r="N975" s="104"/>
      <c r="O975" s="97"/>
      <c r="P975" s="97"/>
      <c r="Q975" s="97"/>
      <c r="R975" s="105"/>
      <c r="S975" s="97"/>
      <c r="T975" s="97"/>
      <c r="U975" s="97" t="str">
        <f t="shared" si="18"/>
        <v/>
      </c>
      <c r="V975" s="97"/>
      <c r="W975" s="97"/>
      <c r="X975" s="97"/>
      <c r="Y975" s="97"/>
      <c r="Z975" s="97"/>
      <c r="AA975" s="97"/>
      <c r="AB975" s="97"/>
      <c r="AC975" s="97"/>
      <c r="AD975" s="97"/>
      <c r="AE975" s="97"/>
      <c r="AF975" s="97"/>
      <c r="AG975" s="97"/>
      <c r="AH975" s="97"/>
      <c r="AI975" s="97"/>
      <c r="AJ975" s="97"/>
      <c r="AK975" s="97"/>
      <c r="AL975" s="97"/>
      <c r="AM975" s="97"/>
      <c r="AN975" s="97"/>
      <c r="AO975" s="97"/>
      <c r="AP975" s="97"/>
      <c r="AQ975" s="97"/>
      <c r="AR975" s="97"/>
      <c r="AS975" s="97"/>
      <c r="AT975" s="97"/>
      <c r="AU975" s="97"/>
      <c r="AV975" s="97"/>
      <c r="AW975" s="97"/>
      <c r="AX975" s="97"/>
      <c r="AY975" s="97"/>
      <c r="AZ975" s="97"/>
      <c r="BA975" s="97"/>
      <c r="BB975" s="97"/>
      <c r="BC975" s="97"/>
      <c r="BD975" s="97"/>
      <c r="BE975" s="97"/>
      <c r="BF975" s="97"/>
      <c r="BG975" s="97"/>
      <c r="BH975" s="97"/>
    </row>
    <row r="976" spans="1:60" x14ac:dyDescent="0.25">
      <c r="A976" s="106"/>
      <c r="B976" s="107"/>
      <c r="C976" s="107"/>
      <c r="D976" s="107"/>
      <c r="E976" s="108"/>
      <c r="F976" s="109" t="str">
        <f>IF(H976&lt;&gt;"",H976-Accueil!N$6+1/60/24,"")</f>
        <v/>
      </c>
      <c r="G976" s="107"/>
      <c r="H976" s="109"/>
      <c r="I976" s="110"/>
      <c r="J976" s="110"/>
      <c r="K976" s="111"/>
      <c r="L976" s="112"/>
      <c r="M976" s="113"/>
      <c r="N976" s="114"/>
      <c r="O976" s="107"/>
      <c r="P976" s="107"/>
      <c r="Q976" s="115"/>
      <c r="R976" s="116"/>
      <c r="S976" s="107"/>
      <c r="T976" s="107"/>
      <c r="U976" s="107" t="str">
        <f t="shared" si="18"/>
        <v/>
      </c>
      <c r="V976" s="107"/>
      <c r="W976" s="107"/>
      <c r="X976" s="107"/>
      <c r="Y976" s="107"/>
      <c r="Z976" s="107"/>
      <c r="AA976" s="107"/>
      <c r="AB976" s="107"/>
      <c r="AC976" s="107"/>
      <c r="AD976" s="107"/>
      <c r="AE976" s="107"/>
      <c r="AF976" s="107"/>
      <c r="AG976" s="107"/>
      <c r="AH976" s="107"/>
      <c r="AI976" s="107"/>
      <c r="AJ976" s="107"/>
      <c r="AK976" s="107"/>
      <c r="AL976" s="107"/>
      <c r="AM976" s="107"/>
      <c r="AN976" s="107"/>
      <c r="AO976" s="107"/>
      <c r="AP976" s="107"/>
      <c r="AQ976" s="107"/>
      <c r="AR976" s="107"/>
      <c r="AS976" s="107"/>
      <c r="AT976" s="107"/>
      <c r="AU976" s="107"/>
      <c r="AV976" s="107"/>
      <c r="AW976" s="107"/>
      <c r="AX976" s="107"/>
      <c r="AY976" s="107"/>
      <c r="AZ976" s="107"/>
      <c r="BA976" s="107"/>
      <c r="BB976" s="107"/>
      <c r="BC976" s="107"/>
      <c r="BD976" s="107"/>
      <c r="BE976" s="107"/>
      <c r="BF976" s="107"/>
      <c r="BG976" s="107"/>
      <c r="BH976" s="107"/>
    </row>
    <row r="977" spans="1:60" x14ac:dyDescent="0.25">
      <c r="A977" s="96"/>
      <c r="B977" s="97"/>
      <c r="C977" s="97"/>
      <c r="D977" s="97"/>
      <c r="E977" s="98"/>
      <c r="F977" s="99" t="str">
        <f>IF(H977&lt;&gt;"",H977-Accueil!N$6+1/60/24,"")</f>
        <v/>
      </c>
      <c r="G977" s="97"/>
      <c r="H977" s="99"/>
      <c r="I977" s="99"/>
      <c r="J977" s="100"/>
      <c r="K977" s="101"/>
      <c r="L977" s="102"/>
      <c r="M977" s="103"/>
      <c r="N977" s="104"/>
      <c r="O977" s="97"/>
      <c r="P977" s="97"/>
      <c r="Q977" s="97"/>
      <c r="R977" s="105"/>
      <c r="S977" s="97"/>
      <c r="T977" s="97"/>
      <c r="U977" s="97" t="str">
        <f t="shared" si="18"/>
        <v/>
      </c>
      <c r="V977" s="97"/>
      <c r="W977" s="97"/>
      <c r="X977" s="97"/>
      <c r="Y977" s="97"/>
      <c r="Z977" s="97"/>
      <c r="AA977" s="97"/>
      <c r="AB977" s="97"/>
      <c r="AC977" s="97"/>
      <c r="AD977" s="97"/>
      <c r="AE977" s="97"/>
      <c r="AF977" s="97"/>
      <c r="AG977" s="97"/>
      <c r="AH977" s="97"/>
      <c r="AI977" s="97"/>
      <c r="AJ977" s="97"/>
      <c r="AK977" s="97"/>
      <c r="AL977" s="97"/>
      <c r="AM977" s="97"/>
      <c r="AN977" s="97"/>
      <c r="AO977" s="97"/>
      <c r="AP977" s="97"/>
      <c r="AQ977" s="97"/>
      <c r="AR977" s="97"/>
      <c r="AS977" s="97"/>
      <c r="AT977" s="97"/>
      <c r="AU977" s="97"/>
      <c r="AV977" s="97"/>
      <c r="AW977" s="97"/>
      <c r="AX977" s="97"/>
      <c r="AY977" s="97"/>
      <c r="AZ977" s="97"/>
      <c r="BA977" s="97"/>
      <c r="BB977" s="97"/>
      <c r="BC977" s="97"/>
      <c r="BD977" s="97"/>
      <c r="BE977" s="97"/>
      <c r="BF977" s="97"/>
      <c r="BG977" s="97"/>
      <c r="BH977" s="97"/>
    </row>
    <row r="978" spans="1:60" x14ac:dyDescent="0.25">
      <c r="A978" s="106"/>
      <c r="B978" s="107"/>
      <c r="C978" s="107"/>
      <c r="D978" s="107"/>
      <c r="E978" s="108"/>
      <c r="F978" s="109" t="str">
        <f>IF(H978&lt;&gt;"",H978-Accueil!N$6+1/60/24,"")</f>
        <v/>
      </c>
      <c r="G978" s="107"/>
      <c r="H978" s="109"/>
      <c r="I978" s="110"/>
      <c r="J978" s="110"/>
      <c r="K978" s="111"/>
      <c r="L978" s="112"/>
      <c r="M978" s="113"/>
      <c r="N978" s="114"/>
      <c r="O978" s="107"/>
      <c r="P978" s="107"/>
      <c r="Q978" s="115"/>
      <c r="R978" s="116"/>
      <c r="S978" s="107"/>
      <c r="T978" s="107"/>
      <c r="U978" s="107" t="str">
        <f t="shared" si="18"/>
        <v/>
      </c>
      <c r="V978" s="107"/>
      <c r="W978" s="107"/>
      <c r="X978" s="107"/>
      <c r="Y978" s="107"/>
      <c r="Z978" s="107"/>
      <c r="AA978" s="107"/>
      <c r="AB978" s="107"/>
      <c r="AC978" s="107"/>
      <c r="AD978" s="107"/>
      <c r="AE978" s="107"/>
      <c r="AF978" s="107"/>
      <c r="AG978" s="107"/>
      <c r="AH978" s="107"/>
      <c r="AI978" s="107"/>
      <c r="AJ978" s="107"/>
      <c r="AK978" s="107"/>
      <c r="AL978" s="107"/>
      <c r="AM978" s="107"/>
      <c r="AN978" s="107"/>
      <c r="AO978" s="107"/>
      <c r="AP978" s="107"/>
      <c r="AQ978" s="107"/>
      <c r="AR978" s="107"/>
      <c r="AS978" s="107"/>
      <c r="AT978" s="107"/>
      <c r="AU978" s="107"/>
      <c r="AV978" s="107"/>
      <c r="AW978" s="107"/>
      <c r="AX978" s="107"/>
      <c r="AY978" s="107"/>
      <c r="AZ978" s="107"/>
      <c r="BA978" s="107"/>
      <c r="BB978" s="107"/>
      <c r="BC978" s="107"/>
      <c r="BD978" s="107"/>
      <c r="BE978" s="107"/>
      <c r="BF978" s="107"/>
      <c r="BG978" s="107"/>
      <c r="BH978" s="107"/>
    </row>
    <row r="979" spans="1:60" x14ac:dyDescent="0.25">
      <c r="A979" s="96"/>
      <c r="B979" s="97"/>
      <c r="C979" s="97"/>
      <c r="D979" s="97"/>
      <c r="E979" s="98"/>
      <c r="F979" s="99" t="str">
        <f>IF(H979&lt;&gt;"",H979-Accueil!N$6+1/60/24,"")</f>
        <v/>
      </c>
      <c r="G979" s="97"/>
      <c r="H979" s="99"/>
      <c r="I979" s="99"/>
      <c r="J979" s="100"/>
      <c r="K979" s="101"/>
      <c r="L979" s="102"/>
      <c r="M979" s="103"/>
      <c r="N979" s="104"/>
      <c r="O979" s="97"/>
      <c r="P979" s="97"/>
      <c r="Q979" s="97"/>
      <c r="R979" s="105"/>
      <c r="S979" s="97"/>
      <c r="T979" s="97"/>
      <c r="U979" s="97" t="str">
        <f t="shared" si="18"/>
        <v/>
      </c>
      <c r="V979" s="97"/>
      <c r="W979" s="97"/>
      <c r="X979" s="97"/>
      <c r="Y979" s="97"/>
      <c r="Z979" s="97"/>
      <c r="AA979" s="97"/>
      <c r="AB979" s="97"/>
      <c r="AC979" s="97"/>
      <c r="AD979" s="97"/>
      <c r="AE979" s="97"/>
      <c r="AF979" s="97"/>
      <c r="AG979" s="97"/>
      <c r="AH979" s="97"/>
      <c r="AI979" s="97"/>
      <c r="AJ979" s="97"/>
      <c r="AK979" s="97"/>
      <c r="AL979" s="97"/>
      <c r="AM979" s="97"/>
      <c r="AN979" s="97"/>
      <c r="AO979" s="97"/>
      <c r="AP979" s="97"/>
      <c r="AQ979" s="97"/>
      <c r="AR979" s="97"/>
      <c r="AS979" s="97"/>
      <c r="AT979" s="97"/>
      <c r="AU979" s="97"/>
      <c r="AV979" s="97"/>
      <c r="AW979" s="97"/>
      <c r="AX979" s="97"/>
      <c r="AY979" s="97"/>
      <c r="AZ979" s="97"/>
      <c r="BA979" s="97"/>
      <c r="BB979" s="97"/>
      <c r="BC979" s="97"/>
      <c r="BD979" s="97"/>
      <c r="BE979" s="97"/>
      <c r="BF979" s="97"/>
      <c r="BG979" s="97"/>
      <c r="BH979" s="97"/>
    </row>
    <row r="980" spans="1:60" x14ac:dyDescent="0.25">
      <c r="A980" s="106"/>
      <c r="B980" s="107"/>
      <c r="C980" s="107"/>
      <c r="D980" s="107"/>
      <c r="E980" s="108"/>
      <c r="F980" s="109" t="str">
        <f>IF(H980&lt;&gt;"",H980-Accueil!N$6+1/60/24,"")</f>
        <v/>
      </c>
      <c r="G980" s="107"/>
      <c r="H980" s="109"/>
      <c r="I980" s="110"/>
      <c r="J980" s="110"/>
      <c r="K980" s="111"/>
      <c r="L980" s="112"/>
      <c r="M980" s="113"/>
      <c r="N980" s="114"/>
      <c r="O980" s="107"/>
      <c r="P980" s="107"/>
      <c r="Q980" s="115"/>
      <c r="R980" s="116"/>
      <c r="S980" s="107"/>
      <c r="T980" s="107"/>
      <c r="U980" s="107" t="str">
        <f t="shared" si="18"/>
        <v/>
      </c>
      <c r="V980" s="107"/>
      <c r="W980" s="107"/>
      <c r="X980" s="107"/>
      <c r="Y980" s="107"/>
      <c r="Z980" s="107"/>
      <c r="AA980" s="107"/>
      <c r="AB980" s="107"/>
      <c r="AC980" s="107"/>
      <c r="AD980" s="107"/>
      <c r="AE980" s="107"/>
      <c r="AF980" s="107"/>
      <c r="AG980" s="107"/>
      <c r="AH980" s="107"/>
      <c r="AI980" s="107"/>
      <c r="AJ980" s="107"/>
      <c r="AK980" s="107"/>
      <c r="AL980" s="107"/>
      <c r="AM980" s="107"/>
      <c r="AN980" s="107"/>
      <c r="AO980" s="107"/>
      <c r="AP980" s="107"/>
      <c r="AQ980" s="107"/>
      <c r="AR980" s="107"/>
      <c r="AS980" s="107"/>
      <c r="AT980" s="107"/>
      <c r="AU980" s="107"/>
      <c r="AV980" s="107"/>
      <c r="AW980" s="107"/>
      <c r="AX980" s="107"/>
      <c r="AY980" s="107"/>
      <c r="AZ980" s="107"/>
      <c r="BA980" s="107"/>
      <c r="BB980" s="107"/>
      <c r="BC980" s="107"/>
      <c r="BD980" s="107"/>
      <c r="BE980" s="107"/>
      <c r="BF980" s="107"/>
      <c r="BG980" s="107"/>
      <c r="BH980" s="107"/>
    </row>
    <row r="981" spans="1:60" x14ac:dyDescent="0.25">
      <c r="A981" s="96"/>
      <c r="B981" s="97"/>
      <c r="C981" s="97"/>
      <c r="D981" s="97"/>
      <c r="E981" s="98"/>
      <c r="F981" s="99" t="str">
        <f>IF(H981&lt;&gt;"",H981-Accueil!N$6+1/60/24,"")</f>
        <v/>
      </c>
      <c r="G981" s="97"/>
      <c r="H981" s="99"/>
      <c r="I981" s="99"/>
      <c r="J981" s="100"/>
      <c r="K981" s="101"/>
      <c r="L981" s="102"/>
      <c r="M981" s="103"/>
      <c r="N981" s="104"/>
      <c r="O981" s="97"/>
      <c r="P981" s="97"/>
      <c r="Q981" s="97"/>
      <c r="R981" s="105"/>
      <c r="S981" s="97"/>
      <c r="T981" s="97"/>
      <c r="U981" s="97" t="str">
        <f t="shared" si="18"/>
        <v/>
      </c>
      <c r="V981" s="97"/>
      <c r="W981" s="97"/>
      <c r="X981" s="97"/>
      <c r="Y981" s="97"/>
      <c r="Z981" s="97"/>
      <c r="AA981" s="97"/>
      <c r="AB981" s="97"/>
      <c r="AC981" s="97"/>
      <c r="AD981" s="97"/>
      <c r="AE981" s="97"/>
      <c r="AF981" s="97"/>
      <c r="AG981" s="97"/>
      <c r="AH981" s="97"/>
      <c r="AI981" s="97"/>
      <c r="AJ981" s="97"/>
      <c r="AK981" s="97"/>
      <c r="AL981" s="97"/>
      <c r="AM981" s="97"/>
      <c r="AN981" s="97"/>
      <c r="AO981" s="97"/>
      <c r="AP981" s="97"/>
      <c r="AQ981" s="97"/>
      <c r="AR981" s="97"/>
      <c r="AS981" s="97"/>
      <c r="AT981" s="97"/>
      <c r="AU981" s="97"/>
      <c r="AV981" s="97"/>
      <c r="AW981" s="97"/>
      <c r="AX981" s="97"/>
      <c r="AY981" s="97"/>
      <c r="AZ981" s="97"/>
      <c r="BA981" s="97"/>
      <c r="BB981" s="97"/>
      <c r="BC981" s="97"/>
      <c r="BD981" s="97"/>
      <c r="BE981" s="97"/>
      <c r="BF981" s="97"/>
      <c r="BG981" s="97"/>
      <c r="BH981" s="97"/>
    </row>
    <row r="982" spans="1:60" x14ac:dyDescent="0.25">
      <c r="A982" s="106"/>
      <c r="B982" s="107"/>
      <c r="C982" s="107"/>
      <c r="D982" s="107"/>
      <c r="E982" s="108"/>
      <c r="F982" s="109" t="str">
        <f>IF(H982&lt;&gt;"",H982-Accueil!N$6+1/60/24,"")</f>
        <v/>
      </c>
      <c r="G982" s="107"/>
      <c r="H982" s="109"/>
      <c r="I982" s="110"/>
      <c r="J982" s="110"/>
      <c r="K982" s="111"/>
      <c r="L982" s="112"/>
      <c r="M982" s="113"/>
      <c r="N982" s="114"/>
      <c r="O982" s="107"/>
      <c r="P982" s="107"/>
      <c r="Q982" s="115"/>
      <c r="R982" s="116"/>
      <c r="S982" s="107"/>
      <c r="T982" s="107"/>
      <c r="U982" s="107" t="str">
        <f t="shared" si="18"/>
        <v/>
      </c>
      <c r="V982" s="107"/>
      <c r="W982" s="107"/>
      <c r="X982" s="107"/>
      <c r="Y982" s="107"/>
      <c r="Z982" s="107"/>
      <c r="AA982" s="107"/>
      <c r="AB982" s="107"/>
      <c r="AC982" s="107"/>
      <c r="AD982" s="107"/>
      <c r="AE982" s="107"/>
      <c r="AF982" s="107"/>
      <c r="AG982" s="107"/>
      <c r="AH982" s="107"/>
      <c r="AI982" s="107"/>
      <c r="AJ982" s="107"/>
      <c r="AK982" s="107"/>
      <c r="AL982" s="107"/>
      <c r="AM982" s="107"/>
      <c r="AN982" s="107"/>
      <c r="AO982" s="107"/>
      <c r="AP982" s="107"/>
      <c r="AQ982" s="107"/>
      <c r="AR982" s="107"/>
      <c r="AS982" s="107"/>
      <c r="AT982" s="107"/>
      <c r="AU982" s="107"/>
      <c r="AV982" s="107"/>
      <c r="AW982" s="107"/>
      <c r="AX982" s="107"/>
      <c r="AY982" s="107"/>
      <c r="AZ982" s="107"/>
      <c r="BA982" s="107"/>
      <c r="BB982" s="107"/>
      <c r="BC982" s="107"/>
      <c r="BD982" s="107"/>
      <c r="BE982" s="107"/>
      <c r="BF982" s="107"/>
      <c r="BG982" s="107"/>
      <c r="BH982" s="107"/>
    </row>
    <row r="983" spans="1:60" x14ac:dyDescent="0.25">
      <c r="A983" s="96"/>
      <c r="B983" s="97"/>
      <c r="C983" s="97"/>
      <c r="D983" s="97"/>
      <c r="E983" s="98"/>
      <c r="F983" s="99" t="str">
        <f>IF(H983&lt;&gt;"",H983-Accueil!N$6+1/60/24,"")</f>
        <v/>
      </c>
      <c r="G983" s="97"/>
      <c r="H983" s="99"/>
      <c r="I983" s="99"/>
      <c r="J983" s="100"/>
      <c r="K983" s="101"/>
      <c r="L983" s="102"/>
      <c r="M983" s="103"/>
      <c r="N983" s="104"/>
      <c r="O983" s="97"/>
      <c r="P983" s="97"/>
      <c r="Q983" s="97"/>
      <c r="R983" s="105"/>
      <c r="S983" s="97"/>
      <c r="T983" s="97"/>
      <c r="U983" s="97" t="str">
        <f t="shared" si="18"/>
        <v/>
      </c>
      <c r="V983" s="97"/>
      <c r="W983" s="97"/>
      <c r="X983" s="97"/>
      <c r="Y983" s="97"/>
      <c r="Z983" s="97"/>
      <c r="AA983" s="97"/>
      <c r="AB983" s="97"/>
      <c r="AC983" s="97"/>
      <c r="AD983" s="97"/>
      <c r="AE983" s="97"/>
      <c r="AF983" s="97"/>
      <c r="AG983" s="97"/>
      <c r="AH983" s="97"/>
      <c r="AI983" s="97"/>
      <c r="AJ983" s="97"/>
      <c r="AK983" s="97"/>
      <c r="AL983" s="97"/>
      <c r="AM983" s="97"/>
      <c r="AN983" s="97"/>
      <c r="AO983" s="97"/>
      <c r="AP983" s="97"/>
      <c r="AQ983" s="97"/>
      <c r="AR983" s="97"/>
      <c r="AS983" s="97"/>
      <c r="AT983" s="97"/>
      <c r="AU983" s="97"/>
      <c r="AV983" s="97"/>
      <c r="AW983" s="97"/>
      <c r="AX983" s="97"/>
      <c r="AY983" s="97"/>
      <c r="AZ983" s="97"/>
      <c r="BA983" s="97"/>
      <c r="BB983" s="97"/>
      <c r="BC983" s="97"/>
      <c r="BD983" s="97"/>
      <c r="BE983" s="97"/>
      <c r="BF983" s="97"/>
      <c r="BG983" s="97"/>
      <c r="BH983" s="97"/>
    </row>
    <row r="984" spans="1:60" x14ac:dyDescent="0.25">
      <c r="A984" s="106"/>
      <c r="B984" s="107"/>
      <c r="C984" s="107"/>
      <c r="D984" s="107"/>
      <c r="E984" s="108"/>
      <c r="F984" s="109" t="str">
        <f>IF(H984&lt;&gt;"",H984-Accueil!N$6+1/60/24,"")</f>
        <v/>
      </c>
      <c r="G984" s="107"/>
      <c r="H984" s="109"/>
      <c r="I984" s="110"/>
      <c r="J984" s="110"/>
      <c r="K984" s="111"/>
      <c r="L984" s="112"/>
      <c r="M984" s="113"/>
      <c r="N984" s="114"/>
      <c r="O984" s="107"/>
      <c r="P984" s="107"/>
      <c r="Q984" s="115"/>
      <c r="R984" s="116"/>
      <c r="S984" s="107"/>
      <c r="T984" s="107"/>
      <c r="U984" s="107" t="str">
        <f t="shared" si="18"/>
        <v/>
      </c>
      <c r="V984" s="107"/>
      <c r="W984" s="107"/>
      <c r="X984" s="107"/>
      <c r="Y984" s="107"/>
      <c r="Z984" s="107"/>
      <c r="AA984" s="107"/>
      <c r="AB984" s="107"/>
      <c r="AC984" s="107"/>
      <c r="AD984" s="107"/>
      <c r="AE984" s="107"/>
      <c r="AF984" s="107"/>
      <c r="AG984" s="107"/>
      <c r="AH984" s="107"/>
      <c r="AI984" s="107"/>
      <c r="AJ984" s="107"/>
      <c r="AK984" s="107"/>
      <c r="AL984" s="107"/>
      <c r="AM984" s="107"/>
      <c r="AN984" s="107"/>
      <c r="AO984" s="107"/>
      <c r="AP984" s="107"/>
      <c r="AQ984" s="107"/>
      <c r="AR984" s="107"/>
      <c r="AS984" s="107"/>
      <c r="AT984" s="107"/>
      <c r="AU984" s="107"/>
      <c r="AV984" s="107"/>
      <c r="AW984" s="107"/>
      <c r="AX984" s="107"/>
      <c r="AY984" s="107"/>
      <c r="AZ984" s="107"/>
      <c r="BA984" s="107"/>
      <c r="BB984" s="107"/>
      <c r="BC984" s="107"/>
      <c r="BD984" s="107"/>
      <c r="BE984" s="107"/>
      <c r="BF984" s="107"/>
      <c r="BG984" s="107"/>
      <c r="BH984" s="107"/>
    </row>
    <row r="985" spans="1:60" x14ac:dyDescent="0.25">
      <c r="A985" s="96"/>
      <c r="B985" s="97"/>
      <c r="C985" s="97"/>
      <c r="D985" s="97"/>
      <c r="E985" s="98"/>
      <c r="F985" s="99" t="str">
        <f>IF(H985&lt;&gt;"",H985-Accueil!N$6+1/60/24,"")</f>
        <v/>
      </c>
      <c r="G985" s="97"/>
      <c r="H985" s="99"/>
      <c r="I985" s="99"/>
      <c r="J985" s="100"/>
      <c r="K985" s="101"/>
      <c r="L985" s="102"/>
      <c r="M985" s="103"/>
      <c r="N985" s="104"/>
      <c r="O985" s="97"/>
      <c r="P985" s="97"/>
      <c r="Q985" s="97"/>
      <c r="R985" s="105"/>
      <c r="S985" s="97"/>
      <c r="T985" s="97"/>
      <c r="U985" s="97" t="str">
        <f t="shared" si="18"/>
        <v/>
      </c>
      <c r="V985" s="97"/>
      <c r="W985" s="97"/>
      <c r="X985" s="97"/>
      <c r="Y985" s="97"/>
      <c r="Z985" s="97"/>
      <c r="AA985" s="97"/>
      <c r="AB985" s="97"/>
      <c r="AC985" s="97"/>
      <c r="AD985" s="97"/>
      <c r="AE985" s="97"/>
      <c r="AF985" s="97"/>
      <c r="AG985" s="97"/>
      <c r="AH985" s="97"/>
      <c r="AI985" s="97"/>
      <c r="AJ985" s="97"/>
      <c r="AK985" s="97"/>
      <c r="AL985" s="97"/>
      <c r="AM985" s="97"/>
      <c r="AN985" s="97"/>
      <c r="AO985" s="97"/>
      <c r="AP985" s="97"/>
      <c r="AQ985" s="97"/>
      <c r="AR985" s="97"/>
      <c r="AS985" s="97"/>
      <c r="AT985" s="97"/>
      <c r="AU985" s="97"/>
      <c r="AV985" s="97"/>
      <c r="AW985" s="97"/>
      <c r="AX985" s="97"/>
      <c r="AY985" s="97"/>
      <c r="AZ985" s="97"/>
      <c r="BA985" s="97"/>
      <c r="BB985" s="97"/>
      <c r="BC985" s="97"/>
      <c r="BD985" s="97"/>
      <c r="BE985" s="97"/>
      <c r="BF985" s="97"/>
      <c r="BG985" s="97"/>
      <c r="BH985" s="97"/>
    </row>
    <row r="986" spans="1:60" x14ac:dyDescent="0.25">
      <c r="A986" s="106"/>
      <c r="B986" s="107"/>
      <c r="C986" s="107"/>
      <c r="D986" s="107"/>
      <c r="E986" s="108"/>
      <c r="F986" s="109" t="str">
        <f>IF(H986&lt;&gt;"",H986-Accueil!N$6+1/60/24,"")</f>
        <v/>
      </c>
      <c r="G986" s="107"/>
      <c r="H986" s="109"/>
      <c r="I986" s="110"/>
      <c r="J986" s="110"/>
      <c r="K986" s="111"/>
      <c r="L986" s="112"/>
      <c r="M986" s="113"/>
      <c r="N986" s="114"/>
      <c r="O986" s="107"/>
      <c r="P986" s="107"/>
      <c r="Q986" s="115"/>
      <c r="R986" s="116"/>
      <c r="S986" s="107"/>
      <c r="T986" s="107"/>
      <c r="U986" s="107" t="str">
        <f t="shared" si="18"/>
        <v/>
      </c>
      <c r="V986" s="107"/>
      <c r="W986" s="107"/>
      <c r="X986" s="107"/>
      <c r="Y986" s="107"/>
      <c r="Z986" s="107"/>
      <c r="AA986" s="107"/>
      <c r="AB986" s="107"/>
      <c r="AC986" s="107"/>
      <c r="AD986" s="107"/>
      <c r="AE986" s="107"/>
      <c r="AF986" s="107"/>
      <c r="AG986" s="107"/>
      <c r="AH986" s="107"/>
      <c r="AI986" s="107"/>
      <c r="AJ986" s="107"/>
      <c r="AK986" s="107"/>
      <c r="AL986" s="107"/>
      <c r="AM986" s="107"/>
      <c r="AN986" s="107"/>
      <c r="AO986" s="107"/>
      <c r="AP986" s="107"/>
      <c r="AQ986" s="107"/>
      <c r="AR986" s="107"/>
      <c r="AS986" s="107"/>
      <c r="AT986" s="107"/>
      <c r="AU986" s="107"/>
      <c r="AV986" s="107"/>
      <c r="AW986" s="107"/>
      <c r="AX986" s="107"/>
      <c r="AY986" s="107"/>
      <c r="AZ986" s="107"/>
      <c r="BA986" s="107"/>
      <c r="BB986" s="107"/>
      <c r="BC986" s="107"/>
      <c r="BD986" s="107"/>
      <c r="BE986" s="107"/>
      <c r="BF986" s="107"/>
      <c r="BG986" s="107"/>
      <c r="BH986" s="107"/>
    </row>
    <row r="987" spans="1:60" x14ac:dyDescent="0.25">
      <c r="A987" s="96"/>
      <c r="B987" s="97"/>
      <c r="C987" s="97"/>
      <c r="D987" s="97"/>
      <c r="E987" s="98"/>
      <c r="F987" s="99" t="str">
        <f>IF(H987&lt;&gt;"",H987-Accueil!N$6+1/60/24,"")</f>
        <v/>
      </c>
      <c r="G987" s="97"/>
      <c r="H987" s="99"/>
      <c r="I987" s="99"/>
      <c r="J987" s="100"/>
      <c r="K987" s="101"/>
      <c r="L987" s="102"/>
      <c r="M987" s="103"/>
      <c r="N987" s="104"/>
      <c r="O987" s="97"/>
      <c r="P987" s="97"/>
      <c r="Q987" s="97"/>
      <c r="R987" s="105"/>
      <c r="S987" s="97"/>
      <c r="T987" s="97"/>
      <c r="U987" s="97" t="str">
        <f t="shared" si="18"/>
        <v/>
      </c>
      <c r="V987" s="97"/>
      <c r="W987" s="97"/>
      <c r="X987" s="97"/>
      <c r="Y987" s="97"/>
      <c r="Z987" s="97"/>
      <c r="AA987" s="97"/>
      <c r="AB987" s="97"/>
      <c r="AC987" s="97"/>
      <c r="AD987" s="97"/>
      <c r="AE987" s="97"/>
      <c r="AF987" s="97"/>
      <c r="AG987" s="97"/>
      <c r="AH987" s="97"/>
      <c r="AI987" s="97"/>
      <c r="AJ987" s="97"/>
      <c r="AK987" s="97"/>
      <c r="AL987" s="97"/>
      <c r="AM987" s="97"/>
      <c r="AN987" s="97"/>
      <c r="AO987" s="97"/>
      <c r="AP987" s="97"/>
      <c r="AQ987" s="97"/>
      <c r="AR987" s="97"/>
      <c r="AS987" s="97"/>
      <c r="AT987" s="97"/>
      <c r="AU987" s="97"/>
      <c r="AV987" s="97"/>
      <c r="AW987" s="97"/>
      <c r="AX987" s="97"/>
      <c r="AY987" s="97"/>
      <c r="AZ987" s="97"/>
      <c r="BA987" s="97"/>
      <c r="BB987" s="97"/>
      <c r="BC987" s="97"/>
      <c r="BD987" s="97"/>
      <c r="BE987" s="97"/>
      <c r="BF987" s="97"/>
      <c r="BG987" s="97"/>
      <c r="BH987" s="97"/>
    </row>
    <row r="988" spans="1:60" x14ac:dyDescent="0.25">
      <c r="A988" s="106"/>
      <c r="B988" s="107"/>
      <c r="C988" s="107"/>
      <c r="D988" s="107"/>
      <c r="E988" s="108"/>
      <c r="F988" s="109" t="str">
        <f>IF(H988&lt;&gt;"",H988-Accueil!N$6+1/60/24,"")</f>
        <v/>
      </c>
      <c r="G988" s="107"/>
      <c r="H988" s="109"/>
      <c r="I988" s="110"/>
      <c r="J988" s="110"/>
      <c r="K988" s="111"/>
      <c r="L988" s="112"/>
      <c r="M988" s="113"/>
      <c r="N988" s="114"/>
      <c r="O988" s="107"/>
      <c r="P988" s="107"/>
      <c r="Q988" s="115"/>
      <c r="R988" s="116"/>
      <c r="S988" s="107"/>
      <c r="T988" s="107"/>
      <c r="U988" s="107" t="str">
        <f t="shared" si="18"/>
        <v/>
      </c>
      <c r="V988" s="107"/>
      <c r="W988" s="107"/>
      <c r="X988" s="107"/>
      <c r="Y988" s="107"/>
      <c r="Z988" s="107"/>
      <c r="AA988" s="107"/>
      <c r="AB988" s="107"/>
      <c r="AC988" s="107"/>
      <c r="AD988" s="107"/>
      <c r="AE988" s="107"/>
      <c r="AF988" s="107"/>
      <c r="AG988" s="107"/>
      <c r="AH988" s="107"/>
      <c r="AI988" s="107"/>
      <c r="AJ988" s="107"/>
      <c r="AK988" s="107"/>
      <c r="AL988" s="107"/>
      <c r="AM988" s="107"/>
      <c r="AN988" s="107"/>
      <c r="AO988" s="107"/>
      <c r="AP988" s="107"/>
      <c r="AQ988" s="107"/>
      <c r="AR988" s="107"/>
      <c r="AS988" s="107"/>
      <c r="AT988" s="107"/>
      <c r="AU988" s="107"/>
      <c r="AV988" s="107"/>
      <c r="AW988" s="107"/>
      <c r="AX988" s="107"/>
      <c r="AY988" s="107"/>
      <c r="AZ988" s="107"/>
      <c r="BA988" s="107"/>
      <c r="BB988" s="107"/>
      <c r="BC988" s="107"/>
      <c r="BD988" s="107"/>
      <c r="BE988" s="107"/>
      <c r="BF988" s="107"/>
      <c r="BG988" s="107"/>
      <c r="BH988" s="107"/>
    </row>
    <row r="989" spans="1:60" x14ac:dyDescent="0.25">
      <c r="A989" s="96"/>
      <c r="B989" s="97"/>
      <c r="C989" s="97"/>
      <c r="D989" s="97"/>
      <c r="E989" s="98"/>
      <c r="F989" s="99" t="str">
        <f>IF(H989&lt;&gt;"",H989-Accueil!N$6+1/60/24,"")</f>
        <v/>
      </c>
      <c r="G989" s="97"/>
      <c r="H989" s="99"/>
      <c r="I989" s="99"/>
      <c r="J989" s="100"/>
      <c r="K989" s="101"/>
      <c r="L989" s="102"/>
      <c r="M989" s="103"/>
      <c r="N989" s="104"/>
      <c r="O989" s="97"/>
      <c r="P989" s="97"/>
      <c r="Q989" s="97"/>
      <c r="R989" s="105"/>
      <c r="S989" s="97"/>
      <c r="T989" s="97"/>
      <c r="U989" s="97" t="str">
        <f t="shared" si="18"/>
        <v/>
      </c>
      <c r="V989" s="97"/>
      <c r="W989" s="97"/>
      <c r="X989" s="97"/>
      <c r="Y989" s="97"/>
      <c r="Z989" s="97"/>
      <c r="AA989" s="97"/>
      <c r="AB989" s="97"/>
      <c r="AC989" s="97"/>
      <c r="AD989" s="97"/>
      <c r="AE989" s="97"/>
      <c r="AF989" s="97"/>
      <c r="AG989" s="97"/>
      <c r="AH989" s="97"/>
      <c r="AI989" s="97"/>
      <c r="AJ989" s="97"/>
      <c r="AK989" s="97"/>
      <c r="AL989" s="97"/>
      <c r="AM989" s="97"/>
      <c r="AN989" s="97"/>
      <c r="AO989" s="97"/>
      <c r="AP989" s="97"/>
      <c r="AQ989" s="97"/>
      <c r="AR989" s="97"/>
      <c r="AS989" s="97"/>
      <c r="AT989" s="97"/>
      <c r="AU989" s="97"/>
      <c r="AV989" s="97"/>
      <c r="AW989" s="97"/>
      <c r="AX989" s="97"/>
      <c r="AY989" s="97"/>
      <c r="AZ989" s="97"/>
      <c r="BA989" s="97"/>
      <c r="BB989" s="97"/>
      <c r="BC989" s="97"/>
      <c r="BD989" s="97"/>
      <c r="BE989" s="97"/>
      <c r="BF989" s="97"/>
      <c r="BG989" s="97"/>
      <c r="BH989" s="97"/>
    </row>
    <row r="990" spans="1:60" x14ac:dyDescent="0.25">
      <c r="A990" s="106"/>
      <c r="B990" s="107"/>
      <c r="C990" s="107"/>
      <c r="D990" s="107"/>
      <c r="E990" s="108"/>
      <c r="F990" s="109" t="str">
        <f>IF(H990&lt;&gt;"",H990-Accueil!N$6+1/60/24,"")</f>
        <v/>
      </c>
      <c r="G990" s="107"/>
      <c r="H990" s="109"/>
      <c r="I990" s="110"/>
      <c r="J990" s="110"/>
      <c r="K990" s="111"/>
      <c r="L990" s="112"/>
      <c r="M990" s="113"/>
      <c r="N990" s="114"/>
      <c r="O990" s="107"/>
      <c r="P990" s="107"/>
      <c r="Q990" s="115"/>
      <c r="R990" s="116"/>
      <c r="S990" s="107"/>
      <c r="T990" s="107"/>
      <c r="U990" s="107" t="str">
        <f t="shared" si="18"/>
        <v/>
      </c>
      <c r="V990" s="107"/>
      <c r="W990" s="107"/>
      <c r="X990" s="107"/>
      <c r="Y990" s="107"/>
      <c r="Z990" s="107"/>
      <c r="AA990" s="107"/>
      <c r="AB990" s="107"/>
      <c r="AC990" s="107"/>
      <c r="AD990" s="107"/>
      <c r="AE990" s="107"/>
      <c r="AF990" s="107"/>
      <c r="AG990" s="107"/>
      <c r="AH990" s="107"/>
      <c r="AI990" s="107"/>
      <c r="AJ990" s="107"/>
      <c r="AK990" s="107"/>
      <c r="AL990" s="107"/>
      <c r="AM990" s="107"/>
      <c r="AN990" s="107"/>
      <c r="AO990" s="107"/>
      <c r="AP990" s="107"/>
      <c r="AQ990" s="107"/>
      <c r="AR990" s="107"/>
      <c r="AS990" s="107"/>
      <c r="AT990" s="107"/>
      <c r="AU990" s="107"/>
      <c r="AV990" s="107"/>
      <c r="AW990" s="107"/>
      <c r="AX990" s="107"/>
      <c r="AY990" s="107"/>
      <c r="AZ990" s="107"/>
      <c r="BA990" s="107"/>
      <c r="BB990" s="107"/>
      <c r="BC990" s="107"/>
      <c r="BD990" s="107"/>
      <c r="BE990" s="107"/>
      <c r="BF990" s="107"/>
      <c r="BG990" s="107"/>
      <c r="BH990" s="107"/>
    </row>
    <row r="991" spans="1:60" x14ac:dyDescent="0.25">
      <c r="A991" s="96"/>
      <c r="B991" s="97"/>
      <c r="C991" s="97"/>
      <c r="D991" s="97"/>
      <c r="E991" s="98"/>
      <c r="F991" s="99" t="str">
        <f>IF(H991&lt;&gt;"",H991-Accueil!N$6+1/60/24,"")</f>
        <v/>
      </c>
      <c r="G991" s="97"/>
      <c r="H991" s="99"/>
      <c r="I991" s="99"/>
      <c r="J991" s="100"/>
      <c r="K991" s="101"/>
      <c r="L991" s="102"/>
      <c r="M991" s="103"/>
      <c r="N991" s="104"/>
      <c r="O991" s="97"/>
      <c r="P991" s="97"/>
      <c r="Q991" s="97"/>
      <c r="R991" s="105"/>
      <c r="S991" s="97"/>
      <c r="T991" s="97"/>
      <c r="U991" s="97" t="str">
        <f t="shared" si="18"/>
        <v/>
      </c>
      <c r="V991" s="97"/>
      <c r="W991" s="97"/>
      <c r="X991" s="97"/>
      <c r="Y991" s="97"/>
      <c r="Z991" s="97"/>
      <c r="AA991" s="97"/>
      <c r="AB991" s="97"/>
      <c r="AC991" s="97"/>
      <c r="AD991" s="97"/>
      <c r="AE991" s="97"/>
      <c r="AF991" s="97"/>
      <c r="AG991" s="97"/>
      <c r="AH991" s="97"/>
      <c r="AI991" s="97"/>
      <c r="AJ991" s="97"/>
      <c r="AK991" s="97"/>
      <c r="AL991" s="97"/>
      <c r="AM991" s="97"/>
      <c r="AN991" s="97"/>
      <c r="AO991" s="97"/>
      <c r="AP991" s="97"/>
      <c r="AQ991" s="97"/>
      <c r="AR991" s="97"/>
      <c r="AS991" s="97"/>
      <c r="AT991" s="97"/>
      <c r="AU991" s="97"/>
      <c r="AV991" s="97"/>
      <c r="AW991" s="97"/>
      <c r="AX991" s="97"/>
      <c r="AY991" s="97"/>
      <c r="AZ991" s="97"/>
      <c r="BA991" s="97"/>
      <c r="BB991" s="97"/>
      <c r="BC991" s="97"/>
      <c r="BD991" s="97"/>
      <c r="BE991" s="97"/>
      <c r="BF991" s="97"/>
      <c r="BG991" s="97"/>
      <c r="BH991" s="97"/>
    </row>
    <row r="992" spans="1:60" x14ac:dyDescent="0.25">
      <c r="A992" s="106"/>
      <c r="B992" s="107"/>
      <c r="C992" s="107"/>
      <c r="D992" s="107"/>
      <c r="E992" s="108"/>
      <c r="F992" s="109" t="str">
        <f>IF(H992&lt;&gt;"",H992-Accueil!N$6+1/60/24,"")</f>
        <v/>
      </c>
      <c r="G992" s="107"/>
      <c r="H992" s="109"/>
      <c r="I992" s="110"/>
      <c r="J992" s="110"/>
      <c r="K992" s="111"/>
      <c r="L992" s="112"/>
      <c r="M992" s="113"/>
      <c r="N992" s="114"/>
      <c r="O992" s="107"/>
      <c r="P992" s="107"/>
      <c r="Q992" s="115"/>
      <c r="R992" s="116"/>
      <c r="S992" s="107"/>
      <c r="T992" s="107"/>
      <c r="U992" s="107" t="str">
        <f t="shared" si="18"/>
        <v/>
      </c>
      <c r="V992" s="107"/>
      <c r="W992" s="107"/>
      <c r="X992" s="107"/>
      <c r="Y992" s="107"/>
      <c r="Z992" s="107"/>
      <c r="AA992" s="107"/>
      <c r="AB992" s="107"/>
      <c r="AC992" s="107"/>
      <c r="AD992" s="107"/>
      <c r="AE992" s="107"/>
      <c r="AF992" s="107"/>
      <c r="AG992" s="107"/>
      <c r="AH992" s="107"/>
      <c r="AI992" s="107"/>
      <c r="AJ992" s="107"/>
      <c r="AK992" s="107"/>
      <c r="AL992" s="107"/>
      <c r="AM992" s="107"/>
      <c r="AN992" s="107"/>
      <c r="AO992" s="107"/>
      <c r="AP992" s="107"/>
      <c r="AQ992" s="107"/>
      <c r="AR992" s="107"/>
      <c r="AS992" s="107"/>
      <c r="AT992" s="107"/>
      <c r="AU992" s="107"/>
      <c r="AV992" s="107"/>
      <c r="AW992" s="107"/>
      <c r="AX992" s="107"/>
      <c r="AY992" s="107"/>
      <c r="AZ992" s="107"/>
      <c r="BA992" s="107"/>
      <c r="BB992" s="107"/>
      <c r="BC992" s="107"/>
      <c r="BD992" s="107"/>
      <c r="BE992" s="107"/>
      <c r="BF992" s="107"/>
      <c r="BG992" s="107"/>
      <c r="BH992" s="107"/>
    </row>
    <row r="993" spans="1:60" x14ac:dyDescent="0.25">
      <c r="A993" s="96"/>
      <c r="B993" s="97"/>
      <c r="C993" s="97"/>
      <c r="D993" s="97"/>
      <c r="E993" s="98"/>
      <c r="F993" s="99" t="str">
        <f>IF(H993&lt;&gt;"",H993-Accueil!N$6+1/60/24,"")</f>
        <v/>
      </c>
      <c r="G993" s="97"/>
      <c r="H993" s="99"/>
      <c r="I993" s="99"/>
      <c r="J993" s="100"/>
      <c r="K993" s="101"/>
      <c r="L993" s="102"/>
      <c r="M993" s="103"/>
      <c r="N993" s="104"/>
      <c r="O993" s="97"/>
      <c r="P993" s="97"/>
      <c r="Q993" s="97"/>
      <c r="R993" s="105"/>
      <c r="S993" s="97"/>
      <c r="T993" s="97"/>
      <c r="U993" s="97" t="str">
        <f t="shared" si="18"/>
        <v/>
      </c>
      <c r="V993" s="97"/>
      <c r="W993" s="97"/>
      <c r="X993" s="97"/>
      <c r="Y993" s="97"/>
      <c r="Z993" s="97"/>
      <c r="AA993" s="97"/>
      <c r="AB993" s="97"/>
      <c r="AC993" s="97"/>
      <c r="AD993" s="97"/>
      <c r="AE993" s="97"/>
      <c r="AF993" s="97"/>
      <c r="AG993" s="97"/>
      <c r="AH993" s="97"/>
      <c r="AI993" s="97"/>
      <c r="AJ993" s="97"/>
      <c r="AK993" s="97"/>
      <c r="AL993" s="97"/>
      <c r="AM993" s="97"/>
      <c r="AN993" s="97"/>
      <c r="AO993" s="97"/>
      <c r="AP993" s="97"/>
      <c r="AQ993" s="97"/>
      <c r="AR993" s="97"/>
      <c r="AS993" s="97"/>
      <c r="AT993" s="97"/>
      <c r="AU993" s="97"/>
      <c r="AV993" s="97"/>
      <c r="AW993" s="97"/>
      <c r="AX993" s="97"/>
      <c r="AY993" s="97"/>
      <c r="AZ993" s="97"/>
      <c r="BA993" s="97"/>
      <c r="BB993" s="97"/>
      <c r="BC993" s="97"/>
      <c r="BD993" s="97"/>
      <c r="BE993" s="97"/>
      <c r="BF993" s="97"/>
      <c r="BG993" s="97"/>
      <c r="BH993" s="97"/>
    </row>
    <row r="994" spans="1:60" x14ac:dyDescent="0.25">
      <c r="A994" s="106"/>
      <c r="B994" s="107"/>
      <c r="C994" s="107"/>
      <c r="D994" s="107"/>
      <c r="E994" s="108"/>
      <c r="F994" s="109" t="str">
        <f>IF(H994&lt;&gt;"",H994-Accueil!N$6+1/60/24,"")</f>
        <v/>
      </c>
      <c r="G994" s="107"/>
      <c r="H994" s="109"/>
      <c r="I994" s="110"/>
      <c r="J994" s="110"/>
      <c r="K994" s="111"/>
      <c r="L994" s="112"/>
      <c r="M994" s="113"/>
      <c r="N994" s="114"/>
      <c r="O994" s="107"/>
      <c r="P994" s="107"/>
      <c r="Q994" s="115"/>
      <c r="R994" s="116"/>
      <c r="S994" s="107"/>
      <c r="T994" s="107"/>
      <c r="U994" s="107" t="str">
        <f t="shared" si="18"/>
        <v/>
      </c>
      <c r="V994" s="107"/>
      <c r="W994" s="107"/>
      <c r="X994" s="107"/>
      <c r="Y994" s="107"/>
      <c r="Z994" s="107"/>
      <c r="AA994" s="107"/>
      <c r="AB994" s="107"/>
      <c r="AC994" s="107"/>
      <c r="AD994" s="107"/>
      <c r="AE994" s="107"/>
      <c r="AF994" s="107"/>
      <c r="AG994" s="107"/>
      <c r="AH994" s="107"/>
      <c r="AI994" s="107"/>
      <c r="AJ994" s="107"/>
      <c r="AK994" s="107"/>
      <c r="AL994" s="107"/>
      <c r="AM994" s="107"/>
      <c r="AN994" s="107"/>
      <c r="AO994" s="107"/>
      <c r="AP994" s="107"/>
      <c r="AQ994" s="107"/>
      <c r="AR994" s="107"/>
      <c r="AS994" s="107"/>
      <c r="AT994" s="107"/>
      <c r="AU994" s="107"/>
      <c r="AV994" s="107"/>
      <c r="AW994" s="107"/>
      <c r="AX994" s="107"/>
      <c r="AY994" s="107"/>
      <c r="AZ994" s="107"/>
      <c r="BA994" s="107"/>
      <c r="BB994" s="107"/>
      <c r="BC994" s="107"/>
      <c r="BD994" s="107"/>
      <c r="BE994" s="107"/>
      <c r="BF994" s="107"/>
      <c r="BG994" s="107"/>
      <c r="BH994" s="107"/>
    </row>
    <row r="995" spans="1:60" x14ac:dyDescent="0.25">
      <c r="A995" s="96"/>
      <c r="B995" s="97"/>
      <c r="C995" s="97"/>
      <c r="D995" s="97"/>
      <c r="E995" s="98"/>
      <c r="F995" s="99" t="str">
        <f>IF(H995&lt;&gt;"",H995-Accueil!N$6+1/60/24,"")</f>
        <v/>
      </c>
      <c r="G995" s="97"/>
      <c r="H995" s="99"/>
      <c r="I995" s="99"/>
      <c r="J995" s="100"/>
      <c r="K995" s="101"/>
      <c r="L995" s="102"/>
      <c r="M995" s="103"/>
      <c r="N995" s="104"/>
      <c r="O995" s="97"/>
      <c r="P995" s="97"/>
      <c r="Q995" s="97"/>
      <c r="R995" s="105"/>
      <c r="S995" s="97"/>
      <c r="T995" s="97"/>
      <c r="U995" s="97" t="str">
        <f t="shared" si="18"/>
        <v/>
      </c>
      <c r="V995" s="97"/>
      <c r="W995" s="97"/>
      <c r="X995" s="97"/>
      <c r="Y995" s="97"/>
      <c r="Z995" s="97"/>
      <c r="AA995" s="97"/>
      <c r="AB995" s="97"/>
      <c r="AC995" s="97"/>
      <c r="AD995" s="97"/>
      <c r="AE995" s="97"/>
      <c r="AF995" s="97"/>
      <c r="AG995" s="97"/>
      <c r="AH995" s="97"/>
      <c r="AI995" s="97"/>
      <c r="AJ995" s="97"/>
      <c r="AK995" s="97"/>
      <c r="AL995" s="97"/>
      <c r="AM995" s="97"/>
      <c r="AN995" s="97"/>
      <c r="AO995" s="97"/>
      <c r="AP995" s="97"/>
      <c r="AQ995" s="97"/>
      <c r="AR995" s="97"/>
      <c r="AS995" s="97"/>
      <c r="AT995" s="97"/>
      <c r="AU995" s="97"/>
      <c r="AV995" s="97"/>
      <c r="AW995" s="97"/>
      <c r="AX995" s="97"/>
      <c r="AY995" s="97"/>
      <c r="AZ995" s="97"/>
      <c r="BA995" s="97"/>
      <c r="BB995" s="97"/>
      <c r="BC995" s="97"/>
      <c r="BD995" s="97"/>
      <c r="BE995" s="97"/>
      <c r="BF995" s="97"/>
      <c r="BG995" s="97"/>
      <c r="BH995" s="97"/>
    </row>
    <row r="996" spans="1:60" x14ac:dyDescent="0.25">
      <c r="A996" s="106"/>
      <c r="B996" s="107"/>
      <c r="C996" s="107"/>
      <c r="D996" s="107"/>
      <c r="E996" s="108"/>
      <c r="F996" s="109" t="str">
        <f>IF(H996&lt;&gt;"",H996-Accueil!N$6+1/60/24,"")</f>
        <v/>
      </c>
      <c r="G996" s="107"/>
      <c r="H996" s="109"/>
      <c r="I996" s="110"/>
      <c r="J996" s="110"/>
      <c r="K996" s="111"/>
      <c r="L996" s="112"/>
      <c r="M996" s="113"/>
      <c r="N996" s="114"/>
      <c r="O996" s="107"/>
      <c r="P996" s="107"/>
      <c r="Q996" s="115"/>
      <c r="R996" s="116"/>
      <c r="S996" s="107"/>
      <c r="T996" s="107"/>
      <c r="U996" s="107" t="str">
        <f t="shared" si="18"/>
        <v/>
      </c>
      <c r="V996" s="107"/>
      <c r="W996" s="107"/>
      <c r="X996" s="107"/>
      <c r="Y996" s="107"/>
      <c r="Z996" s="107"/>
      <c r="AA996" s="107"/>
      <c r="AB996" s="107"/>
      <c r="AC996" s="107"/>
      <c r="AD996" s="107"/>
      <c r="AE996" s="107"/>
      <c r="AF996" s="107"/>
      <c r="AG996" s="107"/>
      <c r="AH996" s="107"/>
      <c r="AI996" s="107"/>
      <c r="AJ996" s="107"/>
      <c r="AK996" s="107"/>
      <c r="AL996" s="107"/>
      <c r="AM996" s="107"/>
      <c r="AN996" s="107"/>
      <c r="AO996" s="107"/>
      <c r="AP996" s="107"/>
      <c r="AQ996" s="107"/>
      <c r="AR996" s="107"/>
      <c r="AS996" s="107"/>
      <c r="AT996" s="107"/>
      <c r="AU996" s="107"/>
      <c r="AV996" s="107"/>
      <c r="AW996" s="107"/>
      <c r="AX996" s="107"/>
      <c r="AY996" s="107"/>
      <c r="AZ996" s="107"/>
      <c r="BA996" s="107"/>
      <c r="BB996" s="107"/>
      <c r="BC996" s="107"/>
      <c r="BD996" s="107"/>
      <c r="BE996" s="107"/>
      <c r="BF996" s="107"/>
      <c r="BG996" s="107"/>
      <c r="BH996" s="107"/>
    </row>
    <row r="997" spans="1:60" x14ac:dyDescent="0.25">
      <c r="A997" s="96"/>
      <c r="B997" s="97"/>
      <c r="C997" s="97"/>
      <c r="D997" s="97"/>
      <c r="E997" s="98"/>
      <c r="F997" s="99" t="str">
        <f>IF(H997&lt;&gt;"",H997-Accueil!N$6+1/60/24,"")</f>
        <v/>
      </c>
      <c r="G997" s="97"/>
      <c r="H997" s="99"/>
      <c r="I997" s="99"/>
      <c r="J997" s="100"/>
      <c r="K997" s="101"/>
      <c r="L997" s="102"/>
      <c r="M997" s="103"/>
      <c r="N997" s="104"/>
      <c r="O997" s="97"/>
      <c r="P997" s="97"/>
      <c r="Q997" s="97"/>
      <c r="R997" s="105"/>
      <c r="S997" s="97"/>
      <c r="T997" s="97"/>
      <c r="U997" s="97" t="str">
        <f t="shared" si="18"/>
        <v/>
      </c>
      <c r="V997" s="97"/>
      <c r="W997" s="97"/>
      <c r="X997" s="97"/>
      <c r="Y997" s="97"/>
      <c r="Z997" s="97"/>
      <c r="AA997" s="97"/>
      <c r="AB997" s="97"/>
      <c r="AC997" s="97"/>
      <c r="AD997" s="97"/>
      <c r="AE997" s="97"/>
      <c r="AF997" s="97"/>
      <c r="AG997" s="97"/>
      <c r="AH997" s="97"/>
      <c r="AI997" s="97"/>
      <c r="AJ997" s="97"/>
      <c r="AK997" s="97"/>
      <c r="AL997" s="97"/>
      <c r="AM997" s="97"/>
      <c r="AN997" s="97"/>
      <c r="AO997" s="97"/>
      <c r="AP997" s="97"/>
      <c r="AQ997" s="97"/>
      <c r="AR997" s="97"/>
      <c r="AS997" s="97"/>
      <c r="AT997" s="97"/>
      <c r="AU997" s="97"/>
      <c r="AV997" s="97"/>
      <c r="AW997" s="97"/>
      <c r="AX997" s="97"/>
      <c r="AY997" s="97"/>
      <c r="AZ997" s="97"/>
      <c r="BA997" s="97"/>
      <c r="BB997" s="97"/>
      <c r="BC997" s="97"/>
      <c r="BD997" s="97"/>
      <c r="BE997" s="97"/>
      <c r="BF997" s="97"/>
      <c r="BG997" s="97"/>
      <c r="BH997" s="97"/>
    </row>
    <row r="998" spans="1:60" x14ac:dyDescent="0.25">
      <c r="A998" s="106"/>
      <c r="B998" s="107"/>
      <c r="C998" s="107"/>
      <c r="D998" s="107"/>
      <c r="E998" s="108"/>
      <c r="F998" s="109" t="str">
        <f>IF(H998&lt;&gt;"",H998-Accueil!N$6+1/60/24,"")</f>
        <v/>
      </c>
      <c r="G998" s="107"/>
      <c r="H998" s="109"/>
      <c r="I998" s="110"/>
      <c r="J998" s="110"/>
      <c r="K998" s="111"/>
      <c r="L998" s="112"/>
      <c r="M998" s="113"/>
      <c r="N998" s="114"/>
      <c r="O998" s="107"/>
      <c r="P998" s="107"/>
      <c r="Q998" s="115"/>
      <c r="R998" s="116"/>
      <c r="S998" s="107"/>
      <c r="T998" s="107"/>
      <c r="U998" s="107" t="str">
        <f t="shared" si="18"/>
        <v/>
      </c>
      <c r="V998" s="107"/>
      <c r="W998" s="107"/>
      <c r="X998" s="107"/>
      <c r="Y998" s="107"/>
      <c r="Z998" s="107"/>
      <c r="AA998" s="107"/>
      <c r="AB998" s="107"/>
      <c r="AC998" s="107"/>
      <c r="AD998" s="107"/>
      <c r="AE998" s="107"/>
      <c r="AF998" s="107"/>
      <c r="AG998" s="107"/>
      <c r="AH998" s="107"/>
      <c r="AI998" s="107"/>
      <c r="AJ998" s="107"/>
      <c r="AK998" s="107"/>
      <c r="AL998" s="107"/>
      <c r="AM998" s="107"/>
      <c r="AN998" s="107"/>
      <c r="AO998" s="107"/>
      <c r="AP998" s="107"/>
      <c r="AQ998" s="107"/>
      <c r="AR998" s="107"/>
      <c r="AS998" s="107"/>
      <c r="AT998" s="107"/>
      <c r="AU998" s="107"/>
      <c r="AV998" s="107"/>
      <c r="AW998" s="107"/>
      <c r="AX998" s="107"/>
      <c r="AY998" s="107"/>
      <c r="AZ998" s="107"/>
      <c r="BA998" s="107"/>
      <c r="BB998" s="107"/>
      <c r="BC998" s="107"/>
      <c r="BD998" s="107"/>
      <c r="BE998" s="107"/>
      <c r="BF998" s="107"/>
      <c r="BG998" s="107"/>
      <c r="BH998" s="107"/>
    </row>
    <row r="999" spans="1:60" x14ac:dyDescent="0.25">
      <c r="A999" s="96"/>
      <c r="B999" s="97"/>
      <c r="C999" s="97"/>
      <c r="D999" s="97"/>
      <c r="E999" s="98"/>
      <c r="F999" s="99" t="str">
        <f>IF(H999&lt;&gt;"",H999-Accueil!N$6+1/60/24,"")</f>
        <v/>
      </c>
      <c r="G999" s="97"/>
      <c r="H999" s="99"/>
      <c r="I999" s="99"/>
      <c r="J999" s="100"/>
      <c r="K999" s="101"/>
      <c r="L999" s="102"/>
      <c r="M999" s="103"/>
      <c r="N999" s="104"/>
      <c r="O999" s="97"/>
      <c r="P999" s="97"/>
      <c r="Q999" s="97"/>
      <c r="R999" s="105"/>
      <c r="S999" s="97"/>
      <c r="T999" s="97"/>
      <c r="U999" s="97" t="str">
        <f t="shared" si="18"/>
        <v/>
      </c>
      <c r="V999" s="97"/>
      <c r="W999" s="97"/>
      <c r="X999" s="97"/>
      <c r="Y999" s="97"/>
      <c r="Z999" s="97"/>
      <c r="AA999" s="97"/>
      <c r="AB999" s="97"/>
      <c r="AC999" s="97"/>
      <c r="AD999" s="97"/>
      <c r="AE999" s="97"/>
      <c r="AF999" s="97"/>
      <c r="AG999" s="97"/>
      <c r="AH999" s="97"/>
      <c r="AI999" s="97"/>
      <c r="AJ999" s="97"/>
      <c r="AK999" s="97"/>
      <c r="AL999" s="97"/>
      <c r="AM999" s="97"/>
      <c r="AN999" s="97"/>
      <c r="AO999" s="97"/>
      <c r="AP999" s="97"/>
      <c r="AQ999" s="97"/>
      <c r="AR999" s="97"/>
      <c r="AS999" s="97"/>
      <c r="AT999" s="97"/>
      <c r="AU999" s="97"/>
      <c r="AV999" s="97"/>
      <c r="AW999" s="97"/>
      <c r="AX999" s="97"/>
      <c r="AY999" s="97"/>
      <c r="AZ999" s="97"/>
      <c r="BA999" s="97"/>
      <c r="BB999" s="97"/>
      <c r="BC999" s="97"/>
      <c r="BD999" s="97"/>
      <c r="BE999" s="97"/>
      <c r="BF999" s="97"/>
      <c r="BG999" s="97"/>
      <c r="BH999" s="97"/>
    </row>
    <row r="1000" spans="1:60" x14ac:dyDescent="0.25">
      <c r="A1000" s="106"/>
      <c r="B1000" s="107"/>
      <c r="C1000" s="107"/>
      <c r="D1000" s="107"/>
      <c r="E1000" s="108"/>
      <c r="F1000" s="109" t="str">
        <f>IF(H1000&lt;&gt;"",H1000-Accueil!N$6+1/60/24,"")</f>
        <v/>
      </c>
      <c r="G1000" s="107"/>
      <c r="H1000" s="109"/>
      <c r="I1000" s="110"/>
      <c r="J1000" s="110"/>
      <c r="K1000" s="111"/>
      <c r="L1000" s="112"/>
      <c r="M1000" s="113"/>
      <c r="N1000" s="114"/>
      <c r="O1000" s="107"/>
      <c r="P1000" s="107"/>
      <c r="Q1000" s="115"/>
      <c r="R1000" s="116"/>
      <c r="S1000" s="107"/>
      <c r="T1000" s="107"/>
      <c r="U1000" s="107" t="str">
        <f t="shared" si="18"/>
        <v/>
      </c>
      <c r="V1000" s="107"/>
      <c r="W1000" s="107"/>
      <c r="X1000" s="107"/>
      <c r="Y1000" s="107"/>
      <c r="Z1000" s="107"/>
      <c r="AA1000" s="107"/>
      <c r="AB1000" s="107"/>
      <c r="AC1000" s="107"/>
      <c r="AD1000" s="107"/>
      <c r="AE1000" s="107"/>
      <c r="AF1000" s="107"/>
      <c r="AG1000" s="107"/>
      <c r="AH1000" s="107"/>
      <c r="AI1000" s="107"/>
      <c r="AJ1000" s="107"/>
      <c r="AK1000" s="107"/>
      <c r="AL1000" s="107"/>
      <c r="AM1000" s="107"/>
      <c r="AN1000" s="107"/>
      <c r="AO1000" s="107"/>
      <c r="AP1000" s="107"/>
      <c r="AQ1000" s="107"/>
      <c r="AR1000" s="107"/>
      <c r="AS1000" s="107"/>
      <c r="AT1000" s="107"/>
      <c r="AU1000" s="107"/>
      <c r="AV1000" s="107"/>
      <c r="AW1000" s="107"/>
      <c r="AX1000" s="107"/>
      <c r="AY1000" s="107"/>
      <c r="AZ1000" s="107"/>
      <c r="BA1000" s="107"/>
      <c r="BB1000" s="107"/>
      <c r="BC1000" s="107"/>
      <c r="BD1000" s="107"/>
      <c r="BE1000" s="107"/>
      <c r="BF1000" s="107"/>
      <c r="BG1000" s="107"/>
      <c r="BH1000" s="107"/>
    </row>
    <row r="1001" spans="1:60" x14ac:dyDescent="0.25">
      <c r="A1001" s="96"/>
      <c r="B1001" s="97"/>
      <c r="C1001" s="97"/>
      <c r="D1001" s="97"/>
      <c r="E1001" s="98"/>
      <c r="F1001" s="99" t="str">
        <f>IF(H1001&lt;&gt;"",H1001-Accueil!N$6+1/60/24,"")</f>
        <v/>
      </c>
      <c r="G1001" s="97"/>
      <c r="H1001" s="99"/>
      <c r="I1001" s="99"/>
      <c r="J1001" s="100"/>
      <c r="K1001" s="101"/>
      <c r="L1001" s="102"/>
      <c r="M1001" s="103"/>
      <c r="N1001" s="104"/>
      <c r="O1001" s="97"/>
      <c r="P1001" s="97"/>
      <c r="Q1001" s="97"/>
      <c r="R1001" s="105"/>
      <c r="S1001" s="97"/>
      <c r="T1001" s="97"/>
      <c r="U1001" s="97" t="str">
        <f t="shared" si="18"/>
        <v/>
      </c>
      <c r="V1001" s="97"/>
      <c r="W1001" s="97"/>
      <c r="X1001" s="97"/>
      <c r="Y1001" s="97"/>
      <c r="Z1001" s="97"/>
      <c r="AA1001" s="97"/>
      <c r="AB1001" s="97"/>
      <c r="AC1001" s="97"/>
      <c r="AD1001" s="97"/>
      <c r="AE1001" s="97"/>
      <c r="AF1001" s="97"/>
      <c r="AG1001" s="97"/>
      <c r="AH1001" s="97"/>
      <c r="AI1001" s="97"/>
      <c r="AJ1001" s="97"/>
      <c r="AK1001" s="97"/>
      <c r="AL1001" s="97"/>
      <c r="AM1001" s="97"/>
      <c r="AN1001" s="97"/>
      <c r="AO1001" s="97"/>
      <c r="AP1001" s="97"/>
      <c r="AQ1001" s="97"/>
      <c r="AR1001" s="97"/>
      <c r="AS1001" s="97"/>
      <c r="AT1001" s="97"/>
      <c r="AU1001" s="97"/>
      <c r="AV1001" s="97"/>
      <c r="AW1001" s="97"/>
      <c r="AX1001" s="97"/>
      <c r="AY1001" s="97"/>
      <c r="AZ1001" s="97"/>
      <c r="BA1001" s="97"/>
      <c r="BB1001" s="97"/>
      <c r="BC1001" s="97"/>
      <c r="BD1001" s="97"/>
      <c r="BE1001" s="97"/>
      <c r="BF1001" s="97"/>
      <c r="BG1001" s="97"/>
      <c r="BH1001" s="97"/>
    </row>
    <row r="1002" spans="1:60" x14ac:dyDescent="0.25">
      <c r="A1002" s="106"/>
      <c r="B1002" s="107"/>
      <c r="C1002" s="107"/>
      <c r="D1002" s="107"/>
      <c r="E1002" s="108"/>
      <c r="F1002" s="109" t="str">
        <f>IF(H1002&lt;&gt;"",H1002-Accueil!N$6+1/60/24,"")</f>
        <v/>
      </c>
      <c r="G1002" s="107"/>
      <c r="H1002" s="109"/>
      <c r="I1002" s="110"/>
      <c r="J1002" s="110"/>
      <c r="K1002" s="111"/>
      <c r="L1002" s="112"/>
      <c r="M1002" s="113"/>
      <c r="N1002" s="114"/>
      <c r="O1002" s="107"/>
      <c r="P1002" s="107"/>
      <c r="Q1002" s="115"/>
      <c r="R1002" s="116"/>
      <c r="S1002" s="107"/>
      <c r="T1002" s="107"/>
      <c r="U1002" s="107" t="str">
        <f t="shared" si="18"/>
        <v/>
      </c>
      <c r="V1002" s="107"/>
      <c r="W1002" s="107"/>
      <c r="X1002" s="107"/>
      <c r="Y1002" s="107"/>
      <c r="Z1002" s="107"/>
      <c r="AA1002" s="107"/>
      <c r="AB1002" s="107"/>
      <c r="AC1002" s="107"/>
      <c r="AD1002" s="107"/>
      <c r="AE1002" s="107"/>
      <c r="AF1002" s="107"/>
      <c r="AG1002" s="107"/>
      <c r="AH1002" s="107"/>
      <c r="AI1002" s="107"/>
      <c r="AJ1002" s="107"/>
      <c r="AK1002" s="107"/>
      <c r="AL1002" s="107"/>
      <c r="A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AW1002" s="107"/>
      <c r="AX1002" s="107"/>
      <c r="AY1002" s="107"/>
      <c r="AZ1002" s="107"/>
      <c r="BA1002" s="107"/>
      <c r="BB1002" s="107"/>
      <c r="BC1002" s="107"/>
      <c r="BD1002" s="107"/>
      <c r="BE1002" s="107"/>
      <c r="BF1002" s="107"/>
      <c r="BG1002" s="107"/>
      <c r="BH1002" s="107"/>
    </row>
    <row r="1003" spans="1:60" x14ac:dyDescent="0.25">
      <c r="A1003" s="96"/>
      <c r="B1003" s="97"/>
      <c r="C1003" s="97"/>
      <c r="D1003" s="97"/>
      <c r="E1003" s="98"/>
      <c r="F1003" s="99" t="str">
        <f>IF(H1003&lt;&gt;"",H1003-Accueil!N$6+1/60/24,"")</f>
        <v/>
      </c>
      <c r="G1003" s="97"/>
      <c r="H1003" s="99"/>
      <c r="I1003" s="99"/>
      <c r="J1003" s="100"/>
      <c r="K1003" s="101"/>
      <c r="L1003" s="102"/>
      <c r="M1003" s="103"/>
      <c r="N1003" s="104"/>
      <c r="O1003" s="97"/>
      <c r="P1003" s="97"/>
      <c r="Q1003" s="97"/>
      <c r="R1003" s="105"/>
      <c r="S1003" s="97"/>
      <c r="T1003" s="97"/>
      <c r="U1003" s="97" t="str">
        <f t="shared" si="18"/>
        <v/>
      </c>
      <c r="V1003" s="97"/>
      <c r="W1003" s="97"/>
      <c r="X1003" s="97"/>
      <c r="Y1003" s="97"/>
      <c r="Z1003" s="97"/>
      <c r="AA1003" s="97"/>
      <c r="AB1003" s="97"/>
      <c r="AC1003" s="97"/>
      <c r="AD1003" s="97"/>
      <c r="AE1003" s="97"/>
      <c r="AF1003" s="97"/>
      <c r="AG1003" s="97"/>
      <c r="AH1003" s="97"/>
      <c r="AI1003" s="97"/>
      <c r="AJ1003" s="97"/>
      <c r="AK1003" s="97"/>
      <c r="AL1003" s="97"/>
      <c r="AM1003" s="97"/>
      <c r="AN1003" s="97"/>
      <c r="AO1003" s="97"/>
      <c r="AP1003" s="97"/>
      <c r="AQ1003" s="97"/>
      <c r="AR1003" s="97"/>
      <c r="AS1003" s="97"/>
      <c r="AT1003" s="97"/>
      <c r="AU1003" s="97"/>
      <c r="AV1003" s="97"/>
      <c r="AW1003" s="97"/>
      <c r="AX1003" s="97"/>
      <c r="AY1003" s="97"/>
      <c r="AZ1003" s="97"/>
      <c r="BA1003" s="97"/>
      <c r="BB1003" s="97"/>
      <c r="BC1003" s="97"/>
      <c r="BD1003" s="97"/>
      <c r="BE1003" s="97"/>
      <c r="BF1003" s="97"/>
      <c r="BG1003" s="97"/>
      <c r="BH1003" s="97"/>
    </row>
    <row r="1004" spans="1:60" x14ac:dyDescent="0.25">
      <c r="A1004" s="106"/>
      <c r="B1004" s="107"/>
      <c r="C1004" s="107"/>
      <c r="D1004" s="107"/>
      <c r="E1004" s="108"/>
      <c r="F1004" s="109" t="str">
        <f>IF(H1004&lt;&gt;"",H1004-Accueil!N$6+1/60/24,"")</f>
        <v/>
      </c>
      <c r="G1004" s="107"/>
      <c r="H1004" s="109"/>
      <c r="I1004" s="110"/>
      <c r="J1004" s="110"/>
      <c r="K1004" s="111"/>
      <c r="L1004" s="112"/>
      <c r="M1004" s="113"/>
      <c r="N1004" s="114"/>
      <c r="O1004" s="107"/>
      <c r="P1004" s="107"/>
      <c r="Q1004" s="115"/>
      <c r="R1004" s="116"/>
      <c r="S1004" s="107"/>
      <c r="T1004" s="107"/>
      <c r="U1004" s="107"/>
      <c r="V1004" s="107"/>
      <c r="W1004" s="107"/>
      <c r="X1004" s="107"/>
      <c r="Y1004" s="107"/>
      <c r="Z1004" s="107"/>
      <c r="AA1004" s="107"/>
      <c r="AB1004" s="107"/>
      <c r="AC1004" s="107"/>
      <c r="AD1004" s="107"/>
      <c r="AE1004" s="107"/>
      <c r="AF1004" s="107"/>
      <c r="AG1004" s="107"/>
      <c r="AH1004" s="107"/>
      <c r="AI1004" s="107"/>
      <c r="AJ1004" s="107"/>
      <c r="AK1004" s="107"/>
      <c r="AL1004" s="107"/>
      <c r="AM1004" s="107"/>
      <c r="AN1004" s="107"/>
      <c r="AO1004" s="107"/>
      <c r="AP1004" s="107"/>
      <c r="AQ1004" s="107"/>
      <c r="AR1004" s="107"/>
      <c r="AS1004" s="107"/>
      <c r="AT1004" s="107"/>
      <c r="AU1004" s="107"/>
      <c r="AV1004" s="107"/>
      <c r="AW1004" s="107"/>
      <c r="AX1004" s="107"/>
      <c r="AY1004" s="107"/>
      <c r="AZ1004" s="107"/>
      <c r="BA1004" s="107"/>
      <c r="BB1004" s="107"/>
      <c r="BC1004" s="107"/>
      <c r="BD1004" s="107"/>
      <c r="BE1004" s="107"/>
      <c r="BF1004" s="107"/>
      <c r="BG1004" s="107"/>
      <c r="BH1004" s="107"/>
    </row>
    <row r="1005" spans="1:60" x14ac:dyDescent="0.25">
      <c r="A1005" s="96"/>
      <c r="B1005" s="97"/>
      <c r="C1005" s="97"/>
      <c r="D1005" s="97"/>
      <c r="E1005" s="98"/>
      <c r="F1005" s="99" t="str">
        <f>IF(H1005&lt;&gt;"",H1005-Accueil!N$6+1/60/24,"")</f>
        <v/>
      </c>
      <c r="G1005" s="97"/>
      <c r="H1005" s="99"/>
      <c r="I1005" s="99"/>
      <c r="J1005" s="100"/>
      <c r="K1005" s="101"/>
      <c r="L1005" s="102"/>
      <c r="M1005" s="103"/>
      <c r="N1005" s="104"/>
      <c r="O1005" s="97"/>
      <c r="P1005" s="97"/>
      <c r="Q1005" s="97"/>
      <c r="R1005" s="105"/>
      <c r="S1005" s="97"/>
      <c r="T1005" s="97"/>
      <c r="U1005" s="97"/>
      <c r="V1005" s="97"/>
      <c r="W1005" s="97"/>
      <c r="X1005" s="97"/>
      <c r="Y1005" s="97"/>
      <c r="Z1005" s="97"/>
      <c r="AA1005" s="97"/>
      <c r="AB1005" s="97"/>
      <c r="AC1005" s="97"/>
      <c r="AD1005" s="97"/>
      <c r="AE1005" s="97"/>
      <c r="AF1005" s="97"/>
      <c r="AG1005" s="97"/>
      <c r="AH1005" s="97"/>
      <c r="AI1005" s="97"/>
      <c r="AJ1005" s="97"/>
      <c r="AK1005" s="97"/>
      <c r="AL1005" s="97"/>
      <c r="AM1005" s="97"/>
      <c r="AN1005" s="97"/>
      <c r="AO1005" s="97"/>
      <c r="AP1005" s="97"/>
      <c r="AQ1005" s="97"/>
      <c r="AR1005" s="97"/>
      <c r="AS1005" s="97"/>
      <c r="AT1005" s="97"/>
      <c r="AU1005" s="97"/>
      <c r="AV1005" s="97"/>
      <c r="AW1005" s="97"/>
      <c r="AX1005" s="97"/>
      <c r="AY1005" s="97"/>
      <c r="AZ1005" s="97"/>
      <c r="BA1005" s="97"/>
      <c r="BB1005" s="97"/>
      <c r="BC1005" s="97"/>
      <c r="BD1005" s="97"/>
      <c r="BE1005" s="97"/>
      <c r="BF1005" s="97"/>
      <c r="BG1005" s="97"/>
      <c r="BH1005" s="97"/>
    </row>
    <row r="1006" spans="1:60" x14ac:dyDescent="0.25">
      <c r="A1006" s="106"/>
      <c r="B1006" s="107"/>
      <c r="C1006" s="107"/>
      <c r="D1006" s="107"/>
      <c r="E1006" s="108"/>
      <c r="F1006" s="109" t="str">
        <f>IF(H1006&lt;&gt;"",H1006-Accueil!N$6+1/60/24,"")</f>
        <v/>
      </c>
      <c r="G1006" s="107"/>
      <c r="H1006" s="109"/>
      <c r="I1006" s="110"/>
      <c r="J1006" s="110"/>
      <c r="K1006" s="111"/>
      <c r="L1006" s="112"/>
      <c r="M1006" s="113"/>
      <c r="N1006" s="114"/>
      <c r="O1006" s="107"/>
      <c r="P1006" s="107"/>
      <c r="Q1006" s="115"/>
      <c r="R1006" s="116"/>
      <c r="S1006" s="107"/>
      <c r="T1006" s="107"/>
      <c r="U1006" s="107"/>
      <c r="V1006" s="107"/>
      <c r="W1006" s="107"/>
      <c r="X1006" s="107"/>
      <c r="Y1006" s="107"/>
      <c r="Z1006" s="107"/>
      <c r="AA1006" s="107"/>
      <c r="AB1006" s="107"/>
      <c r="AC1006" s="107"/>
      <c r="AD1006" s="107"/>
      <c r="AE1006" s="107"/>
      <c r="AF1006" s="107"/>
      <c r="AG1006" s="107"/>
      <c r="AH1006" s="107"/>
      <c r="AI1006" s="107"/>
      <c r="AJ1006" s="107"/>
      <c r="AK1006" s="107"/>
      <c r="AL1006" s="107"/>
      <c r="AM1006" s="107"/>
      <c r="AN1006" s="107"/>
      <c r="AO1006" s="107"/>
      <c r="AP1006" s="107"/>
      <c r="AQ1006" s="107"/>
      <c r="AR1006" s="107"/>
      <c r="AS1006" s="107"/>
      <c r="AT1006" s="107"/>
      <c r="AU1006" s="107"/>
      <c r="AV1006" s="107"/>
      <c r="AW1006" s="107"/>
      <c r="AX1006" s="107"/>
      <c r="AY1006" s="107"/>
      <c r="AZ1006" s="107"/>
      <c r="BA1006" s="107"/>
      <c r="BB1006" s="107"/>
      <c r="BC1006" s="107"/>
      <c r="BD1006" s="107"/>
      <c r="BE1006" s="107"/>
      <c r="BF1006" s="107"/>
      <c r="BG1006" s="107"/>
      <c r="BH1006" s="107"/>
    </row>
    <row r="1007" spans="1:60" x14ac:dyDescent="0.25">
      <c r="A1007" s="96"/>
      <c r="B1007" s="97"/>
      <c r="C1007" s="97"/>
      <c r="D1007" s="97"/>
      <c r="E1007" s="98"/>
      <c r="F1007" s="99" t="str">
        <f>IF(H1007&lt;&gt;"",H1007-Accueil!N$6+1/60/24,"")</f>
        <v/>
      </c>
      <c r="G1007" s="97"/>
      <c r="H1007" s="99"/>
      <c r="I1007" s="99"/>
      <c r="J1007" s="100"/>
      <c r="K1007" s="101"/>
      <c r="L1007" s="102"/>
      <c r="M1007" s="103"/>
      <c r="N1007" s="104"/>
      <c r="O1007" s="97"/>
      <c r="P1007" s="97"/>
      <c r="Q1007" s="97"/>
      <c r="R1007" s="105"/>
      <c r="S1007" s="97"/>
      <c r="T1007" s="97"/>
      <c r="U1007" s="97"/>
      <c r="V1007" s="97"/>
      <c r="W1007" s="97"/>
      <c r="X1007" s="97"/>
      <c r="Y1007" s="97"/>
      <c r="Z1007" s="97"/>
      <c r="AA1007" s="97"/>
      <c r="AB1007" s="97"/>
      <c r="AC1007" s="97"/>
      <c r="AD1007" s="97"/>
      <c r="AE1007" s="97"/>
      <c r="AF1007" s="97"/>
      <c r="AG1007" s="97"/>
      <c r="AH1007" s="97"/>
      <c r="AI1007" s="97"/>
      <c r="AJ1007" s="97"/>
      <c r="AK1007" s="97"/>
      <c r="AL1007" s="97"/>
      <c r="AM1007" s="97"/>
      <c r="AN1007" s="97"/>
      <c r="AO1007" s="97"/>
      <c r="AP1007" s="97"/>
      <c r="AQ1007" s="97"/>
      <c r="AR1007" s="97"/>
      <c r="AS1007" s="97"/>
      <c r="AT1007" s="97"/>
      <c r="AU1007" s="97"/>
      <c r="AV1007" s="97"/>
      <c r="AW1007" s="97"/>
      <c r="AX1007" s="97"/>
      <c r="AY1007" s="97"/>
      <c r="AZ1007" s="97"/>
      <c r="BA1007" s="97"/>
      <c r="BB1007" s="97"/>
      <c r="BC1007" s="97"/>
      <c r="BD1007" s="97"/>
      <c r="BE1007" s="97"/>
      <c r="BF1007" s="97"/>
      <c r="BG1007" s="97"/>
      <c r="BH1007" s="97"/>
    </row>
    <row r="1008" spans="1:60" x14ac:dyDescent="0.25">
      <c r="A1008" s="106"/>
      <c r="B1008" s="107"/>
      <c r="C1008" s="107"/>
      <c r="D1008" s="107"/>
      <c r="E1008" s="108"/>
      <c r="F1008" s="109" t="str">
        <f>IF(H1008&lt;&gt;"",H1008-Accueil!N$6+1/60/24,"")</f>
        <v/>
      </c>
      <c r="G1008" s="107"/>
      <c r="H1008" s="109"/>
      <c r="I1008" s="110"/>
      <c r="J1008" s="110"/>
      <c r="K1008" s="111"/>
      <c r="L1008" s="112"/>
      <c r="M1008" s="113"/>
      <c r="N1008" s="114"/>
      <c r="O1008" s="107"/>
      <c r="P1008" s="107"/>
      <c r="Q1008" s="115"/>
      <c r="R1008" s="116"/>
      <c r="S1008" s="107"/>
      <c r="T1008" s="107"/>
      <c r="U1008" s="107"/>
      <c r="V1008" s="107"/>
      <c r="W1008" s="107"/>
      <c r="X1008" s="107"/>
      <c r="Y1008" s="107"/>
      <c r="Z1008" s="107"/>
      <c r="AA1008" s="107"/>
      <c r="AB1008" s="107"/>
      <c r="AC1008" s="107"/>
      <c r="AD1008" s="107"/>
      <c r="AE1008" s="107"/>
      <c r="AF1008" s="107"/>
      <c r="AG1008" s="107"/>
      <c r="AH1008" s="107"/>
      <c r="AI1008" s="107"/>
      <c r="AJ1008" s="107"/>
      <c r="AK1008" s="107"/>
      <c r="AL1008" s="107"/>
      <c r="AM1008" s="107"/>
      <c r="AN1008" s="107"/>
      <c r="AO1008" s="107"/>
      <c r="AP1008" s="107"/>
      <c r="AQ1008" s="107"/>
      <c r="AR1008" s="107"/>
      <c r="AS1008" s="107"/>
      <c r="AT1008" s="107"/>
      <c r="AU1008" s="107"/>
      <c r="AV1008" s="107"/>
      <c r="AW1008" s="107"/>
      <c r="AX1008" s="107"/>
      <c r="AY1008" s="107"/>
      <c r="AZ1008" s="107"/>
      <c r="BA1008" s="107"/>
      <c r="BB1008" s="107"/>
      <c r="BC1008" s="107"/>
      <c r="BD1008" s="107"/>
      <c r="BE1008" s="107"/>
      <c r="BF1008" s="107"/>
      <c r="BG1008" s="107"/>
      <c r="BH1008" s="107"/>
    </row>
    <row r="1009" spans="1:60" x14ac:dyDescent="0.25">
      <c r="A1009" s="96"/>
      <c r="B1009" s="97"/>
      <c r="C1009" s="97"/>
      <c r="D1009" s="97"/>
      <c r="E1009" s="98"/>
      <c r="F1009" s="99" t="str">
        <f>IF(H1009&lt;&gt;"",H1009-Accueil!N$6+1/60/24,"")</f>
        <v/>
      </c>
      <c r="G1009" s="97"/>
      <c r="H1009" s="99"/>
      <c r="I1009" s="99"/>
      <c r="J1009" s="100"/>
      <c r="K1009" s="101"/>
      <c r="L1009" s="102"/>
      <c r="M1009" s="103"/>
      <c r="N1009" s="104"/>
      <c r="O1009" s="97"/>
      <c r="P1009" s="97"/>
      <c r="Q1009" s="97"/>
      <c r="R1009" s="105"/>
      <c r="S1009" s="97"/>
      <c r="T1009" s="97"/>
      <c r="U1009" s="97"/>
      <c r="V1009" s="97"/>
      <c r="W1009" s="97"/>
      <c r="X1009" s="97"/>
      <c r="Y1009" s="97"/>
      <c r="Z1009" s="97"/>
      <c r="AA1009" s="97"/>
      <c r="AB1009" s="97"/>
      <c r="AC1009" s="97"/>
      <c r="AD1009" s="97"/>
      <c r="AE1009" s="97"/>
      <c r="AF1009" s="97"/>
      <c r="AG1009" s="97"/>
      <c r="AH1009" s="97"/>
      <c r="AI1009" s="97"/>
      <c r="AJ1009" s="97"/>
      <c r="AK1009" s="97"/>
      <c r="AL1009" s="97"/>
      <c r="AM1009" s="97"/>
      <c r="AN1009" s="97"/>
      <c r="AO1009" s="97"/>
      <c r="AP1009" s="97"/>
      <c r="AQ1009" s="97"/>
      <c r="AR1009" s="97"/>
      <c r="AS1009" s="97"/>
      <c r="AT1009" s="97"/>
      <c r="AU1009" s="97"/>
      <c r="AV1009" s="97"/>
      <c r="AW1009" s="97"/>
      <c r="AX1009" s="97"/>
      <c r="AY1009" s="97"/>
      <c r="AZ1009" s="97"/>
      <c r="BA1009" s="97"/>
      <c r="BB1009" s="97"/>
      <c r="BC1009" s="97"/>
      <c r="BD1009" s="97"/>
      <c r="BE1009" s="97"/>
      <c r="BF1009" s="97"/>
      <c r="BG1009" s="97"/>
      <c r="BH1009" s="97"/>
    </row>
    <row r="1010" spans="1:60" x14ac:dyDescent="0.25">
      <c r="A1010" s="106"/>
      <c r="B1010" s="107"/>
      <c r="C1010" s="107"/>
      <c r="D1010" s="107"/>
      <c r="E1010" s="108"/>
      <c r="F1010" s="109" t="str">
        <f>IF(H1010&lt;&gt;"",H1010-Accueil!N$6+1/60/24,"")</f>
        <v/>
      </c>
      <c r="G1010" s="107"/>
      <c r="H1010" s="109"/>
      <c r="I1010" s="110"/>
      <c r="J1010" s="110"/>
      <c r="K1010" s="111"/>
      <c r="L1010" s="112"/>
      <c r="M1010" s="113"/>
      <c r="N1010" s="114"/>
      <c r="O1010" s="107"/>
      <c r="P1010" s="107"/>
      <c r="Q1010" s="115"/>
      <c r="R1010" s="116"/>
      <c r="S1010" s="107"/>
      <c r="T1010" s="107"/>
      <c r="U1010" s="107"/>
      <c r="V1010" s="107"/>
      <c r="W1010" s="107"/>
      <c r="X1010" s="107"/>
      <c r="Y1010" s="107"/>
      <c r="Z1010" s="107"/>
      <c r="AA1010" s="107"/>
      <c r="AB1010" s="107"/>
      <c r="AC1010" s="107"/>
      <c r="AD1010" s="107"/>
      <c r="AE1010" s="107"/>
      <c r="AF1010" s="107"/>
      <c r="AG1010" s="107"/>
      <c r="AH1010" s="107"/>
      <c r="AI1010" s="107"/>
      <c r="AJ1010" s="107"/>
      <c r="AK1010" s="107"/>
      <c r="AL1010" s="107"/>
      <c r="AM1010" s="107"/>
      <c r="AN1010" s="107"/>
      <c r="AO1010" s="107"/>
      <c r="AP1010" s="107"/>
      <c r="AQ1010" s="107"/>
      <c r="AR1010" s="107"/>
      <c r="AS1010" s="107"/>
      <c r="AT1010" s="107"/>
      <c r="AU1010" s="107"/>
      <c r="AV1010" s="107"/>
      <c r="AW1010" s="107"/>
      <c r="AX1010" s="107"/>
      <c r="AY1010" s="107"/>
      <c r="AZ1010" s="107"/>
      <c r="BA1010" s="107"/>
      <c r="BB1010" s="107"/>
      <c r="BC1010" s="107"/>
      <c r="BD1010" s="107"/>
      <c r="BE1010" s="107"/>
      <c r="BF1010" s="107"/>
      <c r="BG1010" s="107"/>
      <c r="BH1010" s="107"/>
    </row>
    <row r="1011" spans="1:60" x14ac:dyDescent="0.25">
      <c r="A1011" s="96"/>
      <c r="B1011" s="97"/>
      <c r="C1011" s="97"/>
      <c r="D1011" s="97"/>
      <c r="E1011" s="98"/>
      <c r="F1011" s="99" t="str">
        <f>IF(H1011&lt;&gt;"",H1011-Accueil!N$6+1/60/24,"")</f>
        <v/>
      </c>
      <c r="G1011" s="97"/>
      <c r="H1011" s="99"/>
      <c r="I1011" s="99"/>
      <c r="J1011" s="100"/>
      <c r="K1011" s="101"/>
      <c r="L1011" s="102"/>
      <c r="M1011" s="103"/>
      <c r="N1011" s="104"/>
      <c r="O1011" s="97"/>
      <c r="P1011" s="97"/>
      <c r="Q1011" s="97"/>
      <c r="R1011" s="105"/>
      <c r="S1011" s="97"/>
      <c r="T1011" s="97"/>
      <c r="U1011" s="97"/>
      <c r="V1011" s="97"/>
      <c r="W1011" s="97"/>
      <c r="X1011" s="97"/>
      <c r="Y1011" s="97"/>
      <c r="Z1011" s="97"/>
      <c r="AA1011" s="97"/>
      <c r="AB1011" s="97"/>
      <c r="AC1011" s="97"/>
      <c r="AD1011" s="97"/>
      <c r="AE1011" s="97"/>
      <c r="AF1011" s="97"/>
      <c r="AG1011" s="97"/>
      <c r="AH1011" s="97"/>
      <c r="AI1011" s="97"/>
      <c r="AJ1011" s="97"/>
      <c r="AK1011" s="97"/>
      <c r="AL1011" s="97"/>
      <c r="AM1011" s="97"/>
      <c r="AN1011" s="97"/>
      <c r="AO1011" s="97"/>
      <c r="AP1011" s="97"/>
      <c r="AQ1011" s="97"/>
      <c r="AR1011" s="97"/>
      <c r="AS1011" s="97"/>
      <c r="AT1011" s="97"/>
      <c r="AU1011" s="97"/>
      <c r="AV1011" s="97"/>
      <c r="AW1011" s="97"/>
      <c r="AX1011" s="97"/>
      <c r="AY1011" s="97"/>
      <c r="AZ1011" s="97"/>
      <c r="BA1011" s="97"/>
      <c r="BB1011" s="97"/>
      <c r="BC1011" s="97"/>
      <c r="BD1011" s="97"/>
      <c r="BE1011" s="97"/>
      <c r="BF1011" s="97"/>
      <c r="BG1011" s="97"/>
      <c r="BH1011" s="97"/>
    </row>
    <row r="1012" spans="1:60" x14ac:dyDescent="0.25">
      <c r="A1012" s="106"/>
      <c r="B1012" s="107"/>
      <c r="C1012" s="107"/>
      <c r="D1012" s="107"/>
      <c r="E1012" s="108"/>
      <c r="F1012" s="109" t="str">
        <f>IF(H1012&lt;&gt;"",H1012-Accueil!N$6+1/60/24,"")</f>
        <v/>
      </c>
      <c r="G1012" s="107"/>
      <c r="H1012" s="109"/>
      <c r="I1012" s="110"/>
      <c r="J1012" s="110"/>
      <c r="K1012" s="111"/>
      <c r="L1012" s="112"/>
      <c r="M1012" s="113"/>
      <c r="N1012" s="114"/>
      <c r="O1012" s="107"/>
      <c r="P1012" s="107"/>
      <c r="Q1012" s="115"/>
      <c r="R1012" s="116"/>
      <c r="S1012" s="107"/>
      <c r="T1012" s="107"/>
      <c r="U1012" s="107"/>
      <c r="V1012" s="107"/>
      <c r="W1012" s="107"/>
      <c r="X1012" s="107"/>
      <c r="Y1012" s="107"/>
      <c r="Z1012" s="107"/>
      <c r="AA1012" s="107"/>
      <c r="AB1012" s="107"/>
      <c r="AC1012" s="107"/>
      <c r="AD1012" s="107"/>
      <c r="AE1012" s="107"/>
      <c r="AF1012" s="107"/>
      <c r="AG1012" s="107"/>
      <c r="AH1012" s="107"/>
      <c r="AI1012" s="107"/>
      <c r="AJ1012" s="107"/>
      <c r="AK1012" s="107"/>
      <c r="AL1012" s="107"/>
      <c r="AM1012" s="107"/>
      <c r="AN1012" s="107"/>
      <c r="AO1012" s="107"/>
      <c r="AP1012" s="107"/>
      <c r="AQ1012" s="107"/>
      <c r="AR1012" s="107"/>
      <c r="AS1012" s="107"/>
      <c r="AT1012" s="107"/>
      <c r="AU1012" s="107"/>
      <c r="AV1012" s="107"/>
      <c r="AW1012" s="107"/>
      <c r="AX1012" s="107"/>
      <c r="AY1012" s="107"/>
      <c r="AZ1012" s="107"/>
      <c r="BA1012" s="107"/>
      <c r="BB1012" s="107"/>
      <c r="BC1012" s="107"/>
      <c r="BD1012" s="107"/>
      <c r="BE1012" s="107"/>
      <c r="BF1012" s="107"/>
      <c r="BG1012" s="107"/>
      <c r="BH1012" s="107"/>
    </row>
    <row r="1013" spans="1:60" x14ac:dyDescent="0.25">
      <c r="A1013" s="96"/>
      <c r="B1013" s="97"/>
      <c r="C1013" s="97"/>
      <c r="D1013" s="97"/>
      <c r="E1013" s="98"/>
      <c r="F1013" s="99" t="str">
        <f>IF(H1013&lt;&gt;"",H1013-Accueil!N$6+1/60/24,"")</f>
        <v/>
      </c>
      <c r="G1013" s="97"/>
      <c r="H1013" s="99"/>
      <c r="I1013" s="99"/>
      <c r="J1013" s="100"/>
      <c r="K1013" s="101"/>
      <c r="L1013" s="102"/>
      <c r="M1013" s="103"/>
      <c r="N1013" s="104"/>
      <c r="O1013" s="97"/>
      <c r="P1013" s="97"/>
      <c r="Q1013" s="97"/>
      <c r="R1013" s="105"/>
      <c r="S1013" s="97"/>
      <c r="T1013" s="97"/>
      <c r="U1013" s="97"/>
      <c r="V1013" s="97"/>
      <c r="W1013" s="97"/>
      <c r="X1013" s="97"/>
      <c r="Y1013" s="97"/>
      <c r="Z1013" s="97"/>
      <c r="AA1013" s="97"/>
      <c r="AB1013" s="97"/>
      <c r="AC1013" s="97"/>
      <c r="AD1013" s="97"/>
      <c r="AE1013" s="97"/>
      <c r="AF1013" s="97"/>
      <c r="AG1013" s="97"/>
      <c r="AH1013" s="97"/>
      <c r="AI1013" s="97"/>
      <c r="AJ1013" s="97"/>
      <c r="AK1013" s="97"/>
      <c r="AL1013" s="97"/>
      <c r="AM1013" s="97"/>
      <c r="AN1013" s="97"/>
      <c r="AO1013" s="97"/>
      <c r="AP1013" s="97"/>
      <c r="AQ1013" s="97"/>
      <c r="AR1013" s="97"/>
      <c r="AS1013" s="97"/>
      <c r="AT1013" s="97"/>
      <c r="AU1013" s="97"/>
      <c r="AV1013" s="97"/>
      <c r="AW1013" s="97"/>
      <c r="AX1013" s="97"/>
      <c r="AY1013" s="97"/>
      <c r="AZ1013" s="97"/>
      <c r="BA1013" s="97"/>
      <c r="BB1013" s="97"/>
      <c r="BC1013" s="97"/>
      <c r="BD1013" s="97"/>
      <c r="BE1013" s="97"/>
      <c r="BF1013" s="97"/>
      <c r="BG1013" s="97"/>
      <c r="BH1013" s="97"/>
    </row>
    <row r="1014" spans="1:60" x14ac:dyDescent="0.25">
      <c r="A1014" s="106"/>
      <c r="B1014" s="107"/>
      <c r="C1014" s="107"/>
      <c r="D1014" s="107"/>
      <c r="E1014" s="108"/>
      <c r="F1014" s="109" t="str">
        <f>IF(H1014&lt;&gt;"",H1014-Accueil!N$6+1/60/24,"")</f>
        <v/>
      </c>
      <c r="G1014" s="107"/>
      <c r="H1014" s="109"/>
      <c r="I1014" s="110"/>
      <c r="J1014" s="110"/>
      <c r="K1014" s="111"/>
      <c r="L1014" s="112"/>
      <c r="M1014" s="113"/>
      <c r="N1014" s="114"/>
      <c r="O1014" s="107"/>
      <c r="P1014" s="107"/>
      <c r="Q1014" s="115"/>
      <c r="R1014" s="116"/>
      <c r="S1014" s="107"/>
      <c r="T1014" s="107"/>
      <c r="U1014" s="107"/>
      <c r="V1014" s="107"/>
      <c r="W1014" s="107"/>
      <c r="X1014" s="107"/>
      <c r="Y1014" s="107"/>
      <c r="Z1014" s="107"/>
      <c r="AA1014" s="107"/>
      <c r="AB1014" s="107"/>
      <c r="AC1014" s="107"/>
      <c r="AD1014" s="107"/>
      <c r="AE1014" s="107"/>
      <c r="AF1014" s="107"/>
      <c r="AG1014" s="107"/>
      <c r="AH1014" s="107"/>
      <c r="AI1014" s="107"/>
      <c r="AJ1014" s="107"/>
      <c r="AK1014" s="107"/>
      <c r="AL1014" s="107"/>
      <c r="AM1014" s="107"/>
      <c r="AN1014" s="107"/>
      <c r="AO1014" s="107"/>
      <c r="AP1014" s="107"/>
      <c r="AQ1014" s="107"/>
      <c r="AR1014" s="107"/>
      <c r="AS1014" s="107"/>
      <c r="AT1014" s="107"/>
      <c r="AU1014" s="107"/>
      <c r="AV1014" s="107"/>
      <c r="AW1014" s="107"/>
      <c r="AX1014" s="107"/>
      <c r="AY1014" s="107"/>
      <c r="AZ1014" s="107"/>
      <c r="BA1014" s="107"/>
      <c r="BB1014" s="107"/>
      <c r="BC1014" s="107"/>
      <c r="BD1014" s="107"/>
      <c r="BE1014" s="107"/>
      <c r="BF1014" s="107"/>
      <c r="BG1014" s="107"/>
      <c r="BH1014" s="107"/>
    </row>
    <row r="1015" spans="1:60" x14ac:dyDescent="0.25">
      <c r="A1015" s="96"/>
      <c r="B1015" s="97"/>
      <c r="C1015" s="97"/>
      <c r="D1015" s="97"/>
      <c r="E1015" s="98"/>
      <c r="F1015" s="99" t="str">
        <f>IF(H1015&lt;&gt;"",H1015-Accueil!N$6+1/60/24,"")</f>
        <v/>
      </c>
      <c r="G1015" s="97"/>
      <c r="H1015" s="99"/>
      <c r="I1015" s="99"/>
      <c r="J1015" s="100"/>
      <c r="K1015" s="101"/>
      <c r="L1015" s="102"/>
      <c r="M1015" s="103"/>
      <c r="N1015" s="104"/>
      <c r="O1015" s="97"/>
      <c r="P1015" s="97"/>
      <c r="Q1015" s="97"/>
      <c r="R1015" s="105"/>
      <c r="S1015" s="97"/>
      <c r="T1015" s="97"/>
      <c r="U1015" s="97"/>
      <c r="V1015" s="97"/>
      <c r="W1015" s="97"/>
      <c r="X1015" s="97"/>
      <c r="Y1015" s="97"/>
      <c r="Z1015" s="97"/>
      <c r="AA1015" s="97"/>
      <c r="AB1015" s="97"/>
      <c r="AC1015" s="97"/>
      <c r="AD1015" s="97"/>
      <c r="AE1015" s="97"/>
      <c r="AF1015" s="97"/>
      <c r="AG1015" s="97"/>
      <c r="AH1015" s="97"/>
      <c r="AI1015" s="97"/>
      <c r="AJ1015" s="97"/>
      <c r="AK1015" s="97"/>
      <c r="AL1015" s="97"/>
      <c r="AM1015" s="97"/>
      <c r="AN1015" s="97"/>
      <c r="AO1015" s="97"/>
      <c r="AP1015" s="97"/>
      <c r="AQ1015" s="97"/>
      <c r="AR1015" s="97"/>
      <c r="AS1015" s="97"/>
      <c r="AT1015" s="97"/>
      <c r="AU1015" s="97"/>
      <c r="AV1015" s="97"/>
      <c r="AW1015" s="97"/>
      <c r="AX1015" s="97"/>
      <c r="AY1015" s="97"/>
      <c r="AZ1015" s="97"/>
      <c r="BA1015" s="97"/>
      <c r="BB1015" s="97"/>
      <c r="BC1015" s="97"/>
      <c r="BD1015" s="97"/>
      <c r="BE1015" s="97"/>
      <c r="BF1015" s="97"/>
      <c r="BG1015" s="97"/>
      <c r="BH1015" s="97"/>
    </row>
    <row r="1016" spans="1:60" x14ac:dyDescent="0.25">
      <c r="A1016" s="106"/>
      <c r="B1016" s="107"/>
      <c r="C1016" s="107"/>
      <c r="D1016" s="107"/>
      <c r="E1016" s="108"/>
      <c r="F1016" s="109"/>
      <c r="G1016" s="107"/>
      <c r="H1016" s="109"/>
      <c r="I1016" s="110"/>
      <c r="J1016" s="110"/>
      <c r="K1016" s="111"/>
      <c r="L1016" s="112"/>
      <c r="M1016" s="113"/>
      <c r="N1016" s="114"/>
      <c r="O1016" s="107"/>
      <c r="P1016" s="107"/>
      <c r="Q1016" s="115"/>
      <c r="R1016" s="116"/>
      <c r="S1016" s="107"/>
      <c r="T1016" s="107"/>
      <c r="U1016" s="107"/>
      <c r="V1016" s="107"/>
      <c r="W1016" s="107"/>
      <c r="X1016" s="107"/>
      <c r="Y1016" s="107"/>
      <c r="Z1016" s="107"/>
      <c r="AA1016" s="107"/>
      <c r="AB1016" s="107"/>
      <c r="AC1016" s="107"/>
      <c r="AD1016" s="107"/>
      <c r="AE1016" s="107"/>
      <c r="AF1016" s="107"/>
      <c r="AG1016" s="107"/>
      <c r="AH1016" s="107"/>
      <c r="AI1016" s="107"/>
      <c r="AJ1016" s="107"/>
      <c r="AK1016" s="107"/>
      <c r="AL1016" s="107"/>
      <c r="AM1016" s="107"/>
      <c r="AN1016" s="107"/>
      <c r="AO1016" s="107"/>
      <c r="AP1016" s="107"/>
      <c r="AQ1016" s="107"/>
      <c r="AR1016" s="107"/>
      <c r="AS1016" s="107"/>
      <c r="AT1016" s="107"/>
      <c r="AU1016" s="107"/>
      <c r="AV1016" s="107"/>
      <c r="AW1016" s="107"/>
      <c r="AX1016" s="107"/>
      <c r="AY1016" s="107"/>
      <c r="AZ1016" s="107"/>
      <c r="BA1016" s="107"/>
      <c r="BB1016" s="107"/>
      <c r="BC1016" s="107"/>
      <c r="BD1016" s="107"/>
      <c r="BE1016" s="107"/>
      <c r="BF1016" s="107"/>
      <c r="BG1016" s="107"/>
      <c r="BH1016" s="107"/>
    </row>
    <row r="1017" spans="1:60" x14ac:dyDescent="0.25">
      <c r="A1017" s="96"/>
      <c r="B1017" s="97"/>
      <c r="C1017" s="97"/>
      <c r="D1017" s="97"/>
      <c r="E1017" s="98"/>
      <c r="F1017" s="99"/>
      <c r="G1017" s="97"/>
      <c r="H1017" s="99"/>
      <c r="I1017" s="99"/>
      <c r="J1017" s="100"/>
      <c r="K1017" s="101"/>
      <c r="L1017" s="102"/>
      <c r="M1017" s="103"/>
      <c r="N1017" s="104"/>
      <c r="O1017" s="97"/>
      <c r="P1017" s="97"/>
      <c r="Q1017" s="97"/>
      <c r="R1017" s="105"/>
      <c r="S1017" s="97"/>
      <c r="T1017" s="97"/>
      <c r="U1017" s="97"/>
      <c r="V1017" s="97"/>
      <c r="W1017" s="97"/>
      <c r="X1017" s="97"/>
      <c r="Y1017" s="97"/>
      <c r="Z1017" s="97"/>
      <c r="AA1017" s="97"/>
      <c r="AB1017" s="97"/>
      <c r="AC1017" s="97"/>
      <c r="AD1017" s="97"/>
      <c r="AE1017" s="97"/>
      <c r="AF1017" s="97"/>
      <c r="AG1017" s="97"/>
      <c r="AH1017" s="97"/>
      <c r="AI1017" s="97"/>
      <c r="AJ1017" s="97"/>
      <c r="AK1017" s="97"/>
      <c r="AL1017" s="97"/>
      <c r="AM1017" s="97"/>
      <c r="AN1017" s="97"/>
      <c r="AO1017" s="97"/>
      <c r="AP1017" s="97"/>
      <c r="AQ1017" s="97"/>
      <c r="AR1017" s="97"/>
      <c r="AS1017" s="97"/>
      <c r="AT1017" s="97"/>
      <c r="AU1017" s="97"/>
      <c r="AV1017" s="97"/>
      <c r="AW1017" s="97"/>
      <c r="AX1017" s="97"/>
      <c r="AY1017" s="97"/>
      <c r="AZ1017" s="97"/>
      <c r="BA1017" s="97"/>
      <c r="BB1017" s="97"/>
      <c r="BC1017" s="97"/>
      <c r="BD1017" s="97"/>
      <c r="BE1017" s="97"/>
      <c r="BF1017" s="97"/>
      <c r="BG1017" s="97"/>
      <c r="BH1017" s="97"/>
    </row>
    <row r="1018" spans="1:60" x14ac:dyDescent="0.25">
      <c r="A1018" s="106"/>
      <c r="B1018" s="107"/>
      <c r="C1018" s="107"/>
      <c r="D1018" s="107"/>
      <c r="E1018" s="108"/>
      <c r="F1018" s="109"/>
      <c r="G1018" s="107"/>
      <c r="H1018" s="109"/>
      <c r="I1018" s="110"/>
      <c r="J1018" s="110"/>
      <c r="K1018" s="111"/>
      <c r="L1018" s="112"/>
      <c r="M1018" s="113"/>
      <c r="N1018" s="114"/>
      <c r="O1018" s="107"/>
      <c r="P1018" s="107"/>
      <c r="Q1018" s="115"/>
      <c r="R1018" s="116"/>
      <c r="S1018" s="107"/>
      <c r="T1018" s="107"/>
      <c r="U1018" s="107"/>
      <c r="V1018" s="107"/>
      <c r="W1018" s="107"/>
      <c r="X1018" s="107"/>
      <c r="Y1018" s="107"/>
      <c r="Z1018" s="107"/>
      <c r="AA1018" s="107"/>
      <c r="AB1018" s="107"/>
      <c r="AC1018" s="107"/>
      <c r="AD1018" s="107"/>
      <c r="AE1018" s="107"/>
      <c r="AF1018" s="107"/>
      <c r="AG1018" s="107"/>
      <c r="AH1018" s="107"/>
      <c r="AI1018" s="107"/>
      <c r="AJ1018" s="107"/>
      <c r="AK1018" s="107"/>
      <c r="AL1018" s="107"/>
      <c r="AM1018" s="107"/>
      <c r="AN1018" s="107"/>
      <c r="AO1018" s="107"/>
      <c r="AP1018" s="107"/>
      <c r="AQ1018" s="107"/>
      <c r="AR1018" s="107"/>
      <c r="AS1018" s="107"/>
      <c r="AT1018" s="107"/>
      <c r="AU1018" s="107"/>
      <c r="AV1018" s="107"/>
      <c r="AW1018" s="107"/>
      <c r="AX1018" s="107"/>
      <c r="AY1018" s="107"/>
      <c r="AZ1018" s="107"/>
      <c r="BA1018" s="107"/>
      <c r="BB1018" s="107"/>
      <c r="BC1018" s="107"/>
      <c r="BD1018" s="107"/>
      <c r="BE1018" s="107"/>
      <c r="BF1018" s="107"/>
      <c r="BG1018" s="107"/>
      <c r="BH1018" s="107"/>
    </row>
    <row r="1019" spans="1:60" x14ac:dyDescent="0.25">
      <c r="A1019" s="96"/>
      <c r="B1019" s="97"/>
      <c r="C1019" s="97"/>
      <c r="D1019" s="97"/>
      <c r="E1019" s="98"/>
      <c r="F1019" s="99"/>
      <c r="G1019" s="97"/>
      <c r="H1019" s="99"/>
      <c r="I1019" s="99"/>
      <c r="J1019" s="100"/>
      <c r="K1019" s="101"/>
      <c r="L1019" s="102"/>
      <c r="M1019" s="103"/>
      <c r="N1019" s="104"/>
      <c r="O1019" s="97"/>
      <c r="P1019" s="97"/>
      <c r="Q1019" s="97"/>
      <c r="R1019" s="105"/>
      <c r="S1019" s="97"/>
      <c r="T1019" s="97"/>
      <c r="U1019" s="97"/>
      <c r="V1019" s="97"/>
      <c r="W1019" s="97"/>
      <c r="X1019" s="97"/>
      <c r="Y1019" s="97"/>
      <c r="Z1019" s="97"/>
      <c r="AA1019" s="97"/>
      <c r="AB1019" s="97"/>
      <c r="AC1019" s="97"/>
      <c r="AD1019" s="97"/>
      <c r="AE1019" s="97"/>
      <c r="AF1019" s="97"/>
      <c r="AG1019" s="97"/>
      <c r="AH1019" s="97"/>
      <c r="AI1019" s="97"/>
      <c r="AJ1019" s="97"/>
      <c r="AK1019" s="97"/>
      <c r="AL1019" s="97"/>
      <c r="AM1019" s="97"/>
      <c r="AN1019" s="97"/>
      <c r="AO1019" s="97"/>
      <c r="AP1019" s="97"/>
      <c r="AQ1019" s="97"/>
      <c r="AR1019" s="97"/>
      <c r="AS1019" s="97"/>
      <c r="AT1019" s="97"/>
      <c r="AU1019" s="97"/>
      <c r="AV1019" s="97"/>
      <c r="AW1019" s="97"/>
      <c r="AX1019" s="97"/>
      <c r="AY1019" s="97"/>
      <c r="AZ1019" s="97"/>
      <c r="BA1019" s="97"/>
      <c r="BB1019" s="97"/>
      <c r="BC1019" s="97"/>
      <c r="BD1019" s="97"/>
      <c r="BE1019" s="97"/>
      <c r="BF1019" s="97"/>
      <c r="BG1019" s="97"/>
      <c r="BH1019" s="97"/>
    </row>
    <row r="1020" spans="1:60" x14ac:dyDescent="0.25">
      <c r="A1020" s="106"/>
      <c r="B1020" s="107"/>
      <c r="C1020" s="107"/>
      <c r="D1020" s="107"/>
      <c r="E1020" s="108"/>
      <c r="F1020" s="109"/>
      <c r="G1020" s="107"/>
      <c r="H1020" s="109"/>
      <c r="I1020" s="110"/>
      <c r="J1020" s="110"/>
      <c r="K1020" s="111"/>
      <c r="L1020" s="112"/>
      <c r="M1020" s="113"/>
      <c r="N1020" s="114"/>
      <c r="O1020" s="107"/>
      <c r="P1020" s="107"/>
      <c r="Q1020" s="115"/>
      <c r="R1020" s="116"/>
      <c r="S1020" s="107"/>
      <c r="T1020" s="107"/>
      <c r="U1020" s="107"/>
      <c r="V1020" s="107"/>
      <c r="W1020" s="107"/>
      <c r="X1020" s="107"/>
      <c r="Y1020" s="107"/>
      <c r="Z1020" s="107"/>
      <c r="AA1020" s="107"/>
      <c r="AB1020" s="107"/>
      <c r="AC1020" s="107"/>
      <c r="AD1020" s="107"/>
      <c r="AE1020" s="107"/>
      <c r="AF1020" s="107"/>
      <c r="AG1020" s="107"/>
      <c r="AH1020" s="107"/>
      <c r="AI1020" s="107"/>
      <c r="AJ1020" s="107"/>
      <c r="AK1020" s="107"/>
      <c r="AL1020" s="107"/>
      <c r="AM1020" s="107"/>
      <c r="AN1020" s="107"/>
      <c r="AO1020" s="107"/>
      <c r="AP1020" s="107"/>
      <c r="AQ1020" s="107"/>
      <c r="AR1020" s="107"/>
      <c r="AS1020" s="107"/>
      <c r="AT1020" s="107"/>
      <c r="AU1020" s="107"/>
      <c r="AV1020" s="107"/>
      <c r="AW1020" s="107"/>
      <c r="AX1020" s="107"/>
      <c r="AY1020" s="107"/>
      <c r="AZ1020" s="107"/>
      <c r="BA1020" s="107"/>
      <c r="BB1020" s="107"/>
      <c r="BC1020" s="107"/>
      <c r="BD1020" s="107"/>
      <c r="BE1020" s="107"/>
      <c r="BF1020" s="107"/>
      <c r="BG1020" s="107"/>
      <c r="BH1020" s="107"/>
    </row>
    <row r="1021" spans="1:60" x14ac:dyDescent="0.25">
      <c r="A1021" s="96"/>
      <c r="B1021" s="97"/>
      <c r="C1021" s="97"/>
      <c r="D1021" s="97"/>
      <c r="E1021" s="98"/>
      <c r="F1021" s="99"/>
      <c r="G1021" s="97"/>
      <c r="H1021" s="99"/>
      <c r="I1021" s="99"/>
      <c r="J1021" s="100"/>
      <c r="K1021" s="101"/>
      <c r="L1021" s="102"/>
      <c r="M1021" s="103"/>
      <c r="N1021" s="104"/>
      <c r="O1021" s="97"/>
      <c r="P1021" s="97"/>
      <c r="Q1021" s="97"/>
      <c r="R1021" s="105"/>
      <c r="S1021" s="97"/>
      <c r="T1021" s="97"/>
      <c r="U1021" s="97"/>
      <c r="V1021" s="97"/>
      <c r="W1021" s="97"/>
      <c r="X1021" s="97"/>
      <c r="Y1021" s="97"/>
      <c r="Z1021" s="97"/>
      <c r="AA1021" s="97"/>
      <c r="AB1021" s="97"/>
      <c r="AC1021" s="97"/>
      <c r="AD1021" s="97"/>
      <c r="AE1021" s="97"/>
      <c r="AF1021" s="97"/>
      <c r="AG1021" s="97"/>
      <c r="AH1021" s="97"/>
      <c r="AI1021" s="97"/>
      <c r="AJ1021" s="97"/>
      <c r="AK1021" s="97"/>
      <c r="AL1021" s="97"/>
      <c r="AM1021" s="97"/>
      <c r="AN1021" s="97"/>
      <c r="AO1021" s="97"/>
      <c r="AP1021" s="97"/>
      <c r="AQ1021" s="97"/>
      <c r="AR1021" s="97"/>
      <c r="AS1021" s="97"/>
      <c r="AT1021" s="97"/>
      <c r="AU1021" s="97"/>
      <c r="AV1021" s="97"/>
      <c r="AW1021" s="97"/>
      <c r="AX1021" s="97"/>
      <c r="AY1021" s="97"/>
      <c r="AZ1021" s="97"/>
      <c r="BA1021" s="97"/>
      <c r="BB1021" s="97"/>
      <c r="BC1021" s="97"/>
      <c r="BD1021" s="97"/>
      <c r="BE1021" s="97"/>
      <c r="BF1021" s="97"/>
      <c r="BG1021" s="97"/>
      <c r="BH1021" s="97"/>
    </row>
    <row r="1022" spans="1:60" x14ac:dyDescent="0.25">
      <c r="A1022" s="106"/>
      <c r="B1022" s="107"/>
      <c r="C1022" s="107"/>
      <c r="D1022" s="107"/>
      <c r="E1022" s="108"/>
      <c r="F1022" s="109"/>
      <c r="G1022" s="107"/>
      <c r="H1022" s="109"/>
      <c r="I1022" s="110"/>
      <c r="J1022" s="110"/>
      <c r="K1022" s="111"/>
      <c r="L1022" s="112"/>
      <c r="M1022" s="113"/>
      <c r="N1022" s="114"/>
      <c r="O1022" s="107"/>
      <c r="P1022" s="107"/>
      <c r="Q1022" s="115"/>
      <c r="R1022" s="116"/>
      <c r="S1022" s="107"/>
      <c r="T1022" s="107"/>
      <c r="U1022" s="107"/>
      <c r="V1022" s="107"/>
      <c r="W1022" s="107"/>
      <c r="X1022" s="107"/>
      <c r="Y1022" s="107"/>
      <c r="Z1022" s="107"/>
      <c r="AA1022" s="107"/>
      <c r="AB1022" s="107"/>
      <c r="AC1022" s="107"/>
      <c r="AD1022" s="107"/>
      <c r="AE1022" s="107"/>
      <c r="AF1022" s="107"/>
      <c r="AG1022" s="107"/>
      <c r="AH1022" s="107"/>
      <c r="AI1022" s="107"/>
      <c r="AJ1022" s="107"/>
      <c r="AK1022" s="107"/>
      <c r="AL1022" s="107"/>
      <c r="AM1022" s="107"/>
      <c r="AN1022" s="107"/>
      <c r="AO1022" s="107"/>
      <c r="AP1022" s="107"/>
      <c r="AQ1022" s="107"/>
      <c r="AR1022" s="107"/>
      <c r="AS1022" s="107"/>
      <c r="AT1022" s="107"/>
      <c r="AU1022" s="107"/>
      <c r="AV1022" s="107"/>
      <c r="AW1022" s="107"/>
      <c r="AX1022" s="107"/>
      <c r="AY1022" s="107"/>
      <c r="AZ1022" s="107"/>
      <c r="BA1022" s="107"/>
      <c r="BB1022" s="107"/>
      <c r="BC1022" s="107"/>
      <c r="BD1022" s="107"/>
      <c r="BE1022" s="107"/>
      <c r="BF1022" s="107"/>
      <c r="BG1022" s="107"/>
      <c r="BH1022" s="107"/>
    </row>
    <row r="1023" spans="1:60" x14ac:dyDescent="0.25">
      <c r="A1023" s="96"/>
      <c r="B1023" s="97"/>
      <c r="C1023" s="97"/>
      <c r="D1023" s="97"/>
      <c r="E1023" s="98"/>
      <c r="F1023" s="99"/>
      <c r="G1023" s="97"/>
      <c r="H1023" s="99"/>
      <c r="I1023" s="99"/>
      <c r="J1023" s="100"/>
      <c r="K1023" s="101"/>
      <c r="L1023" s="102"/>
      <c r="M1023" s="103"/>
      <c r="N1023" s="104"/>
      <c r="O1023" s="97"/>
      <c r="P1023" s="97"/>
      <c r="Q1023" s="97"/>
      <c r="R1023" s="105"/>
      <c r="S1023" s="97"/>
      <c r="T1023" s="97"/>
      <c r="U1023" s="97"/>
      <c r="V1023" s="97"/>
      <c r="W1023" s="97"/>
      <c r="X1023" s="97"/>
      <c r="Y1023" s="97"/>
      <c r="Z1023" s="97"/>
      <c r="AA1023" s="97"/>
      <c r="AB1023" s="97"/>
      <c r="AC1023" s="97"/>
      <c r="AD1023" s="97"/>
      <c r="AE1023" s="97"/>
      <c r="AF1023" s="97"/>
      <c r="AG1023" s="97"/>
      <c r="AH1023" s="97"/>
      <c r="AI1023" s="97"/>
      <c r="AJ1023" s="97"/>
      <c r="AK1023" s="97"/>
      <c r="AL1023" s="97"/>
      <c r="AM1023" s="97"/>
      <c r="AN1023" s="97"/>
      <c r="AO1023" s="97"/>
      <c r="AP1023" s="97"/>
      <c r="AQ1023" s="97"/>
      <c r="AR1023" s="97"/>
      <c r="AS1023" s="97"/>
      <c r="AT1023" s="97"/>
      <c r="AU1023" s="97"/>
      <c r="AV1023" s="97"/>
      <c r="AW1023" s="97"/>
      <c r="AX1023" s="97"/>
      <c r="AY1023" s="97"/>
      <c r="AZ1023" s="97"/>
      <c r="BA1023" s="97"/>
      <c r="BB1023" s="97"/>
      <c r="BC1023" s="97"/>
      <c r="BD1023" s="97"/>
      <c r="BE1023" s="97"/>
      <c r="BF1023" s="97"/>
      <c r="BG1023" s="97"/>
      <c r="BH1023" s="97"/>
    </row>
    <row r="1024" spans="1:60" x14ac:dyDescent="0.25">
      <c r="A1024" s="106"/>
      <c r="B1024" s="107"/>
      <c r="C1024" s="107"/>
      <c r="D1024" s="107"/>
      <c r="E1024" s="108"/>
      <c r="F1024" s="109"/>
      <c r="G1024" s="107"/>
      <c r="H1024" s="109"/>
      <c r="I1024" s="110"/>
      <c r="J1024" s="110"/>
      <c r="K1024" s="111"/>
      <c r="L1024" s="112"/>
      <c r="M1024" s="113"/>
      <c r="N1024" s="114"/>
      <c r="O1024" s="107"/>
      <c r="P1024" s="107"/>
      <c r="Q1024" s="115"/>
      <c r="R1024" s="116"/>
      <c r="S1024" s="107"/>
      <c r="T1024" s="107"/>
      <c r="U1024" s="107"/>
      <c r="V1024" s="107"/>
      <c r="W1024" s="107"/>
      <c r="X1024" s="107"/>
      <c r="Y1024" s="107"/>
      <c r="Z1024" s="107"/>
      <c r="AA1024" s="107"/>
      <c r="AB1024" s="107"/>
      <c r="AC1024" s="107"/>
      <c r="AD1024" s="107"/>
      <c r="AE1024" s="107"/>
      <c r="AF1024" s="107"/>
      <c r="AG1024" s="107"/>
      <c r="AH1024" s="107"/>
      <c r="AI1024" s="107"/>
      <c r="AJ1024" s="107"/>
      <c r="AK1024" s="107"/>
      <c r="AL1024" s="107"/>
      <c r="AM1024" s="107"/>
      <c r="AN1024" s="107"/>
      <c r="AO1024" s="107"/>
      <c r="AP1024" s="107"/>
      <c r="AQ1024" s="107"/>
      <c r="AR1024" s="107"/>
      <c r="AS1024" s="107"/>
      <c r="AT1024" s="107"/>
      <c r="AU1024" s="107"/>
      <c r="AV1024" s="107"/>
      <c r="AW1024" s="107"/>
      <c r="AX1024" s="107"/>
      <c r="AY1024" s="107"/>
      <c r="AZ1024" s="107"/>
      <c r="BA1024" s="107"/>
      <c r="BB1024" s="107"/>
      <c r="BC1024" s="107"/>
      <c r="BD1024" s="107"/>
      <c r="BE1024" s="107"/>
      <c r="BF1024" s="107"/>
      <c r="BG1024" s="107"/>
      <c r="BH1024" s="107"/>
    </row>
    <row r="1025" spans="1:60" x14ac:dyDescent="0.25">
      <c r="A1025" s="96"/>
      <c r="B1025" s="97"/>
      <c r="C1025" s="97"/>
      <c r="D1025" s="97"/>
      <c r="E1025" s="98"/>
      <c r="F1025" s="99"/>
      <c r="G1025" s="97"/>
      <c r="H1025" s="99"/>
      <c r="I1025" s="99"/>
      <c r="J1025" s="100"/>
      <c r="K1025" s="101"/>
      <c r="L1025" s="102"/>
      <c r="M1025" s="103"/>
      <c r="N1025" s="104"/>
      <c r="O1025" s="97"/>
      <c r="P1025" s="97"/>
      <c r="Q1025" s="97"/>
      <c r="R1025" s="105"/>
      <c r="S1025" s="97"/>
      <c r="T1025" s="97"/>
      <c r="U1025" s="97"/>
      <c r="V1025" s="97"/>
      <c r="W1025" s="97"/>
      <c r="X1025" s="97"/>
      <c r="Y1025" s="97"/>
      <c r="Z1025" s="97"/>
      <c r="AA1025" s="97"/>
      <c r="AB1025" s="97"/>
      <c r="AC1025" s="97"/>
      <c r="AD1025" s="97"/>
      <c r="AE1025" s="97"/>
      <c r="AF1025" s="97"/>
      <c r="AG1025" s="97"/>
      <c r="AH1025" s="97"/>
      <c r="AI1025" s="97"/>
      <c r="AJ1025" s="97"/>
      <c r="AK1025" s="97"/>
      <c r="AL1025" s="97"/>
      <c r="AM1025" s="97"/>
      <c r="AN1025" s="97"/>
      <c r="AO1025" s="97"/>
      <c r="AP1025" s="97"/>
      <c r="AQ1025" s="97"/>
      <c r="AR1025" s="97"/>
      <c r="AS1025" s="97"/>
      <c r="AT1025" s="97"/>
      <c r="AU1025" s="97"/>
      <c r="AV1025" s="97"/>
      <c r="AW1025" s="97"/>
      <c r="AX1025" s="97"/>
      <c r="AY1025" s="97"/>
      <c r="AZ1025" s="97"/>
      <c r="BA1025" s="97"/>
      <c r="BB1025" s="97"/>
      <c r="BC1025" s="97"/>
      <c r="BD1025" s="97"/>
      <c r="BE1025" s="97"/>
      <c r="BF1025" s="97"/>
      <c r="BG1025" s="97"/>
      <c r="BH1025" s="97"/>
    </row>
    <row r="1026" spans="1:60" x14ac:dyDescent="0.25">
      <c r="A1026" s="106"/>
      <c r="B1026" s="107"/>
      <c r="C1026" s="107"/>
      <c r="D1026" s="107"/>
      <c r="E1026" s="108"/>
      <c r="F1026" s="109"/>
      <c r="G1026" s="107"/>
      <c r="H1026" s="109"/>
      <c r="I1026" s="110"/>
      <c r="J1026" s="110"/>
      <c r="K1026" s="111"/>
      <c r="L1026" s="112"/>
      <c r="M1026" s="113"/>
      <c r="N1026" s="114"/>
      <c r="O1026" s="107"/>
      <c r="P1026" s="107"/>
      <c r="Q1026" s="115"/>
      <c r="R1026" s="116"/>
      <c r="S1026" s="107"/>
      <c r="T1026" s="107"/>
      <c r="U1026" s="107"/>
      <c r="V1026" s="107"/>
      <c r="W1026" s="107"/>
      <c r="X1026" s="107"/>
      <c r="Y1026" s="107"/>
      <c r="Z1026" s="107"/>
      <c r="AA1026" s="107"/>
      <c r="AB1026" s="107"/>
      <c r="AC1026" s="107"/>
      <c r="AD1026" s="107"/>
      <c r="AE1026" s="107"/>
      <c r="AF1026" s="107"/>
      <c r="AG1026" s="107"/>
      <c r="AH1026" s="107"/>
      <c r="AI1026" s="107"/>
      <c r="AJ1026" s="107"/>
      <c r="AK1026" s="107"/>
      <c r="AL1026" s="107"/>
      <c r="AM1026" s="107"/>
      <c r="AN1026" s="107"/>
      <c r="AO1026" s="107"/>
      <c r="AP1026" s="107"/>
      <c r="AQ1026" s="107"/>
      <c r="AR1026" s="107"/>
      <c r="AS1026" s="107"/>
      <c r="AT1026" s="107"/>
      <c r="AU1026" s="107"/>
      <c r="AV1026" s="107"/>
      <c r="AW1026" s="107"/>
      <c r="AX1026" s="107"/>
      <c r="AY1026" s="107"/>
      <c r="AZ1026" s="107"/>
      <c r="BA1026" s="107"/>
      <c r="BB1026" s="107"/>
      <c r="BC1026" s="107"/>
      <c r="BD1026" s="107"/>
      <c r="BE1026" s="107"/>
      <c r="BF1026" s="107"/>
      <c r="BG1026" s="107"/>
      <c r="BH1026" s="107"/>
    </row>
    <row r="1027" spans="1:60" x14ac:dyDescent="0.25">
      <c r="A1027" s="96"/>
      <c r="B1027" s="97"/>
      <c r="C1027" s="97"/>
      <c r="D1027" s="97"/>
      <c r="E1027" s="98"/>
      <c r="F1027" s="99"/>
      <c r="G1027" s="97"/>
      <c r="H1027" s="99"/>
      <c r="I1027" s="99"/>
      <c r="J1027" s="100"/>
      <c r="K1027" s="101"/>
      <c r="L1027" s="102"/>
      <c r="M1027" s="103"/>
      <c r="N1027" s="104"/>
      <c r="O1027" s="97"/>
      <c r="P1027" s="97"/>
      <c r="Q1027" s="97"/>
      <c r="R1027" s="105"/>
      <c r="S1027" s="97"/>
      <c r="T1027" s="97"/>
      <c r="U1027" s="97"/>
      <c r="V1027" s="97"/>
      <c r="W1027" s="97"/>
      <c r="X1027" s="97"/>
      <c r="Y1027" s="97"/>
      <c r="Z1027" s="97"/>
      <c r="AA1027" s="97"/>
      <c r="AB1027" s="97"/>
      <c r="AC1027" s="97"/>
      <c r="AD1027" s="97"/>
      <c r="AE1027" s="97"/>
      <c r="AF1027" s="97"/>
      <c r="AG1027" s="97"/>
      <c r="AH1027" s="97"/>
      <c r="AI1027" s="97"/>
      <c r="AJ1027" s="97"/>
      <c r="AK1027" s="97"/>
      <c r="AL1027" s="97"/>
      <c r="AM1027" s="97"/>
      <c r="AN1027" s="97"/>
      <c r="AO1027" s="97"/>
      <c r="AP1027" s="97"/>
      <c r="AQ1027" s="97"/>
      <c r="AR1027" s="97"/>
      <c r="AS1027" s="97"/>
      <c r="AT1027" s="97"/>
      <c r="AU1027" s="97"/>
      <c r="AV1027" s="97"/>
      <c r="AW1027" s="97"/>
      <c r="AX1027" s="97"/>
      <c r="AY1027" s="97"/>
      <c r="AZ1027" s="97"/>
      <c r="BA1027" s="97"/>
      <c r="BB1027" s="97"/>
      <c r="BC1027" s="97"/>
      <c r="BD1027" s="97"/>
      <c r="BE1027" s="97"/>
      <c r="BF1027" s="97"/>
      <c r="BG1027" s="97"/>
      <c r="BH1027" s="97"/>
    </row>
    <row r="1028" spans="1:60" x14ac:dyDescent="0.25">
      <c r="A1028" s="106"/>
      <c r="B1028" s="107"/>
      <c r="C1028" s="107"/>
      <c r="D1028" s="107"/>
      <c r="E1028" s="108"/>
      <c r="F1028" s="109"/>
      <c r="G1028" s="107"/>
      <c r="H1028" s="109"/>
      <c r="I1028" s="110"/>
      <c r="J1028" s="110"/>
      <c r="K1028" s="111"/>
      <c r="L1028" s="112"/>
      <c r="M1028" s="113"/>
      <c r="N1028" s="114"/>
      <c r="O1028" s="107"/>
      <c r="P1028" s="107"/>
      <c r="Q1028" s="115"/>
      <c r="R1028" s="116"/>
      <c r="S1028" s="107"/>
      <c r="T1028" s="107"/>
      <c r="U1028" s="107"/>
      <c r="V1028" s="107"/>
      <c r="W1028" s="107"/>
      <c r="X1028" s="107"/>
      <c r="Y1028" s="107"/>
      <c r="Z1028" s="107"/>
      <c r="AA1028" s="107"/>
      <c r="AB1028" s="107"/>
      <c r="AC1028" s="107"/>
      <c r="AD1028" s="107"/>
      <c r="AE1028" s="107"/>
      <c r="AF1028" s="107"/>
      <c r="AG1028" s="107"/>
      <c r="AH1028" s="107"/>
      <c r="AI1028" s="107"/>
      <c r="AJ1028" s="107"/>
      <c r="AK1028" s="107"/>
      <c r="AL1028" s="107"/>
      <c r="AM1028" s="107"/>
      <c r="AN1028" s="107"/>
      <c r="AO1028" s="107"/>
      <c r="AP1028" s="107"/>
      <c r="AQ1028" s="107"/>
      <c r="AR1028" s="107"/>
      <c r="AS1028" s="107"/>
      <c r="AT1028" s="107"/>
      <c r="AU1028" s="107"/>
      <c r="AV1028" s="107"/>
      <c r="AW1028" s="107"/>
      <c r="AX1028" s="107"/>
      <c r="AY1028" s="107"/>
      <c r="AZ1028" s="107"/>
      <c r="BA1028" s="107"/>
      <c r="BB1028" s="107"/>
      <c r="BC1028" s="107"/>
      <c r="BD1028" s="107"/>
      <c r="BE1028" s="107"/>
      <c r="BF1028" s="107"/>
      <c r="BG1028" s="107"/>
      <c r="BH1028" s="107"/>
    </row>
    <row r="1029" spans="1:60" x14ac:dyDescent="0.25">
      <c r="A1029" s="96"/>
      <c r="B1029" s="97"/>
      <c r="C1029" s="97"/>
      <c r="D1029" s="97"/>
      <c r="E1029" s="98"/>
      <c r="F1029" s="99"/>
      <c r="G1029" s="97"/>
      <c r="H1029" s="99"/>
      <c r="I1029" s="99"/>
      <c r="J1029" s="100"/>
      <c r="K1029" s="101"/>
      <c r="L1029" s="102"/>
      <c r="M1029" s="103"/>
      <c r="N1029" s="104"/>
      <c r="O1029" s="97"/>
      <c r="P1029" s="97"/>
      <c r="Q1029" s="97"/>
      <c r="R1029" s="105"/>
      <c r="S1029" s="97"/>
      <c r="T1029" s="97"/>
      <c r="U1029" s="97"/>
      <c r="V1029" s="97"/>
      <c r="W1029" s="97"/>
      <c r="X1029" s="97"/>
      <c r="Y1029" s="97"/>
      <c r="Z1029" s="97"/>
      <c r="AA1029" s="97"/>
      <c r="AB1029" s="97"/>
      <c r="AC1029" s="97"/>
      <c r="AD1029" s="97"/>
      <c r="AE1029" s="97"/>
      <c r="AF1029" s="97"/>
      <c r="AG1029" s="97"/>
      <c r="AH1029" s="97"/>
      <c r="AI1029" s="97"/>
      <c r="AJ1029" s="97"/>
      <c r="AK1029" s="97"/>
      <c r="AL1029" s="97"/>
      <c r="AM1029" s="97"/>
      <c r="AN1029" s="97"/>
      <c r="AO1029" s="97"/>
      <c r="AP1029" s="97"/>
      <c r="AQ1029" s="97"/>
      <c r="AR1029" s="97"/>
      <c r="AS1029" s="97"/>
      <c r="AT1029" s="97"/>
      <c r="AU1029" s="97"/>
      <c r="AV1029" s="97"/>
      <c r="AW1029" s="97"/>
      <c r="AX1029" s="97"/>
      <c r="AY1029" s="97"/>
      <c r="AZ1029" s="97"/>
      <c r="BA1029" s="97"/>
      <c r="BB1029" s="97"/>
      <c r="BC1029" s="97"/>
      <c r="BD1029" s="97"/>
      <c r="BE1029" s="97"/>
      <c r="BF1029" s="97"/>
      <c r="BG1029" s="97"/>
      <c r="BH1029" s="97"/>
    </row>
    <row r="1030" spans="1:60" x14ac:dyDescent="0.25">
      <c r="A1030" s="106"/>
      <c r="B1030" s="107"/>
      <c r="C1030" s="107"/>
      <c r="D1030" s="107"/>
      <c r="E1030" s="108"/>
      <c r="F1030" s="109"/>
      <c r="G1030" s="107"/>
      <c r="H1030" s="109"/>
      <c r="I1030" s="110"/>
      <c r="J1030" s="110"/>
      <c r="K1030" s="111"/>
      <c r="L1030" s="112"/>
      <c r="M1030" s="113"/>
      <c r="N1030" s="114"/>
      <c r="O1030" s="107"/>
      <c r="P1030" s="107"/>
      <c r="Q1030" s="115"/>
      <c r="R1030" s="116"/>
      <c r="S1030" s="107"/>
      <c r="T1030" s="107"/>
      <c r="U1030" s="107"/>
      <c r="V1030" s="107"/>
      <c r="W1030" s="107"/>
      <c r="X1030" s="107"/>
      <c r="Y1030" s="107"/>
      <c r="Z1030" s="107"/>
      <c r="AA1030" s="107"/>
      <c r="AB1030" s="107"/>
      <c r="AC1030" s="107"/>
      <c r="AD1030" s="107"/>
      <c r="AE1030" s="107"/>
      <c r="AF1030" s="107"/>
      <c r="AG1030" s="107"/>
      <c r="AH1030" s="107"/>
      <c r="AI1030" s="107"/>
      <c r="AJ1030" s="107"/>
      <c r="AK1030" s="107"/>
      <c r="AL1030" s="107"/>
      <c r="AM1030" s="107"/>
      <c r="AN1030" s="107"/>
      <c r="AO1030" s="107"/>
      <c r="AP1030" s="107"/>
      <c r="AQ1030" s="107"/>
      <c r="AR1030" s="107"/>
      <c r="AS1030" s="107"/>
      <c r="AT1030" s="107"/>
      <c r="AU1030" s="107"/>
      <c r="AV1030" s="107"/>
      <c r="AW1030" s="107"/>
      <c r="AX1030" s="107"/>
      <c r="AY1030" s="107"/>
      <c r="AZ1030" s="107"/>
      <c r="BA1030" s="107"/>
      <c r="BB1030" s="107"/>
      <c r="BC1030" s="107"/>
      <c r="BD1030" s="107"/>
      <c r="BE1030" s="107"/>
      <c r="BF1030" s="107"/>
      <c r="BG1030" s="107"/>
      <c r="BH1030" s="107"/>
    </row>
    <row r="1031" spans="1:60" x14ac:dyDescent="0.25">
      <c r="A1031" s="96"/>
      <c r="B1031" s="97"/>
      <c r="C1031" s="97"/>
      <c r="D1031" s="97"/>
      <c r="E1031" s="98"/>
      <c r="F1031" s="99"/>
      <c r="G1031" s="97"/>
      <c r="H1031" s="99"/>
      <c r="I1031" s="99"/>
      <c r="J1031" s="100"/>
      <c r="K1031" s="101"/>
      <c r="L1031" s="102"/>
      <c r="M1031" s="103"/>
      <c r="N1031" s="104"/>
      <c r="O1031" s="97"/>
      <c r="P1031" s="97"/>
      <c r="Q1031" s="97"/>
      <c r="R1031" s="105"/>
      <c r="S1031" s="97"/>
      <c r="T1031" s="97"/>
      <c r="U1031" s="97"/>
      <c r="V1031" s="97"/>
      <c r="W1031" s="97"/>
      <c r="X1031" s="97"/>
      <c r="Y1031" s="97"/>
      <c r="Z1031" s="97"/>
      <c r="AA1031" s="97"/>
      <c r="AB1031" s="97"/>
      <c r="AC1031" s="97"/>
      <c r="AD1031" s="97"/>
      <c r="AE1031" s="97"/>
      <c r="AF1031" s="97"/>
      <c r="AG1031" s="97"/>
      <c r="AH1031" s="97"/>
      <c r="AI1031" s="97"/>
      <c r="AJ1031" s="97"/>
      <c r="AK1031" s="97"/>
      <c r="AL1031" s="97"/>
      <c r="AM1031" s="97"/>
      <c r="AN1031" s="97"/>
      <c r="AO1031" s="97"/>
      <c r="AP1031" s="97"/>
      <c r="AQ1031" s="97"/>
      <c r="AR1031" s="97"/>
      <c r="AS1031" s="97"/>
      <c r="AT1031" s="97"/>
      <c r="AU1031" s="97"/>
      <c r="AV1031" s="97"/>
      <c r="AW1031" s="97"/>
      <c r="AX1031" s="97"/>
      <c r="AY1031" s="97"/>
      <c r="AZ1031" s="97"/>
      <c r="BA1031" s="97"/>
      <c r="BB1031" s="97"/>
      <c r="BC1031" s="97"/>
      <c r="BD1031" s="97"/>
      <c r="BE1031" s="97"/>
      <c r="BF1031" s="97"/>
      <c r="BG1031" s="97"/>
      <c r="BH1031" s="97"/>
    </row>
    <row r="1032" spans="1:60" x14ac:dyDescent="0.25">
      <c r="A1032" s="106"/>
      <c r="B1032" s="107"/>
      <c r="C1032" s="107"/>
      <c r="D1032" s="107"/>
      <c r="E1032" s="108"/>
      <c r="F1032" s="109"/>
      <c r="G1032" s="107"/>
      <c r="H1032" s="109"/>
      <c r="I1032" s="110"/>
      <c r="J1032" s="110"/>
      <c r="K1032" s="111"/>
      <c r="L1032" s="112"/>
      <c r="M1032" s="113"/>
      <c r="N1032" s="114"/>
      <c r="O1032" s="107"/>
      <c r="P1032" s="107"/>
      <c r="Q1032" s="115"/>
      <c r="R1032" s="116"/>
      <c r="S1032" s="107"/>
      <c r="T1032" s="107"/>
      <c r="U1032" s="107"/>
      <c r="V1032" s="107"/>
      <c r="W1032" s="107"/>
      <c r="X1032" s="107"/>
      <c r="Y1032" s="107"/>
      <c r="Z1032" s="107"/>
      <c r="AA1032" s="107"/>
      <c r="AB1032" s="107"/>
      <c r="AC1032" s="107"/>
      <c r="AD1032" s="107"/>
      <c r="AE1032" s="107"/>
      <c r="AF1032" s="107"/>
      <c r="AG1032" s="107"/>
      <c r="AH1032" s="107"/>
      <c r="AI1032" s="107"/>
      <c r="AJ1032" s="107"/>
      <c r="AK1032" s="107"/>
      <c r="AL1032" s="107"/>
      <c r="AM1032" s="107"/>
      <c r="AN1032" s="107"/>
      <c r="AO1032" s="107"/>
      <c r="AP1032" s="107"/>
      <c r="AQ1032" s="107"/>
      <c r="AR1032" s="107"/>
      <c r="AS1032" s="107"/>
      <c r="AT1032" s="107"/>
      <c r="AU1032" s="107"/>
      <c r="AV1032" s="107"/>
      <c r="AW1032" s="107"/>
      <c r="AX1032" s="107"/>
      <c r="AY1032" s="107"/>
      <c r="AZ1032" s="107"/>
      <c r="BA1032" s="107"/>
      <c r="BB1032" s="107"/>
      <c r="BC1032" s="107"/>
      <c r="BD1032" s="107"/>
      <c r="BE1032" s="107"/>
      <c r="BF1032" s="107"/>
      <c r="BG1032" s="107"/>
      <c r="BH1032" s="107"/>
    </row>
    <row r="1033" spans="1:60" x14ac:dyDescent="0.25">
      <c r="A1033" s="96"/>
      <c r="B1033" s="97"/>
      <c r="C1033" s="97"/>
      <c r="D1033" s="97"/>
      <c r="E1033" s="98"/>
      <c r="F1033" s="99"/>
      <c r="G1033" s="97"/>
      <c r="H1033" s="99"/>
      <c r="I1033" s="99"/>
      <c r="J1033" s="100"/>
      <c r="K1033" s="101"/>
      <c r="L1033" s="102"/>
      <c r="M1033" s="103"/>
      <c r="N1033" s="104"/>
      <c r="O1033" s="97"/>
      <c r="P1033" s="97"/>
      <c r="Q1033" s="97"/>
      <c r="R1033" s="105"/>
      <c r="S1033" s="97"/>
      <c r="T1033" s="97"/>
      <c r="U1033" s="97"/>
      <c r="V1033" s="97"/>
      <c r="W1033" s="97"/>
      <c r="X1033" s="97"/>
      <c r="Y1033" s="97"/>
      <c r="Z1033" s="97"/>
      <c r="AA1033" s="97"/>
      <c r="AB1033" s="97"/>
      <c r="AC1033" s="97"/>
      <c r="AD1033" s="97"/>
      <c r="AE1033" s="97"/>
      <c r="AF1033" s="97"/>
      <c r="AG1033" s="97"/>
      <c r="AH1033" s="97"/>
      <c r="AI1033" s="97"/>
      <c r="AJ1033" s="97"/>
      <c r="AK1033" s="97"/>
      <c r="AL1033" s="97"/>
      <c r="AM1033" s="97"/>
      <c r="AN1033" s="97"/>
      <c r="AO1033" s="97"/>
      <c r="AP1033" s="97"/>
      <c r="AQ1033" s="97"/>
      <c r="AR1033" s="97"/>
      <c r="AS1033" s="97"/>
      <c r="AT1033" s="97"/>
      <c r="AU1033" s="97"/>
      <c r="AV1033" s="97"/>
      <c r="AW1033" s="97"/>
      <c r="AX1033" s="97"/>
      <c r="AY1033" s="97"/>
      <c r="AZ1033" s="97"/>
      <c r="BA1033" s="97"/>
      <c r="BB1033" s="97"/>
      <c r="BC1033" s="97"/>
      <c r="BD1033" s="97"/>
      <c r="BE1033" s="97"/>
      <c r="BF1033" s="97"/>
      <c r="BG1033" s="97"/>
      <c r="BH1033" s="97"/>
    </row>
    <row r="1034" spans="1:60" x14ac:dyDescent="0.25">
      <c r="A1034" s="106"/>
      <c r="B1034" s="107"/>
      <c r="C1034" s="107"/>
      <c r="D1034" s="107"/>
      <c r="E1034" s="108"/>
      <c r="F1034" s="109"/>
      <c r="G1034" s="107"/>
      <c r="H1034" s="109"/>
      <c r="I1034" s="110"/>
      <c r="J1034" s="110"/>
      <c r="K1034" s="111"/>
      <c r="L1034" s="112"/>
      <c r="M1034" s="113"/>
      <c r="N1034" s="114"/>
      <c r="O1034" s="107"/>
      <c r="P1034" s="107"/>
      <c r="Q1034" s="115"/>
      <c r="R1034" s="116"/>
      <c r="S1034" s="107"/>
      <c r="T1034" s="107"/>
      <c r="U1034" s="107"/>
      <c r="V1034" s="107"/>
      <c r="W1034" s="107"/>
      <c r="X1034" s="107"/>
      <c r="Y1034" s="107"/>
      <c r="Z1034" s="107"/>
      <c r="AA1034" s="107"/>
      <c r="AB1034" s="107"/>
      <c r="AC1034" s="107"/>
      <c r="AD1034" s="107"/>
      <c r="AE1034" s="107"/>
      <c r="AF1034" s="107"/>
      <c r="AG1034" s="107"/>
      <c r="AH1034" s="107"/>
      <c r="AI1034" s="107"/>
      <c r="AJ1034" s="107"/>
      <c r="AK1034" s="107"/>
      <c r="AL1034" s="107"/>
      <c r="AM1034" s="107"/>
      <c r="AN1034" s="107"/>
      <c r="AO1034" s="107"/>
      <c r="AP1034" s="107"/>
      <c r="AQ1034" s="107"/>
      <c r="AR1034" s="107"/>
      <c r="AS1034" s="107"/>
      <c r="AT1034" s="107"/>
      <c r="AU1034" s="107"/>
      <c r="AV1034" s="107"/>
      <c r="AW1034" s="107"/>
      <c r="AX1034" s="107"/>
      <c r="AY1034" s="107"/>
      <c r="AZ1034" s="107"/>
      <c r="BA1034" s="107"/>
      <c r="BB1034" s="107"/>
      <c r="BC1034" s="107"/>
      <c r="BD1034" s="107"/>
      <c r="BE1034" s="107"/>
      <c r="BF1034" s="107"/>
      <c r="BG1034" s="107"/>
      <c r="BH1034" s="107"/>
    </row>
    <row r="1035" spans="1:60" x14ac:dyDescent="0.25">
      <c r="A1035" s="96"/>
      <c r="B1035" s="97"/>
      <c r="C1035" s="97"/>
      <c r="D1035" s="97"/>
      <c r="E1035" s="98"/>
      <c r="F1035" s="99"/>
      <c r="G1035" s="97"/>
      <c r="H1035" s="99"/>
      <c r="I1035" s="99"/>
      <c r="J1035" s="100"/>
      <c r="K1035" s="101"/>
      <c r="L1035" s="102"/>
      <c r="M1035" s="103"/>
      <c r="N1035" s="104"/>
      <c r="O1035" s="97"/>
      <c r="P1035" s="97"/>
      <c r="Q1035" s="97"/>
      <c r="R1035" s="105"/>
      <c r="S1035" s="97"/>
      <c r="T1035" s="97"/>
      <c r="U1035" s="97"/>
      <c r="V1035" s="97"/>
      <c r="W1035" s="97"/>
      <c r="X1035" s="97"/>
      <c r="Y1035" s="97"/>
      <c r="Z1035" s="97"/>
      <c r="AA1035" s="97"/>
      <c r="AB1035" s="97"/>
      <c r="AC1035" s="97"/>
      <c r="AD1035" s="97"/>
      <c r="AE1035" s="97"/>
      <c r="AF1035" s="97"/>
      <c r="AG1035" s="97"/>
      <c r="AH1035" s="97"/>
      <c r="AI1035" s="97"/>
      <c r="AJ1035" s="97"/>
      <c r="AK1035" s="97"/>
      <c r="AL1035" s="97"/>
      <c r="AM1035" s="97"/>
      <c r="AN1035" s="97"/>
      <c r="AO1035" s="97"/>
      <c r="AP1035" s="97"/>
      <c r="AQ1035" s="97"/>
      <c r="AR1035" s="97"/>
      <c r="AS1035" s="97"/>
      <c r="AT1035" s="97"/>
      <c r="AU1035" s="97"/>
      <c r="AV1035" s="97"/>
      <c r="AW1035" s="97"/>
      <c r="AX1035" s="97"/>
      <c r="AY1035" s="97"/>
      <c r="AZ1035" s="97"/>
      <c r="BA1035" s="97"/>
      <c r="BB1035" s="97"/>
      <c r="BC1035" s="97"/>
      <c r="BD1035" s="97"/>
      <c r="BE1035" s="97"/>
      <c r="BF1035" s="97"/>
      <c r="BG1035" s="97"/>
      <c r="BH1035" s="97"/>
    </row>
    <row r="1036" spans="1:60" x14ac:dyDescent="0.25">
      <c r="A1036" s="106"/>
      <c r="B1036" s="107"/>
      <c r="C1036" s="107"/>
      <c r="D1036" s="107"/>
      <c r="E1036" s="108"/>
      <c r="F1036" s="109"/>
      <c r="G1036" s="107"/>
      <c r="H1036" s="109"/>
      <c r="I1036" s="110"/>
      <c r="J1036" s="110"/>
      <c r="K1036" s="111"/>
      <c r="L1036" s="112"/>
      <c r="M1036" s="113"/>
      <c r="N1036" s="114"/>
      <c r="O1036" s="107"/>
      <c r="P1036" s="107"/>
      <c r="Q1036" s="115"/>
      <c r="R1036" s="116"/>
      <c r="S1036" s="107"/>
      <c r="T1036" s="107"/>
      <c r="U1036" s="107"/>
      <c r="V1036" s="107"/>
      <c r="W1036" s="107"/>
      <c r="X1036" s="107"/>
      <c r="Y1036" s="107"/>
      <c r="Z1036" s="107"/>
      <c r="AA1036" s="107"/>
      <c r="AB1036" s="107"/>
      <c r="AC1036" s="107"/>
      <c r="AD1036" s="107"/>
      <c r="AE1036" s="107"/>
      <c r="AF1036" s="107"/>
      <c r="AG1036" s="107"/>
      <c r="AH1036" s="107"/>
      <c r="AI1036" s="107"/>
      <c r="AJ1036" s="107"/>
      <c r="AK1036" s="107"/>
      <c r="AL1036" s="107"/>
      <c r="AM1036" s="107"/>
      <c r="AN1036" s="107"/>
      <c r="AO1036" s="107"/>
      <c r="AP1036" s="107"/>
      <c r="AQ1036" s="107"/>
      <c r="AR1036" s="107"/>
      <c r="AS1036" s="107"/>
      <c r="AT1036" s="107"/>
      <c r="AU1036" s="107"/>
      <c r="AV1036" s="107"/>
      <c r="AW1036" s="107"/>
      <c r="AX1036" s="107"/>
      <c r="AY1036" s="107"/>
      <c r="AZ1036" s="107"/>
      <c r="BA1036" s="107"/>
      <c r="BB1036" s="107"/>
      <c r="BC1036" s="107"/>
      <c r="BD1036" s="107"/>
      <c r="BE1036" s="107"/>
      <c r="BF1036" s="107"/>
      <c r="BG1036" s="107"/>
      <c r="BH1036" s="107"/>
    </row>
    <row r="1037" spans="1:60" x14ac:dyDescent="0.25">
      <c r="A1037" s="96"/>
      <c r="B1037" s="97"/>
      <c r="C1037" s="97"/>
      <c r="D1037" s="97"/>
      <c r="E1037" s="98"/>
      <c r="F1037" s="99"/>
      <c r="G1037" s="97"/>
      <c r="H1037" s="99"/>
      <c r="I1037" s="99"/>
      <c r="J1037" s="100"/>
      <c r="K1037" s="101"/>
      <c r="L1037" s="102"/>
      <c r="M1037" s="103"/>
      <c r="N1037" s="104"/>
      <c r="O1037" s="97"/>
      <c r="P1037" s="97"/>
      <c r="Q1037" s="97"/>
      <c r="R1037" s="105"/>
      <c r="S1037" s="97"/>
      <c r="T1037" s="97"/>
      <c r="U1037" s="97"/>
      <c r="V1037" s="97"/>
      <c r="W1037" s="97"/>
      <c r="X1037" s="97"/>
      <c r="Y1037" s="97"/>
      <c r="Z1037" s="97"/>
      <c r="AA1037" s="97"/>
      <c r="AB1037" s="97"/>
      <c r="AC1037" s="97"/>
      <c r="AD1037" s="97"/>
      <c r="AE1037" s="97"/>
      <c r="AF1037" s="97"/>
      <c r="AG1037" s="97"/>
      <c r="AH1037" s="97"/>
      <c r="AI1037" s="97"/>
      <c r="AJ1037" s="97"/>
      <c r="AK1037" s="97"/>
      <c r="AL1037" s="97"/>
      <c r="AM1037" s="97"/>
      <c r="AN1037" s="97"/>
      <c r="AO1037" s="97"/>
      <c r="AP1037" s="97"/>
      <c r="AQ1037" s="97"/>
      <c r="AR1037" s="97"/>
      <c r="AS1037" s="97"/>
      <c r="AT1037" s="97"/>
      <c r="AU1037" s="97"/>
      <c r="AV1037" s="97"/>
      <c r="AW1037" s="97"/>
      <c r="AX1037" s="97"/>
      <c r="AY1037" s="97"/>
      <c r="AZ1037" s="97"/>
      <c r="BA1037" s="97"/>
      <c r="BB1037" s="97"/>
      <c r="BC1037" s="97"/>
      <c r="BD1037" s="97"/>
      <c r="BE1037" s="97"/>
      <c r="BF1037" s="97"/>
      <c r="BG1037" s="97"/>
      <c r="BH1037" s="97"/>
    </row>
    <row r="1038" spans="1:60" x14ac:dyDescent="0.25">
      <c r="A1038" s="106"/>
      <c r="B1038" s="107"/>
      <c r="C1038" s="107"/>
      <c r="D1038" s="107"/>
      <c r="E1038" s="108"/>
      <c r="F1038" s="109"/>
      <c r="G1038" s="107"/>
      <c r="H1038" s="109"/>
      <c r="I1038" s="110"/>
      <c r="J1038" s="110"/>
      <c r="K1038" s="111"/>
      <c r="L1038" s="112"/>
      <c r="M1038" s="113"/>
      <c r="N1038" s="114"/>
      <c r="O1038" s="107"/>
      <c r="P1038" s="107"/>
      <c r="Q1038" s="115"/>
      <c r="R1038" s="116"/>
      <c r="S1038" s="107"/>
      <c r="T1038" s="107"/>
      <c r="U1038" s="107"/>
      <c r="V1038" s="107"/>
      <c r="W1038" s="107"/>
      <c r="X1038" s="107"/>
      <c r="Y1038" s="107"/>
      <c r="Z1038" s="107"/>
      <c r="AA1038" s="107"/>
      <c r="AB1038" s="107"/>
      <c r="AC1038" s="107"/>
      <c r="AD1038" s="107"/>
      <c r="AE1038" s="107"/>
      <c r="AF1038" s="107"/>
      <c r="AG1038" s="107"/>
      <c r="AH1038" s="107"/>
      <c r="AI1038" s="107"/>
      <c r="AJ1038" s="107"/>
      <c r="AK1038" s="107"/>
      <c r="AL1038" s="107"/>
      <c r="AM1038" s="107"/>
      <c r="AN1038" s="107"/>
      <c r="AO1038" s="107"/>
      <c r="AP1038" s="107"/>
      <c r="AQ1038" s="107"/>
      <c r="AR1038" s="107"/>
      <c r="AS1038" s="107"/>
      <c r="AT1038" s="107"/>
      <c r="AU1038" s="107"/>
      <c r="AV1038" s="107"/>
      <c r="AW1038" s="107"/>
      <c r="AX1038" s="107"/>
      <c r="AY1038" s="107"/>
      <c r="AZ1038" s="107"/>
      <c r="BA1038" s="107"/>
      <c r="BB1038" s="107"/>
      <c r="BC1038" s="107"/>
      <c r="BD1038" s="107"/>
      <c r="BE1038" s="107"/>
      <c r="BF1038" s="107"/>
      <c r="BG1038" s="107"/>
      <c r="BH1038" s="107"/>
    </row>
    <row r="1039" spans="1:60" x14ac:dyDescent="0.25">
      <c r="A1039" s="96"/>
      <c r="B1039" s="97"/>
      <c r="C1039" s="97"/>
      <c r="D1039" s="97"/>
      <c r="E1039" s="98"/>
      <c r="F1039" s="99"/>
      <c r="G1039" s="97"/>
      <c r="H1039" s="99"/>
      <c r="I1039" s="99"/>
      <c r="J1039" s="100"/>
      <c r="K1039" s="101"/>
      <c r="L1039" s="102"/>
      <c r="M1039" s="103"/>
      <c r="N1039" s="104"/>
      <c r="O1039" s="97"/>
      <c r="P1039" s="97"/>
      <c r="Q1039" s="97"/>
      <c r="R1039" s="105"/>
      <c r="S1039" s="97"/>
      <c r="T1039" s="97"/>
      <c r="U1039" s="97"/>
      <c r="V1039" s="97"/>
      <c r="W1039" s="97"/>
      <c r="X1039" s="97"/>
      <c r="Y1039" s="97"/>
      <c r="Z1039" s="97"/>
      <c r="AA1039" s="97"/>
      <c r="AB1039" s="97"/>
      <c r="AC1039" s="97"/>
      <c r="AD1039" s="97"/>
      <c r="AE1039" s="97"/>
      <c r="AF1039" s="97"/>
      <c r="AG1039" s="97"/>
      <c r="AH1039" s="97"/>
      <c r="AI1039" s="97"/>
      <c r="AJ1039" s="97"/>
      <c r="AK1039" s="97"/>
      <c r="AL1039" s="97"/>
      <c r="AM1039" s="97"/>
      <c r="AN1039" s="97"/>
      <c r="AO1039" s="97"/>
      <c r="AP1039" s="97"/>
      <c r="AQ1039" s="97"/>
      <c r="AR1039" s="97"/>
      <c r="AS1039" s="97"/>
      <c r="AT1039" s="97"/>
      <c r="AU1039" s="97"/>
      <c r="AV1039" s="97"/>
      <c r="AW1039" s="97"/>
      <c r="AX1039" s="97"/>
      <c r="AY1039" s="97"/>
      <c r="AZ1039" s="97"/>
      <c r="BA1039" s="97"/>
      <c r="BB1039" s="97"/>
      <c r="BC1039" s="97"/>
      <c r="BD1039" s="97"/>
      <c r="BE1039" s="97"/>
      <c r="BF1039" s="97"/>
      <c r="BG1039" s="97"/>
      <c r="BH1039" s="97"/>
    </row>
    <row r="1040" spans="1:60" x14ac:dyDescent="0.25">
      <c r="A1040" s="106"/>
      <c r="B1040" s="107"/>
      <c r="C1040" s="107"/>
      <c r="D1040" s="107"/>
      <c r="E1040" s="108"/>
      <c r="F1040" s="109"/>
      <c r="G1040" s="107"/>
      <c r="H1040" s="109"/>
      <c r="I1040" s="110"/>
      <c r="J1040" s="110"/>
      <c r="K1040" s="111"/>
      <c r="L1040" s="112"/>
      <c r="M1040" s="113"/>
      <c r="N1040" s="114"/>
      <c r="O1040" s="107"/>
      <c r="P1040" s="107"/>
      <c r="Q1040" s="115"/>
      <c r="R1040" s="116"/>
      <c r="S1040" s="107"/>
      <c r="T1040" s="107"/>
      <c r="U1040" s="107"/>
      <c r="V1040" s="107"/>
      <c r="W1040" s="107"/>
      <c r="X1040" s="107"/>
      <c r="Y1040" s="107"/>
      <c r="Z1040" s="107"/>
      <c r="AA1040" s="107"/>
      <c r="AB1040" s="107"/>
      <c r="AC1040" s="107"/>
      <c r="AD1040" s="107"/>
      <c r="AE1040" s="107"/>
      <c r="AF1040" s="107"/>
      <c r="AG1040" s="107"/>
      <c r="AH1040" s="107"/>
      <c r="AI1040" s="107"/>
      <c r="AJ1040" s="107"/>
      <c r="AK1040" s="107"/>
      <c r="AL1040" s="107"/>
      <c r="AM1040" s="107"/>
      <c r="AN1040" s="107"/>
      <c r="AO1040" s="107"/>
      <c r="AP1040" s="107"/>
      <c r="AQ1040" s="107"/>
      <c r="AR1040" s="107"/>
      <c r="AS1040" s="107"/>
      <c r="AT1040" s="107"/>
      <c r="AU1040" s="107"/>
      <c r="AV1040" s="107"/>
      <c r="AW1040" s="107"/>
      <c r="AX1040" s="107"/>
      <c r="AY1040" s="107"/>
      <c r="AZ1040" s="107"/>
      <c r="BA1040" s="107"/>
      <c r="BB1040" s="107"/>
      <c r="BC1040" s="107"/>
      <c r="BD1040" s="107"/>
      <c r="BE1040" s="107"/>
      <c r="BF1040" s="107"/>
      <c r="BG1040" s="107"/>
      <c r="BH1040" s="107"/>
    </row>
    <row r="1041" spans="1:60" x14ac:dyDescent="0.25">
      <c r="A1041" s="96"/>
      <c r="B1041" s="97"/>
      <c r="C1041" s="97"/>
      <c r="D1041" s="97"/>
      <c r="E1041" s="98"/>
      <c r="F1041" s="99"/>
      <c r="G1041" s="97"/>
      <c r="H1041" s="99"/>
      <c r="I1041" s="99"/>
      <c r="J1041" s="100"/>
      <c r="K1041" s="101"/>
      <c r="L1041" s="102"/>
      <c r="M1041" s="103"/>
      <c r="N1041" s="104"/>
      <c r="O1041" s="97"/>
      <c r="P1041" s="97"/>
      <c r="Q1041" s="97"/>
      <c r="R1041" s="105"/>
      <c r="S1041" s="97"/>
      <c r="T1041" s="97"/>
      <c r="U1041" s="97"/>
      <c r="V1041" s="97"/>
      <c r="W1041" s="97"/>
      <c r="X1041" s="97"/>
      <c r="Y1041" s="97"/>
      <c r="Z1041" s="97"/>
      <c r="AA1041" s="97"/>
      <c r="AB1041" s="97"/>
      <c r="AC1041" s="97"/>
      <c r="AD1041" s="97"/>
      <c r="AE1041" s="97"/>
      <c r="AF1041" s="97"/>
      <c r="AG1041" s="97"/>
      <c r="AH1041" s="97"/>
      <c r="AI1041" s="97"/>
      <c r="AJ1041" s="97"/>
      <c r="AK1041" s="97"/>
      <c r="AL1041" s="97"/>
      <c r="AM1041" s="97"/>
      <c r="AN1041" s="97"/>
      <c r="AO1041" s="97"/>
      <c r="AP1041" s="97"/>
      <c r="AQ1041" s="97"/>
      <c r="AR1041" s="97"/>
      <c r="AS1041" s="97"/>
      <c r="AT1041" s="97"/>
      <c r="AU1041" s="97"/>
      <c r="AV1041" s="97"/>
      <c r="AW1041" s="97"/>
      <c r="AX1041" s="97"/>
      <c r="AY1041" s="97"/>
      <c r="AZ1041" s="97"/>
      <c r="BA1041" s="97"/>
      <c r="BB1041" s="97"/>
      <c r="BC1041" s="97"/>
      <c r="BD1041" s="97"/>
      <c r="BE1041" s="97"/>
      <c r="BF1041" s="97"/>
      <c r="BG1041" s="97"/>
      <c r="BH1041" s="97"/>
    </row>
    <row r="1042" spans="1:60" x14ac:dyDescent="0.25">
      <c r="A1042" s="106"/>
      <c r="B1042" s="107"/>
      <c r="C1042" s="107"/>
      <c r="D1042" s="107"/>
      <c r="E1042" s="108"/>
      <c r="F1042" s="109"/>
      <c r="G1042" s="107"/>
      <c r="H1042" s="109"/>
      <c r="I1042" s="110"/>
      <c r="J1042" s="110"/>
      <c r="K1042" s="111"/>
      <c r="L1042" s="112"/>
      <c r="M1042" s="113"/>
      <c r="N1042" s="114"/>
      <c r="O1042" s="107"/>
      <c r="P1042" s="107"/>
      <c r="Q1042" s="115"/>
      <c r="R1042" s="116"/>
      <c r="S1042" s="107"/>
      <c r="T1042" s="107"/>
      <c r="U1042" s="107"/>
      <c r="V1042" s="107"/>
      <c r="W1042" s="107"/>
      <c r="X1042" s="107"/>
      <c r="Y1042" s="107"/>
      <c r="Z1042" s="107"/>
      <c r="AA1042" s="107"/>
      <c r="AB1042" s="107"/>
      <c r="AC1042" s="107"/>
      <c r="AD1042" s="107"/>
      <c r="AE1042" s="107"/>
      <c r="AF1042" s="107"/>
      <c r="AG1042" s="107"/>
      <c r="AH1042" s="107"/>
      <c r="AI1042" s="107"/>
      <c r="AJ1042" s="107"/>
      <c r="AK1042" s="107"/>
      <c r="AL1042" s="107"/>
      <c r="AM1042" s="107"/>
      <c r="AN1042" s="107"/>
      <c r="AO1042" s="107"/>
      <c r="AP1042" s="107"/>
      <c r="AQ1042" s="107"/>
      <c r="AR1042" s="107"/>
      <c r="AS1042" s="107"/>
      <c r="AT1042" s="107"/>
      <c r="AU1042" s="107"/>
      <c r="AV1042" s="107"/>
      <c r="AW1042" s="107"/>
      <c r="AX1042" s="107"/>
      <c r="AY1042" s="107"/>
      <c r="AZ1042" s="107"/>
      <c r="BA1042" s="107"/>
      <c r="BB1042" s="107"/>
      <c r="BC1042" s="107"/>
      <c r="BD1042" s="107"/>
      <c r="BE1042" s="107"/>
      <c r="BF1042" s="107"/>
      <c r="BG1042" s="107"/>
      <c r="BH1042" s="107"/>
    </row>
    <row r="1043" spans="1:60" x14ac:dyDescent="0.25">
      <c r="A1043" s="96"/>
      <c r="B1043" s="97"/>
      <c r="C1043" s="97"/>
      <c r="D1043" s="97"/>
      <c r="E1043" s="98"/>
      <c r="F1043" s="99"/>
      <c r="G1043" s="97"/>
      <c r="H1043" s="99"/>
      <c r="I1043" s="99"/>
      <c r="J1043" s="100"/>
      <c r="K1043" s="101"/>
      <c r="L1043" s="102"/>
      <c r="M1043" s="103"/>
      <c r="N1043" s="104"/>
      <c r="O1043" s="97"/>
      <c r="P1043" s="97"/>
      <c r="Q1043" s="97"/>
      <c r="R1043" s="105"/>
      <c r="S1043" s="97"/>
      <c r="T1043" s="97"/>
      <c r="U1043" s="97"/>
      <c r="V1043" s="97"/>
      <c r="W1043" s="97"/>
      <c r="X1043" s="97"/>
      <c r="Y1043" s="97"/>
      <c r="Z1043" s="97"/>
      <c r="AA1043" s="97"/>
      <c r="AB1043" s="97"/>
      <c r="AC1043" s="97"/>
      <c r="AD1043" s="97"/>
      <c r="AE1043" s="97"/>
      <c r="AF1043" s="97"/>
      <c r="AG1043" s="97"/>
      <c r="AH1043" s="97"/>
      <c r="AI1043" s="97"/>
      <c r="AJ1043" s="97"/>
      <c r="AK1043" s="97"/>
      <c r="AL1043" s="97"/>
      <c r="AM1043" s="97"/>
      <c r="AN1043" s="97"/>
      <c r="AO1043" s="97"/>
      <c r="AP1043" s="97"/>
      <c r="AQ1043" s="97"/>
      <c r="AR1043" s="97"/>
      <c r="AS1043" s="97"/>
      <c r="AT1043" s="97"/>
      <c r="AU1043" s="97"/>
      <c r="AV1043" s="97"/>
      <c r="AW1043" s="97"/>
      <c r="AX1043" s="97"/>
      <c r="AY1043" s="97"/>
      <c r="AZ1043" s="97"/>
      <c r="BA1043" s="97"/>
      <c r="BB1043" s="97"/>
      <c r="BC1043" s="97"/>
      <c r="BD1043" s="97"/>
      <c r="BE1043" s="97"/>
      <c r="BF1043" s="97"/>
      <c r="BG1043" s="97"/>
      <c r="BH1043" s="97"/>
    </row>
    <row r="1044" spans="1:60" x14ac:dyDescent="0.25">
      <c r="A1044" s="106"/>
      <c r="B1044" s="107"/>
      <c r="C1044" s="107"/>
      <c r="D1044" s="107"/>
      <c r="E1044" s="108"/>
      <c r="F1044" s="109"/>
      <c r="G1044" s="107"/>
      <c r="H1044" s="109"/>
      <c r="I1044" s="110"/>
      <c r="J1044" s="110"/>
      <c r="K1044" s="111"/>
      <c r="L1044" s="112"/>
      <c r="M1044" s="113"/>
      <c r="N1044" s="114"/>
      <c r="O1044" s="107"/>
      <c r="P1044" s="107"/>
      <c r="Q1044" s="115"/>
      <c r="R1044" s="116"/>
      <c r="S1044" s="107"/>
      <c r="T1044" s="107"/>
      <c r="U1044" s="107"/>
      <c r="V1044" s="107"/>
      <c r="W1044" s="107"/>
      <c r="X1044" s="107"/>
      <c r="Y1044" s="107"/>
      <c r="Z1044" s="107"/>
      <c r="AA1044" s="107"/>
      <c r="AB1044" s="107"/>
      <c r="AC1044" s="107"/>
      <c r="AD1044" s="107"/>
      <c r="AE1044" s="107"/>
      <c r="AF1044" s="107"/>
      <c r="AG1044" s="107"/>
      <c r="AH1044" s="107"/>
      <c r="AI1044" s="107"/>
      <c r="AJ1044" s="107"/>
      <c r="AK1044" s="107"/>
      <c r="AL1044" s="107"/>
      <c r="AM1044" s="107"/>
      <c r="AN1044" s="107"/>
      <c r="AO1044" s="107"/>
      <c r="AP1044" s="107"/>
      <c r="AQ1044" s="107"/>
      <c r="AR1044" s="107"/>
      <c r="AS1044" s="107"/>
      <c r="AT1044" s="107"/>
      <c r="AU1044" s="107"/>
      <c r="AV1044" s="107"/>
      <c r="AW1044" s="107"/>
      <c r="AX1044" s="107"/>
      <c r="AY1044" s="107"/>
      <c r="AZ1044" s="107"/>
      <c r="BA1044" s="107"/>
      <c r="BB1044" s="107"/>
      <c r="BC1044" s="107"/>
      <c r="BD1044" s="107"/>
      <c r="BE1044" s="107"/>
      <c r="BF1044" s="107"/>
      <c r="BG1044" s="107"/>
      <c r="BH1044" s="107"/>
    </row>
    <row r="1045" spans="1:60" x14ac:dyDescent="0.25">
      <c r="A1045" s="96"/>
      <c r="B1045" s="97"/>
      <c r="C1045" s="97"/>
      <c r="D1045" s="97"/>
      <c r="E1045" s="98"/>
      <c r="F1045" s="99"/>
      <c r="G1045" s="97"/>
      <c r="H1045" s="99"/>
      <c r="I1045" s="99"/>
      <c r="J1045" s="100"/>
      <c r="K1045" s="101"/>
      <c r="L1045" s="102"/>
      <c r="M1045" s="103"/>
      <c r="N1045" s="104"/>
      <c r="O1045" s="97"/>
      <c r="P1045" s="97"/>
      <c r="Q1045" s="97"/>
      <c r="R1045" s="105"/>
      <c r="S1045" s="97"/>
      <c r="T1045" s="97"/>
      <c r="U1045" s="97"/>
      <c r="V1045" s="97"/>
      <c r="W1045" s="97"/>
      <c r="X1045" s="97"/>
      <c r="Y1045" s="97"/>
      <c r="Z1045" s="97"/>
      <c r="AA1045" s="97"/>
      <c r="AB1045" s="97"/>
      <c r="AC1045" s="97"/>
      <c r="AD1045" s="97"/>
      <c r="AE1045" s="97"/>
      <c r="AF1045" s="97"/>
      <c r="AG1045" s="97"/>
      <c r="AH1045" s="97"/>
      <c r="AI1045" s="97"/>
      <c r="AJ1045" s="97"/>
      <c r="AK1045" s="97"/>
      <c r="AL1045" s="97"/>
      <c r="AM1045" s="97"/>
      <c r="AN1045" s="97"/>
      <c r="AO1045" s="97"/>
      <c r="AP1045" s="97"/>
      <c r="AQ1045" s="97"/>
      <c r="AR1045" s="97"/>
      <c r="AS1045" s="97"/>
      <c r="AT1045" s="97"/>
      <c r="AU1045" s="97"/>
      <c r="AV1045" s="97"/>
      <c r="AW1045" s="97"/>
      <c r="AX1045" s="97"/>
      <c r="AY1045" s="97"/>
      <c r="AZ1045" s="97"/>
      <c r="BA1045" s="97"/>
      <c r="BB1045" s="97"/>
      <c r="BC1045" s="97"/>
      <c r="BD1045" s="97"/>
      <c r="BE1045" s="97"/>
      <c r="BF1045" s="97"/>
      <c r="BG1045" s="97"/>
      <c r="BH1045" s="97"/>
    </row>
    <row r="1046" spans="1:60" x14ac:dyDescent="0.25">
      <c r="A1046" s="106"/>
      <c r="B1046" s="107"/>
      <c r="C1046" s="107"/>
      <c r="D1046" s="107"/>
      <c r="E1046" s="108"/>
      <c r="F1046" s="109"/>
      <c r="G1046" s="107"/>
      <c r="H1046" s="109"/>
      <c r="I1046" s="110"/>
      <c r="J1046" s="110"/>
      <c r="K1046" s="111"/>
      <c r="L1046" s="112"/>
      <c r="M1046" s="113"/>
      <c r="N1046" s="114"/>
      <c r="O1046" s="107"/>
      <c r="P1046" s="107"/>
      <c r="Q1046" s="115"/>
      <c r="R1046" s="116"/>
      <c r="S1046" s="107"/>
      <c r="T1046" s="107"/>
      <c r="U1046" s="107"/>
      <c r="V1046" s="107"/>
      <c r="W1046" s="107"/>
      <c r="X1046" s="107"/>
      <c r="Y1046" s="107"/>
      <c r="Z1046" s="107"/>
      <c r="AA1046" s="107"/>
      <c r="AB1046" s="107"/>
      <c r="AC1046" s="107"/>
      <c r="AD1046" s="107"/>
      <c r="AE1046" s="107"/>
      <c r="AF1046" s="107"/>
      <c r="AG1046" s="107"/>
      <c r="AH1046" s="107"/>
      <c r="AI1046" s="107"/>
      <c r="AJ1046" s="107"/>
      <c r="AK1046" s="107"/>
      <c r="AL1046" s="107"/>
      <c r="AM1046" s="107"/>
      <c r="AN1046" s="107"/>
      <c r="AO1046" s="107"/>
      <c r="AP1046" s="107"/>
      <c r="AQ1046" s="107"/>
      <c r="AR1046" s="107"/>
      <c r="AS1046" s="107"/>
      <c r="AT1046" s="107"/>
      <c r="AU1046" s="107"/>
      <c r="AV1046" s="107"/>
      <c r="AW1046" s="107"/>
      <c r="AX1046" s="107"/>
      <c r="AY1046" s="107"/>
      <c r="AZ1046" s="107"/>
      <c r="BA1046" s="107"/>
      <c r="BB1046" s="107"/>
      <c r="BC1046" s="107"/>
      <c r="BD1046" s="107"/>
      <c r="BE1046" s="107"/>
      <c r="BF1046" s="107"/>
      <c r="BG1046" s="107"/>
      <c r="BH1046" s="107"/>
    </row>
    <row r="1047" spans="1:60" x14ac:dyDescent="0.25">
      <c r="A1047" s="96"/>
      <c r="B1047" s="97"/>
      <c r="C1047" s="97"/>
      <c r="D1047" s="97"/>
      <c r="E1047" s="98"/>
      <c r="F1047" s="99"/>
      <c r="G1047" s="97"/>
      <c r="H1047" s="99"/>
      <c r="I1047" s="99"/>
      <c r="J1047" s="100"/>
      <c r="K1047" s="101"/>
      <c r="L1047" s="102"/>
      <c r="M1047" s="103"/>
      <c r="N1047" s="104"/>
      <c r="O1047" s="97"/>
      <c r="P1047" s="97"/>
      <c r="Q1047" s="97"/>
      <c r="R1047" s="105"/>
      <c r="S1047" s="97"/>
      <c r="T1047" s="97"/>
      <c r="U1047" s="97"/>
      <c r="V1047" s="97"/>
      <c r="W1047" s="97"/>
      <c r="X1047" s="97"/>
      <c r="Y1047" s="97"/>
      <c r="Z1047" s="97"/>
      <c r="AA1047" s="97"/>
      <c r="AB1047" s="97"/>
      <c r="AC1047" s="97"/>
      <c r="AD1047" s="97"/>
      <c r="AE1047" s="97"/>
      <c r="AF1047" s="97"/>
      <c r="AG1047" s="97"/>
      <c r="AH1047" s="97"/>
      <c r="AI1047" s="97"/>
      <c r="AJ1047" s="97"/>
      <c r="AK1047" s="97"/>
      <c r="AL1047" s="97"/>
      <c r="AM1047" s="97"/>
      <c r="AN1047" s="97"/>
      <c r="AO1047" s="97"/>
      <c r="AP1047" s="97"/>
      <c r="AQ1047" s="97"/>
      <c r="AR1047" s="97"/>
      <c r="AS1047" s="97"/>
      <c r="AT1047" s="97"/>
      <c r="AU1047" s="97"/>
      <c r="AV1047" s="97"/>
      <c r="AW1047" s="97"/>
      <c r="AX1047" s="97"/>
      <c r="AY1047" s="97"/>
      <c r="AZ1047" s="97"/>
      <c r="BA1047" s="97"/>
      <c r="BB1047" s="97"/>
      <c r="BC1047" s="97"/>
      <c r="BD1047" s="97"/>
      <c r="BE1047" s="97"/>
      <c r="BF1047" s="97"/>
      <c r="BG1047" s="97"/>
      <c r="BH1047" s="97"/>
    </row>
    <row r="1048" spans="1:60" x14ac:dyDescent="0.25">
      <c r="A1048" s="106"/>
      <c r="B1048" s="107"/>
      <c r="C1048" s="107"/>
      <c r="D1048" s="107"/>
      <c r="E1048" s="108"/>
      <c r="F1048" s="109"/>
      <c r="G1048" s="107"/>
      <c r="H1048" s="109"/>
      <c r="I1048" s="110"/>
      <c r="J1048" s="110"/>
      <c r="K1048" s="111"/>
      <c r="L1048" s="112"/>
      <c r="M1048" s="113"/>
      <c r="N1048" s="114"/>
      <c r="O1048" s="107"/>
      <c r="P1048" s="107"/>
      <c r="Q1048" s="115"/>
      <c r="R1048" s="116"/>
      <c r="S1048" s="107"/>
      <c r="T1048" s="107"/>
      <c r="U1048" s="107"/>
      <c r="V1048" s="107"/>
      <c r="W1048" s="107"/>
      <c r="X1048" s="107"/>
      <c r="Y1048" s="107"/>
      <c r="Z1048" s="107"/>
      <c r="AA1048" s="107"/>
      <c r="AB1048" s="107"/>
      <c r="AC1048" s="107"/>
      <c r="AD1048" s="107"/>
      <c r="AE1048" s="107"/>
      <c r="AF1048" s="107"/>
      <c r="AG1048" s="107"/>
      <c r="AH1048" s="107"/>
      <c r="AI1048" s="107"/>
      <c r="AJ1048" s="107"/>
      <c r="AK1048" s="107"/>
      <c r="AL1048" s="107"/>
      <c r="AM1048" s="107"/>
      <c r="AN1048" s="107"/>
      <c r="AO1048" s="107"/>
      <c r="AP1048" s="107"/>
      <c r="AQ1048" s="107"/>
      <c r="AR1048" s="107"/>
      <c r="AS1048" s="107"/>
      <c r="AT1048" s="107"/>
      <c r="AU1048" s="107"/>
      <c r="AV1048" s="107"/>
      <c r="AW1048" s="107"/>
      <c r="AX1048" s="107"/>
      <c r="AY1048" s="107"/>
      <c r="AZ1048" s="107"/>
      <c r="BA1048" s="107"/>
      <c r="BB1048" s="107"/>
      <c r="BC1048" s="107"/>
      <c r="BD1048" s="107"/>
      <c r="BE1048" s="107"/>
      <c r="BF1048" s="107"/>
      <c r="BG1048" s="107"/>
      <c r="BH1048" s="107"/>
    </row>
    <row r="1049" spans="1:60" x14ac:dyDescent="0.25">
      <c r="A1049" s="96"/>
      <c r="B1049" s="97"/>
      <c r="C1049" s="97"/>
      <c r="D1049" s="97"/>
      <c r="E1049" s="98"/>
      <c r="F1049" s="99"/>
      <c r="G1049" s="97"/>
      <c r="H1049" s="99"/>
      <c r="I1049" s="99"/>
      <c r="J1049" s="100"/>
      <c r="K1049" s="101"/>
      <c r="L1049" s="102"/>
      <c r="M1049" s="103"/>
      <c r="N1049" s="104"/>
      <c r="O1049" s="97"/>
      <c r="P1049" s="97"/>
      <c r="Q1049" s="97"/>
      <c r="R1049" s="105"/>
      <c r="S1049" s="97"/>
      <c r="T1049" s="97"/>
      <c r="U1049" s="97"/>
      <c r="V1049" s="97"/>
      <c r="W1049" s="97"/>
      <c r="X1049" s="97"/>
      <c r="Y1049" s="97"/>
      <c r="Z1049" s="97"/>
      <c r="AA1049" s="97"/>
      <c r="AB1049" s="97"/>
      <c r="AC1049" s="97"/>
      <c r="AD1049" s="97"/>
      <c r="AE1049" s="97"/>
      <c r="AF1049" s="97"/>
      <c r="AG1049" s="97"/>
      <c r="AH1049" s="97"/>
      <c r="AI1049" s="97"/>
      <c r="AJ1049" s="97"/>
      <c r="AK1049" s="97"/>
      <c r="AL1049" s="97"/>
      <c r="AM1049" s="97"/>
      <c r="AN1049" s="97"/>
      <c r="AO1049" s="97"/>
      <c r="AP1049" s="97"/>
      <c r="AQ1049" s="97"/>
      <c r="AR1049" s="97"/>
      <c r="AS1049" s="97"/>
      <c r="AT1049" s="97"/>
      <c r="AU1049" s="97"/>
      <c r="AV1049" s="97"/>
      <c r="AW1049" s="97"/>
      <c r="AX1049" s="97"/>
      <c r="AY1049" s="97"/>
      <c r="AZ1049" s="97"/>
      <c r="BA1049" s="97"/>
      <c r="BB1049" s="97"/>
      <c r="BC1049" s="97"/>
      <c r="BD1049" s="97"/>
      <c r="BE1049" s="97"/>
      <c r="BF1049" s="97"/>
      <c r="BG1049" s="97"/>
      <c r="BH1049" s="97"/>
    </row>
    <row r="1050" spans="1:60" x14ac:dyDescent="0.25">
      <c r="A1050" s="106"/>
      <c r="B1050" s="107"/>
      <c r="C1050" s="107"/>
      <c r="D1050" s="107"/>
      <c r="E1050" s="108"/>
      <c r="F1050" s="109"/>
      <c r="G1050" s="107"/>
      <c r="H1050" s="109"/>
      <c r="I1050" s="110"/>
      <c r="J1050" s="110"/>
      <c r="K1050" s="111"/>
      <c r="L1050" s="112"/>
      <c r="M1050" s="113"/>
      <c r="N1050" s="114"/>
      <c r="O1050" s="107"/>
      <c r="P1050" s="107"/>
      <c r="Q1050" s="115"/>
      <c r="R1050" s="116"/>
      <c r="S1050" s="107"/>
      <c r="T1050" s="107"/>
      <c r="U1050" s="107"/>
      <c r="V1050" s="107"/>
      <c r="W1050" s="107"/>
      <c r="X1050" s="107"/>
      <c r="Y1050" s="107"/>
      <c r="Z1050" s="107"/>
      <c r="AA1050" s="107"/>
      <c r="AB1050" s="107"/>
      <c r="AC1050" s="107"/>
      <c r="AD1050" s="107"/>
      <c r="AE1050" s="107"/>
      <c r="AF1050" s="107"/>
      <c r="AG1050" s="107"/>
      <c r="AH1050" s="107"/>
      <c r="AI1050" s="107"/>
      <c r="AJ1050" s="107"/>
      <c r="AK1050" s="107"/>
      <c r="AL1050" s="107"/>
      <c r="AM1050" s="107"/>
      <c r="AN1050" s="107"/>
      <c r="AO1050" s="107"/>
      <c r="AP1050" s="107"/>
      <c r="AQ1050" s="107"/>
      <c r="AR1050" s="107"/>
      <c r="AS1050" s="107"/>
      <c r="AT1050" s="107"/>
      <c r="AU1050" s="107"/>
      <c r="AV1050" s="107"/>
      <c r="AW1050" s="107"/>
      <c r="AX1050" s="107"/>
      <c r="AY1050" s="107"/>
      <c r="AZ1050" s="107"/>
      <c r="BA1050" s="107"/>
      <c r="BB1050" s="107"/>
      <c r="BC1050" s="107"/>
      <c r="BD1050" s="107"/>
      <c r="BE1050" s="107"/>
      <c r="BF1050" s="107"/>
      <c r="BG1050" s="107"/>
      <c r="BH1050" s="107"/>
    </row>
    <row r="1051" spans="1:60" x14ac:dyDescent="0.25">
      <c r="A1051" s="96"/>
      <c r="B1051" s="97"/>
      <c r="C1051" s="97"/>
      <c r="D1051" s="97"/>
      <c r="E1051" s="98"/>
      <c r="F1051" s="99"/>
      <c r="G1051" s="97"/>
      <c r="H1051" s="99"/>
      <c r="I1051" s="99"/>
      <c r="J1051" s="100"/>
      <c r="K1051" s="101"/>
      <c r="L1051" s="102"/>
      <c r="M1051" s="103"/>
      <c r="N1051" s="104"/>
      <c r="O1051" s="97"/>
      <c r="P1051" s="97"/>
      <c r="Q1051" s="97"/>
      <c r="R1051" s="105"/>
      <c r="S1051" s="97"/>
      <c r="T1051" s="97"/>
      <c r="U1051" s="97"/>
      <c r="V1051" s="97"/>
      <c r="W1051" s="97"/>
      <c r="X1051" s="97"/>
      <c r="Y1051" s="97"/>
      <c r="Z1051" s="97"/>
      <c r="AA1051" s="97"/>
      <c r="AB1051" s="97"/>
      <c r="AC1051" s="97"/>
      <c r="AD1051" s="97"/>
      <c r="AE1051" s="97"/>
      <c r="AF1051" s="97"/>
      <c r="AG1051" s="97"/>
      <c r="AH1051" s="97"/>
      <c r="AI1051" s="97"/>
      <c r="AJ1051" s="97"/>
      <c r="AK1051" s="97"/>
      <c r="AL1051" s="97"/>
      <c r="AM1051" s="97"/>
      <c r="AN1051" s="97"/>
      <c r="AO1051" s="97"/>
      <c r="AP1051" s="97"/>
      <c r="AQ1051" s="97"/>
      <c r="AR1051" s="97"/>
      <c r="AS1051" s="97"/>
      <c r="AT1051" s="97"/>
      <c r="AU1051" s="97"/>
      <c r="AV1051" s="97"/>
      <c r="AW1051" s="97"/>
      <c r="AX1051" s="97"/>
      <c r="AY1051" s="97"/>
      <c r="AZ1051" s="97"/>
      <c r="BA1051" s="97"/>
      <c r="BB1051" s="97"/>
      <c r="BC1051" s="97"/>
      <c r="BD1051" s="97"/>
      <c r="BE1051" s="97"/>
      <c r="BF1051" s="97"/>
      <c r="BG1051" s="97"/>
      <c r="BH1051" s="97"/>
    </row>
    <row r="1052" spans="1:60" x14ac:dyDescent="0.25">
      <c r="A1052" s="106"/>
      <c r="B1052" s="107"/>
      <c r="C1052" s="107"/>
      <c r="D1052" s="107"/>
      <c r="E1052" s="108"/>
      <c r="F1052" s="109"/>
      <c r="G1052" s="107"/>
      <c r="H1052" s="109"/>
      <c r="I1052" s="110"/>
      <c r="J1052" s="110"/>
      <c r="K1052" s="111"/>
      <c r="L1052" s="112"/>
      <c r="M1052" s="113"/>
      <c r="N1052" s="114"/>
      <c r="O1052" s="107"/>
      <c r="P1052" s="107"/>
      <c r="Q1052" s="115"/>
      <c r="R1052" s="116"/>
      <c r="S1052" s="107"/>
      <c r="T1052" s="107"/>
      <c r="U1052" s="107"/>
      <c r="V1052" s="107"/>
      <c r="W1052" s="107"/>
      <c r="X1052" s="107"/>
      <c r="Y1052" s="107"/>
      <c r="Z1052" s="107"/>
      <c r="AA1052" s="107"/>
      <c r="AB1052" s="107"/>
      <c r="AC1052" s="107"/>
      <c r="AD1052" s="107"/>
      <c r="AE1052" s="107"/>
      <c r="AF1052" s="107"/>
      <c r="AG1052" s="107"/>
      <c r="AH1052" s="107"/>
      <c r="AI1052" s="107"/>
      <c r="AJ1052" s="107"/>
      <c r="AK1052" s="107"/>
      <c r="AL1052" s="107"/>
      <c r="AM1052" s="107"/>
      <c r="AN1052" s="107"/>
      <c r="AO1052" s="107"/>
      <c r="AP1052" s="107"/>
      <c r="AQ1052" s="107"/>
      <c r="AR1052" s="107"/>
      <c r="AS1052" s="107"/>
      <c r="AT1052" s="107"/>
      <c r="AU1052" s="107"/>
      <c r="AV1052" s="107"/>
      <c r="AW1052" s="107"/>
      <c r="AX1052" s="107"/>
      <c r="AY1052" s="107"/>
      <c r="AZ1052" s="107"/>
      <c r="BA1052" s="107"/>
      <c r="BB1052" s="107"/>
      <c r="BC1052" s="107"/>
      <c r="BD1052" s="107"/>
      <c r="BE1052" s="107"/>
      <c r="BF1052" s="107"/>
      <c r="BG1052" s="107"/>
      <c r="BH1052" s="107"/>
    </row>
    <row r="1053" spans="1:60" x14ac:dyDescent="0.25">
      <c r="A1053" s="96"/>
      <c r="B1053" s="97"/>
      <c r="C1053" s="97"/>
      <c r="D1053" s="97"/>
      <c r="E1053" s="98"/>
      <c r="F1053" s="99"/>
      <c r="G1053" s="97"/>
      <c r="H1053" s="99"/>
      <c r="I1053" s="99"/>
      <c r="J1053" s="100"/>
      <c r="K1053" s="101"/>
      <c r="L1053" s="102"/>
      <c r="M1053" s="103"/>
      <c r="N1053" s="104"/>
      <c r="O1053" s="97"/>
      <c r="P1053" s="97"/>
      <c r="Q1053" s="97"/>
      <c r="R1053" s="105"/>
      <c r="S1053" s="97"/>
      <c r="T1053" s="97"/>
      <c r="U1053" s="97"/>
      <c r="V1053" s="97"/>
      <c r="W1053" s="97"/>
      <c r="X1053" s="97"/>
      <c r="Y1053" s="97"/>
      <c r="Z1053" s="97"/>
      <c r="AA1053" s="97"/>
      <c r="AB1053" s="97"/>
      <c r="AC1053" s="97"/>
      <c r="AD1053" s="97"/>
      <c r="AE1053" s="97"/>
      <c r="AF1053" s="97"/>
      <c r="AG1053" s="97"/>
      <c r="AH1053" s="97"/>
      <c r="AI1053" s="97"/>
      <c r="AJ1053" s="97"/>
      <c r="AK1053" s="97"/>
      <c r="AL1053" s="97"/>
      <c r="AM1053" s="97"/>
      <c r="AN1053" s="97"/>
      <c r="AO1053" s="97"/>
      <c r="AP1053" s="97"/>
      <c r="AQ1053" s="97"/>
      <c r="AR1053" s="97"/>
      <c r="AS1053" s="97"/>
      <c r="AT1053" s="97"/>
      <c r="AU1053" s="97"/>
      <c r="AV1053" s="97"/>
      <c r="AW1053" s="97"/>
      <c r="AX1053" s="97"/>
      <c r="AY1053" s="97"/>
      <c r="AZ1053" s="97"/>
      <c r="BA1053" s="97"/>
      <c r="BB1053" s="97"/>
      <c r="BC1053" s="97"/>
      <c r="BD1053" s="97"/>
      <c r="BE1053" s="97"/>
      <c r="BF1053" s="97"/>
      <c r="BG1053" s="97"/>
      <c r="BH1053" s="97"/>
    </row>
    <row r="1054" spans="1:60" x14ac:dyDescent="0.25">
      <c r="A1054" s="106"/>
      <c r="B1054" s="107"/>
      <c r="C1054" s="107"/>
      <c r="D1054" s="107"/>
      <c r="E1054" s="108"/>
      <c r="F1054" s="109"/>
      <c r="G1054" s="107"/>
      <c r="H1054" s="109"/>
      <c r="I1054" s="110"/>
      <c r="J1054" s="110"/>
      <c r="K1054" s="111"/>
      <c r="L1054" s="112"/>
      <c r="M1054" s="113"/>
      <c r="N1054" s="114"/>
      <c r="O1054" s="107"/>
      <c r="P1054" s="107"/>
      <c r="Q1054" s="115"/>
      <c r="R1054" s="116"/>
      <c r="S1054" s="107"/>
      <c r="T1054" s="107"/>
      <c r="U1054" s="107"/>
      <c r="V1054" s="107"/>
      <c r="W1054" s="107"/>
      <c r="X1054" s="107"/>
      <c r="Y1054" s="107"/>
      <c r="Z1054" s="107"/>
      <c r="AA1054" s="107"/>
      <c r="AB1054" s="107"/>
      <c r="AC1054" s="107"/>
      <c r="AD1054" s="107"/>
      <c r="AE1054" s="107"/>
      <c r="AF1054" s="107"/>
      <c r="AG1054" s="107"/>
      <c r="AH1054" s="107"/>
      <c r="AI1054" s="107"/>
      <c r="AJ1054" s="107"/>
      <c r="AK1054" s="107"/>
      <c r="AL1054" s="107"/>
      <c r="AM1054" s="107"/>
      <c r="AN1054" s="107"/>
      <c r="AO1054" s="107"/>
      <c r="AP1054" s="107"/>
      <c r="AQ1054" s="107"/>
      <c r="AR1054" s="107"/>
      <c r="AS1054" s="107"/>
      <c r="AT1054" s="107"/>
      <c r="AU1054" s="107"/>
      <c r="AV1054" s="107"/>
      <c r="AW1054" s="107"/>
      <c r="AX1054" s="107"/>
      <c r="AY1054" s="107"/>
      <c r="AZ1054" s="107"/>
      <c r="BA1054" s="107"/>
      <c r="BB1054" s="107"/>
      <c r="BC1054" s="107"/>
      <c r="BD1054" s="107"/>
      <c r="BE1054" s="107"/>
      <c r="BF1054" s="107"/>
      <c r="BG1054" s="107"/>
      <c r="BH1054" s="107"/>
    </row>
    <row r="1055" spans="1:60" x14ac:dyDescent="0.25">
      <c r="A1055" s="96"/>
      <c r="B1055" s="97"/>
      <c r="C1055" s="97"/>
      <c r="D1055" s="97"/>
      <c r="E1055" s="98"/>
      <c r="F1055" s="99"/>
      <c r="G1055" s="97"/>
      <c r="H1055" s="99"/>
      <c r="I1055" s="99"/>
      <c r="J1055" s="100"/>
      <c r="K1055" s="101"/>
      <c r="L1055" s="102"/>
      <c r="M1055" s="103"/>
      <c r="N1055" s="104"/>
      <c r="O1055" s="97"/>
      <c r="P1055" s="97"/>
      <c r="Q1055" s="97"/>
      <c r="R1055" s="105"/>
      <c r="S1055" s="97"/>
      <c r="T1055" s="97"/>
      <c r="U1055" s="97"/>
      <c r="V1055" s="97"/>
      <c r="W1055" s="97"/>
      <c r="X1055" s="97"/>
      <c r="Y1055" s="97"/>
      <c r="Z1055" s="97"/>
      <c r="AA1055" s="97"/>
      <c r="AB1055" s="97"/>
      <c r="AC1055" s="97"/>
      <c r="AD1055" s="97"/>
      <c r="AE1055" s="97"/>
      <c r="AF1055" s="97"/>
      <c r="AG1055" s="97"/>
      <c r="AH1055" s="97"/>
      <c r="AI1055" s="97"/>
      <c r="AJ1055" s="97"/>
      <c r="AK1055" s="97"/>
      <c r="AL1055" s="97"/>
      <c r="AM1055" s="97"/>
      <c r="AN1055" s="97"/>
      <c r="AO1055" s="97"/>
      <c r="AP1055" s="97"/>
      <c r="AQ1055" s="97"/>
      <c r="AR1055" s="97"/>
      <c r="AS1055" s="97"/>
      <c r="AT1055" s="97"/>
      <c r="AU1055" s="97"/>
      <c r="AV1055" s="97"/>
      <c r="AW1055" s="97"/>
      <c r="AX1055" s="97"/>
      <c r="AY1055" s="97"/>
      <c r="AZ1055" s="97"/>
      <c r="BA1055" s="97"/>
      <c r="BB1055" s="97"/>
      <c r="BC1055" s="97"/>
      <c r="BD1055" s="97"/>
      <c r="BE1055" s="97"/>
      <c r="BF1055" s="97"/>
      <c r="BG1055" s="97"/>
      <c r="BH1055" s="97"/>
    </row>
    <row r="1056" spans="1:60" x14ac:dyDescent="0.25">
      <c r="A1056" s="106"/>
      <c r="B1056" s="107"/>
      <c r="C1056" s="107"/>
      <c r="D1056" s="107"/>
      <c r="E1056" s="108"/>
      <c r="F1056" s="109"/>
      <c r="G1056" s="107"/>
      <c r="H1056" s="109"/>
      <c r="I1056" s="110"/>
      <c r="J1056" s="110"/>
      <c r="K1056" s="111"/>
      <c r="L1056" s="112"/>
      <c r="M1056" s="113"/>
      <c r="N1056" s="114"/>
      <c r="O1056" s="107"/>
      <c r="P1056" s="107"/>
      <c r="Q1056" s="115"/>
      <c r="R1056" s="116"/>
      <c r="S1056" s="107"/>
      <c r="T1056" s="107"/>
      <c r="U1056" s="107"/>
      <c r="V1056" s="107"/>
      <c r="W1056" s="107"/>
      <c r="X1056" s="107"/>
      <c r="Y1056" s="107"/>
      <c r="Z1056" s="107"/>
      <c r="AA1056" s="107"/>
      <c r="AB1056" s="107"/>
      <c r="AC1056" s="107"/>
      <c r="AD1056" s="107"/>
      <c r="AE1056" s="107"/>
      <c r="AF1056" s="107"/>
      <c r="AG1056" s="107"/>
      <c r="AH1056" s="107"/>
      <c r="AI1056" s="107"/>
      <c r="AJ1056" s="107"/>
      <c r="AK1056" s="107"/>
      <c r="AL1056" s="107"/>
      <c r="AM1056" s="107"/>
      <c r="AN1056" s="107"/>
      <c r="AO1056" s="107"/>
      <c r="AP1056" s="107"/>
      <c r="AQ1056" s="107"/>
      <c r="AR1056" s="107"/>
      <c r="AS1056" s="107"/>
      <c r="AT1056" s="107"/>
      <c r="AU1056" s="107"/>
      <c r="AV1056" s="107"/>
      <c r="AW1056" s="107"/>
      <c r="AX1056" s="107"/>
      <c r="AY1056" s="107"/>
      <c r="AZ1056" s="107"/>
      <c r="BA1056" s="107"/>
      <c r="BB1056" s="107"/>
      <c r="BC1056" s="107"/>
      <c r="BD1056" s="107"/>
      <c r="BE1056" s="107"/>
      <c r="BF1056" s="107"/>
      <c r="BG1056" s="107"/>
      <c r="BH1056" s="107"/>
    </row>
    <row r="1057" spans="1:60" x14ac:dyDescent="0.25">
      <c r="A1057" s="96"/>
      <c r="B1057" s="97"/>
      <c r="C1057" s="97"/>
      <c r="D1057" s="97"/>
      <c r="E1057" s="98"/>
      <c r="F1057" s="99"/>
      <c r="G1057" s="97"/>
      <c r="H1057" s="99"/>
      <c r="I1057" s="99"/>
      <c r="J1057" s="100"/>
      <c r="K1057" s="101"/>
      <c r="L1057" s="102"/>
      <c r="M1057" s="103"/>
      <c r="N1057" s="104"/>
      <c r="O1057" s="97"/>
      <c r="P1057" s="97"/>
      <c r="Q1057" s="97"/>
      <c r="R1057" s="105"/>
      <c r="S1057" s="97"/>
      <c r="T1057" s="97"/>
      <c r="U1057" s="97"/>
      <c r="V1057" s="97"/>
      <c r="W1057" s="97"/>
      <c r="X1057" s="97"/>
      <c r="Y1057" s="97"/>
      <c r="Z1057" s="97"/>
      <c r="AA1057" s="97"/>
      <c r="AB1057" s="97"/>
      <c r="AC1057" s="97"/>
      <c r="AD1057" s="97"/>
      <c r="AE1057" s="97"/>
      <c r="AF1057" s="97"/>
      <c r="AG1057" s="97"/>
      <c r="AH1057" s="97"/>
      <c r="AI1057" s="97"/>
      <c r="AJ1057" s="97"/>
      <c r="AK1057" s="97"/>
      <c r="AL1057" s="97"/>
      <c r="AM1057" s="97"/>
      <c r="AN1057" s="97"/>
      <c r="AO1057" s="97"/>
      <c r="AP1057" s="97"/>
      <c r="AQ1057" s="97"/>
      <c r="AR1057" s="97"/>
      <c r="AS1057" s="97"/>
      <c r="AT1057" s="97"/>
      <c r="AU1057" s="97"/>
      <c r="AV1057" s="97"/>
      <c r="AW1057" s="97"/>
      <c r="AX1057" s="97"/>
      <c r="AY1057" s="97"/>
      <c r="AZ1057" s="97"/>
      <c r="BA1057" s="97"/>
      <c r="BB1057" s="97"/>
      <c r="BC1057" s="97"/>
      <c r="BD1057" s="97"/>
      <c r="BE1057" s="97"/>
      <c r="BF1057" s="97"/>
      <c r="BG1057" s="97"/>
      <c r="BH1057" s="97"/>
    </row>
    <row r="1058" spans="1:60" x14ac:dyDescent="0.25">
      <c r="A1058" s="106"/>
      <c r="B1058" s="107"/>
      <c r="C1058" s="107"/>
      <c r="D1058" s="107"/>
      <c r="E1058" s="108"/>
      <c r="F1058" s="109"/>
      <c r="G1058" s="107"/>
      <c r="H1058" s="109"/>
      <c r="I1058" s="110"/>
      <c r="J1058" s="110"/>
      <c r="K1058" s="111"/>
      <c r="L1058" s="112"/>
      <c r="M1058" s="113"/>
      <c r="N1058" s="114"/>
      <c r="O1058" s="107"/>
      <c r="P1058" s="107"/>
      <c r="Q1058" s="115"/>
      <c r="R1058" s="116"/>
      <c r="S1058" s="107"/>
      <c r="T1058" s="107"/>
      <c r="U1058" s="107"/>
      <c r="V1058" s="107"/>
      <c r="W1058" s="107"/>
      <c r="X1058" s="107"/>
      <c r="Y1058" s="107"/>
      <c r="Z1058" s="107"/>
      <c r="AA1058" s="107"/>
      <c r="AB1058" s="107"/>
      <c r="AC1058" s="107"/>
      <c r="AD1058" s="107"/>
      <c r="AE1058" s="107"/>
      <c r="AF1058" s="107"/>
      <c r="AG1058" s="107"/>
      <c r="AH1058" s="107"/>
      <c r="AI1058" s="107"/>
      <c r="AJ1058" s="107"/>
      <c r="AK1058" s="107"/>
      <c r="AL1058" s="107"/>
      <c r="AM1058" s="107"/>
      <c r="AN1058" s="107"/>
      <c r="AO1058" s="107"/>
      <c r="AP1058" s="107"/>
      <c r="AQ1058" s="107"/>
      <c r="AR1058" s="107"/>
      <c r="AS1058" s="107"/>
      <c r="AT1058" s="107"/>
      <c r="AU1058" s="107"/>
      <c r="AV1058" s="107"/>
      <c r="AW1058" s="107"/>
      <c r="AX1058" s="107"/>
      <c r="AY1058" s="107"/>
      <c r="AZ1058" s="107"/>
      <c r="BA1058" s="107"/>
      <c r="BB1058" s="107"/>
      <c r="BC1058" s="107"/>
      <c r="BD1058" s="107"/>
      <c r="BE1058" s="107"/>
      <c r="BF1058" s="107"/>
      <c r="BG1058" s="107"/>
      <c r="BH1058" s="107"/>
    </row>
    <row r="1059" spans="1:60" x14ac:dyDescent="0.25">
      <c r="A1059" s="96"/>
      <c r="B1059" s="97"/>
      <c r="C1059" s="97"/>
      <c r="D1059" s="97"/>
      <c r="E1059" s="98"/>
      <c r="F1059" s="99"/>
      <c r="G1059" s="97"/>
      <c r="H1059" s="99"/>
      <c r="I1059" s="99"/>
      <c r="J1059" s="100"/>
      <c r="K1059" s="101"/>
      <c r="L1059" s="102"/>
      <c r="M1059" s="103"/>
      <c r="N1059" s="104"/>
      <c r="O1059" s="97"/>
      <c r="P1059" s="97"/>
      <c r="Q1059" s="97"/>
      <c r="R1059" s="105"/>
      <c r="S1059" s="97"/>
      <c r="T1059" s="97"/>
      <c r="U1059" s="97"/>
      <c r="V1059" s="97"/>
      <c r="W1059" s="97"/>
      <c r="X1059" s="97"/>
      <c r="Y1059" s="97"/>
      <c r="Z1059" s="97"/>
      <c r="AA1059" s="97"/>
      <c r="AB1059" s="97"/>
      <c r="AC1059" s="97"/>
      <c r="AD1059" s="97"/>
      <c r="AE1059" s="97"/>
      <c r="AF1059" s="97"/>
      <c r="AG1059" s="97"/>
      <c r="AH1059" s="97"/>
      <c r="AI1059" s="97"/>
      <c r="AJ1059" s="97"/>
      <c r="AK1059" s="97"/>
      <c r="AL1059" s="97"/>
      <c r="AM1059" s="97"/>
      <c r="AN1059" s="97"/>
      <c r="AO1059" s="97"/>
      <c r="AP1059" s="97"/>
      <c r="AQ1059" s="97"/>
      <c r="AR1059" s="97"/>
      <c r="AS1059" s="97"/>
      <c r="AT1059" s="97"/>
      <c r="AU1059" s="97"/>
      <c r="AV1059" s="97"/>
      <c r="AW1059" s="97"/>
      <c r="AX1059" s="97"/>
      <c r="AY1059" s="97"/>
      <c r="AZ1059" s="97"/>
      <c r="BA1059" s="97"/>
      <c r="BB1059" s="97"/>
      <c r="BC1059" s="97"/>
      <c r="BD1059" s="97"/>
      <c r="BE1059" s="97"/>
      <c r="BF1059" s="97"/>
      <c r="BG1059" s="97"/>
      <c r="BH1059" s="97"/>
    </row>
    <row r="1060" spans="1:60" x14ac:dyDescent="0.25">
      <c r="A1060" s="106"/>
      <c r="B1060" s="107"/>
      <c r="C1060" s="107"/>
      <c r="D1060" s="107"/>
      <c r="E1060" s="108"/>
      <c r="F1060" s="109"/>
      <c r="G1060" s="107"/>
      <c r="H1060" s="109"/>
      <c r="I1060" s="110"/>
      <c r="J1060" s="110"/>
      <c r="K1060" s="111"/>
      <c r="L1060" s="112"/>
      <c r="M1060" s="113"/>
      <c r="N1060" s="114"/>
      <c r="O1060" s="107"/>
      <c r="P1060" s="107"/>
      <c r="Q1060" s="115"/>
      <c r="R1060" s="116"/>
      <c r="S1060" s="107"/>
      <c r="T1060" s="107"/>
      <c r="U1060" s="107"/>
      <c r="V1060" s="107"/>
      <c r="W1060" s="107"/>
      <c r="X1060" s="107"/>
      <c r="Y1060" s="107"/>
      <c r="Z1060" s="107"/>
      <c r="AA1060" s="107"/>
      <c r="AB1060" s="107"/>
      <c r="AC1060" s="107"/>
      <c r="AD1060" s="107"/>
      <c r="AE1060" s="107"/>
      <c r="AF1060" s="107"/>
      <c r="AG1060" s="107"/>
      <c r="AH1060" s="107"/>
      <c r="AI1060" s="107"/>
      <c r="AJ1060" s="107"/>
      <c r="AK1060" s="107"/>
      <c r="AL1060" s="107"/>
      <c r="AM1060" s="107"/>
      <c r="AN1060" s="107"/>
      <c r="AO1060" s="107"/>
      <c r="AP1060" s="107"/>
      <c r="AQ1060" s="107"/>
      <c r="AR1060" s="107"/>
      <c r="AS1060" s="107"/>
      <c r="AT1060" s="107"/>
      <c r="AU1060" s="107"/>
      <c r="AV1060" s="107"/>
      <c r="AW1060" s="107"/>
      <c r="AX1060" s="107"/>
      <c r="AY1060" s="107"/>
      <c r="AZ1060" s="107"/>
      <c r="BA1060" s="107"/>
      <c r="BB1060" s="107"/>
      <c r="BC1060" s="107"/>
      <c r="BD1060" s="107"/>
      <c r="BE1060" s="107"/>
      <c r="BF1060" s="107"/>
      <c r="BG1060" s="107"/>
      <c r="BH1060" s="107"/>
    </row>
    <row r="1061" spans="1:60" x14ac:dyDescent="0.25">
      <c r="A1061" s="96"/>
      <c r="B1061" s="97"/>
      <c r="C1061" s="97"/>
      <c r="D1061" s="97"/>
      <c r="E1061" s="98"/>
      <c r="F1061" s="99"/>
      <c r="G1061" s="97"/>
      <c r="H1061" s="99"/>
      <c r="I1061" s="99"/>
      <c r="J1061" s="100"/>
      <c r="K1061" s="101"/>
      <c r="L1061" s="102"/>
      <c r="M1061" s="103"/>
      <c r="N1061" s="104"/>
      <c r="O1061" s="97"/>
      <c r="P1061" s="97"/>
      <c r="Q1061" s="97"/>
      <c r="R1061" s="105"/>
      <c r="S1061" s="97"/>
      <c r="T1061" s="97"/>
      <c r="U1061" s="97"/>
      <c r="V1061" s="97"/>
      <c r="W1061" s="97"/>
      <c r="X1061" s="97"/>
      <c r="Y1061" s="97"/>
      <c r="Z1061" s="97"/>
      <c r="AA1061" s="97"/>
      <c r="AB1061" s="97"/>
      <c r="AC1061" s="97"/>
      <c r="AD1061" s="97"/>
      <c r="AE1061" s="97"/>
      <c r="AF1061" s="97"/>
      <c r="AG1061" s="97"/>
      <c r="AH1061" s="97"/>
      <c r="AI1061" s="97"/>
      <c r="AJ1061" s="97"/>
      <c r="AK1061" s="97"/>
      <c r="AL1061" s="97"/>
      <c r="AM1061" s="97"/>
      <c r="AN1061" s="97"/>
      <c r="AO1061" s="97"/>
      <c r="AP1061" s="97"/>
      <c r="AQ1061" s="97"/>
      <c r="AR1061" s="97"/>
      <c r="AS1061" s="97"/>
      <c r="AT1061" s="97"/>
      <c r="AU1061" s="97"/>
      <c r="AV1061" s="97"/>
      <c r="AW1061" s="97"/>
      <c r="AX1061" s="97"/>
      <c r="AY1061" s="97"/>
      <c r="AZ1061" s="97"/>
      <c r="BA1061" s="97"/>
      <c r="BB1061" s="97"/>
      <c r="BC1061" s="97"/>
      <c r="BD1061" s="97"/>
      <c r="BE1061" s="97"/>
      <c r="BF1061" s="97"/>
      <c r="BG1061" s="97"/>
      <c r="BH1061" s="97"/>
    </row>
    <row r="1062" spans="1:60" x14ac:dyDescent="0.25">
      <c r="A1062" s="106"/>
      <c r="B1062" s="107"/>
      <c r="C1062" s="107"/>
      <c r="D1062" s="107"/>
      <c r="E1062" s="108"/>
      <c r="F1062" s="109"/>
      <c r="G1062" s="107"/>
      <c r="H1062" s="109"/>
      <c r="I1062" s="110"/>
      <c r="J1062" s="110"/>
      <c r="K1062" s="111"/>
      <c r="L1062" s="112"/>
      <c r="M1062" s="113"/>
      <c r="N1062" s="114"/>
      <c r="O1062" s="107"/>
      <c r="P1062" s="107"/>
      <c r="Q1062" s="115"/>
      <c r="R1062" s="116"/>
      <c r="S1062" s="107"/>
      <c r="T1062" s="107"/>
      <c r="U1062" s="107"/>
      <c r="V1062" s="107"/>
      <c r="W1062" s="107"/>
      <c r="X1062" s="107"/>
      <c r="Y1062" s="107"/>
      <c r="Z1062" s="107"/>
      <c r="AA1062" s="107"/>
      <c r="AB1062" s="107"/>
      <c r="AC1062" s="107"/>
      <c r="AD1062" s="107"/>
      <c r="AE1062" s="107"/>
      <c r="AF1062" s="107"/>
      <c r="AG1062" s="107"/>
      <c r="AH1062" s="107"/>
      <c r="AI1062" s="107"/>
      <c r="AJ1062" s="107"/>
      <c r="AK1062" s="107"/>
      <c r="AL1062" s="107"/>
      <c r="AM1062" s="107"/>
      <c r="AN1062" s="107"/>
      <c r="AO1062" s="107"/>
      <c r="AP1062" s="107"/>
      <c r="AQ1062" s="107"/>
      <c r="AR1062" s="107"/>
      <c r="AS1062" s="107"/>
      <c r="AT1062" s="107"/>
      <c r="AU1062" s="107"/>
      <c r="AV1062" s="107"/>
      <c r="AW1062" s="107"/>
      <c r="AX1062" s="107"/>
      <c r="AY1062" s="107"/>
      <c r="AZ1062" s="107"/>
      <c r="BA1062" s="107"/>
      <c r="BB1062" s="107"/>
      <c r="BC1062" s="107"/>
      <c r="BD1062" s="107"/>
      <c r="BE1062" s="107"/>
      <c r="BF1062" s="107"/>
      <c r="BG1062" s="107"/>
      <c r="BH1062" s="107"/>
    </row>
    <row r="1063" spans="1:60" x14ac:dyDescent="0.25">
      <c r="A1063" s="96"/>
      <c r="B1063" s="97"/>
      <c r="C1063" s="97"/>
      <c r="D1063" s="97"/>
      <c r="E1063" s="98"/>
      <c r="F1063" s="99"/>
      <c r="G1063" s="97"/>
      <c r="H1063" s="99"/>
      <c r="I1063" s="99"/>
      <c r="J1063" s="100"/>
      <c r="K1063" s="101"/>
      <c r="L1063" s="102"/>
      <c r="M1063" s="103"/>
      <c r="N1063" s="104"/>
      <c r="O1063" s="97"/>
      <c r="P1063" s="97"/>
      <c r="Q1063" s="97"/>
      <c r="R1063" s="105"/>
      <c r="S1063" s="97"/>
      <c r="T1063" s="97"/>
      <c r="U1063" s="97"/>
      <c r="V1063" s="97"/>
      <c r="W1063" s="97"/>
      <c r="X1063" s="97"/>
      <c r="Y1063" s="97"/>
      <c r="Z1063" s="97"/>
      <c r="AA1063" s="97"/>
      <c r="AB1063" s="97"/>
      <c r="AC1063" s="97"/>
      <c r="AD1063" s="97"/>
      <c r="AE1063" s="97"/>
      <c r="AF1063" s="97"/>
      <c r="AG1063" s="97"/>
      <c r="AH1063" s="97"/>
      <c r="AI1063" s="97"/>
      <c r="AJ1063" s="97"/>
      <c r="AK1063" s="97"/>
      <c r="AL1063" s="97"/>
      <c r="AM1063" s="97"/>
      <c r="AN1063" s="97"/>
      <c r="AO1063" s="97"/>
      <c r="AP1063" s="97"/>
      <c r="AQ1063" s="97"/>
      <c r="AR1063" s="97"/>
      <c r="AS1063" s="97"/>
      <c r="AT1063" s="97"/>
      <c r="AU1063" s="97"/>
      <c r="AV1063" s="97"/>
      <c r="AW1063" s="97"/>
      <c r="AX1063" s="97"/>
      <c r="AY1063" s="97"/>
      <c r="AZ1063" s="97"/>
      <c r="BA1063" s="97"/>
      <c r="BB1063" s="97"/>
      <c r="BC1063" s="97"/>
      <c r="BD1063" s="97"/>
      <c r="BE1063" s="97"/>
      <c r="BF1063" s="97"/>
      <c r="BG1063" s="97"/>
      <c r="BH1063" s="97"/>
    </row>
    <row r="1064" spans="1:60" x14ac:dyDescent="0.25">
      <c r="A1064" s="106"/>
      <c r="B1064" s="107"/>
      <c r="C1064" s="107"/>
      <c r="D1064" s="107"/>
      <c r="E1064" s="108"/>
      <c r="F1064" s="109"/>
      <c r="G1064" s="107"/>
      <c r="H1064" s="109"/>
      <c r="I1064" s="110"/>
      <c r="J1064" s="110"/>
      <c r="K1064" s="111"/>
      <c r="L1064" s="112"/>
      <c r="M1064" s="113"/>
      <c r="N1064" s="114"/>
      <c r="O1064" s="107"/>
      <c r="P1064" s="107"/>
      <c r="Q1064" s="115"/>
      <c r="R1064" s="116"/>
      <c r="S1064" s="107"/>
      <c r="T1064" s="107"/>
      <c r="U1064" s="107"/>
      <c r="V1064" s="107"/>
      <c r="W1064" s="107"/>
      <c r="X1064" s="107"/>
      <c r="Y1064" s="107"/>
      <c r="Z1064" s="107"/>
      <c r="AA1064" s="107"/>
      <c r="AB1064" s="107"/>
      <c r="AC1064" s="107"/>
      <c r="AD1064" s="107"/>
      <c r="AE1064" s="107"/>
      <c r="AF1064" s="107"/>
      <c r="AG1064" s="107"/>
      <c r="AH1064" s="107"/>
      <c r="AI1064" s="107"/>
      <c r="AJ1064" s="107"/>
      <c r="AK1064" s="107"/>
      <c r="AL1064" s="107"/>
      <c r="AM1064" s="107"/>
      <c r="AN1064" s="107"/>
      <c r="AO1064" s="107"/>
      <c r="AP1064" s="107"/>
      <c r="AQ1064" s="107"/>
      <c r="AR1064" s="107"/>
      <c r="AS1064" s="107"/>
      <c r="AT1064" s="107"/>
      <c r="AU1064" s="107"/>
      <c r="AV1064" s="107"/>
      <c r="AW1064" s="107"/>
      <c r="AX1064" s="107"/>
      <c r="AY1064" s="107"/>
      <c r="AZ1064" s="107"/>
      <c r="BA1064" s="107"/>
      <c r="BB1064" s="107"/>
      <c r="BC1064" s="107"/>
      <c r="BD1064" s="107"/>
      <c r="BE1064" s="107"/>
      <c r="BF1064" s="107"/>
      <c r="BG1064" s="107"/>
      <c r="BH1064" s="107"/>
    </row>
    <row r="1065" spans="1:60" x14ac:dyDescent="0.25">
      <c r="A1065" s="96"/>
      <c r="B1065" s="97"/>
      <c r="C1065" s="97"/>
      <c r="D1065" s="97"/>
      <c r="E1065" s="98"/>
      <c r="F1065" s="99"/>
      <c r="G1065" s="97"/>
      <c r="H1065" s="99"/>
      <c r="I1065" s="99"/>
      <c r="J1065" s="100"/>
      <c r="K1065" s="101"/>
      <c r="L1065" s="102"/>
      <c r="M1065" s="103"/>
      <c r="N1065" s="104"/>
      <c r="O1065" s="97"/>
      <c r="P1065" s="97"/>
      <c r="Q1065" s="97"/>
      <c r="R1065" s="105"/>
      <c r="S1065" s="97"/>
      <c r="T1065" s="97"/>
      <c r="U1065" s="97"/>
      <c r="V1065" s="97"/>
      <c r="W1065" s="97"/>
      <c r="X1065" s="97"/>
      <c r="Y1065" s="97"/>
      <c r="Z1065" s="97"/>
      <c r="AA1065" s="97"/>
      <c r="AB1065" s="97"/>
      <c r="AC1065" s="97"/>
      <c r="AD1065" s="97"/>
      <c r="AE1065" s="97"/>
      <c r="AF1065" s="97"/>
      <c r="AG1065" s="97"/>
      <c r="AH1065" s="97"/>
      <c r="AI1065" s="97"/>
      <c r="AJ1065" s="97"/>
      <c r="AK1065" s="97"/>
      <c r="AL1065" s="97"/>
      <c r="AM1065" s="97"/>
      <c r="AN1065" s="97"/>
      <c r="AO1065" s="97"/>
      <c r="AP1065" s="97"/>
      <c r="AQ1065" s="97"/>
      <c r="AR1065" s="97"/>
      <c r="AS1065" s="97"/>
      <c r="AT1065" s="97"/>
      <c r="AU1065" s="97"/>
      <c r="AV1065" s="97"/>
      <c r="AW1065" s="97"/>
      <c r="AX1065" s="97"/>
      <c r="AY1065" s="97"/>
      <c r="AZ1065" s="97"/>
      <c r="BA1065" s="97"/>
      <c r="BB1065" s="97"/>
      <c r="BC1065" s="97"/>
      <c r="BD1065" s="97"/>
      <c r="BE1065" s="97"/>
      <c r="BF1065" s="97"/>
      <c r="BG1065" s="97"/>
      <c r="BH1065" s="97"/>
    </row>
    <row r="1066" spans="1:60" x14ac:dyDescent="0.25">
      <c r="A1066" s="106"/>
      <c r="B1066" s="107"/>
      <c r="C1066" s="107"/>
      <c r="D1066" s="107"/>
      <c r="E1066" s="108"/>
      <c r="F1066" s="109"/>
      <c r="G1066" s="107"/>
      <c r="H1066" s="109"/>
      <c r="I1066" s="110"/>
      <c r="J1066" s="110"/>
      <c r="K1066" s="111"/>
      <c r="L1066" s="112"/>
      <c r="M1066" s="113"/>
      <c r="N1066" s="114"/>
      <c r="O1066" s="107"/>
      <c r="P1066" s="107"/>
      <c r="Q1066" s="115"/>
      <c r="R1066" s="116"/>
      <c r="S1066" s="107"/>
      <c r="T1066" s="107"/>
      <c r="U1066" s="107"/>
      <c r="V1066" s="107"/>
      <c r="W1066" s="107"/>
      <c r="X1066" s="107"/>
      <c r="Y1066" s="107"/>
      <c r="Z1066" s="107"/>
      <c r="AA1066" s="107"/>
      <c r="AB1066" s="107"/>
      <c r="AC1066" s="107"/>
      <c r="AD1066" s="107"/>
      <c r="AE1066" s="107"/>
      <c r="AF1066" s="107"/>
      <c r="AG1066" s="107"/>
      <c r="AH1066" s="107"/>
      <c r="AI1066" s="107"/>
      <c r="AJ1066" s="107"/>
      <c r="AK1066" s="107"/>
      <c r="AL1066" s="107"/>
      <c r="AM1066" s="107"/>
      <c r="AN1066" s="107"/>
      <c r="AO1066" s="107"/>
      <c r="AP1066" s="107"/>
      <c r="AQ1066" s="107"/>
      <c r="AR1066" s="107"/>
      <c r="AS1066" s="107"/>
      <c r="AT1066" s="107"/>
      <c r="AU1066" s="107"/>
      <c r="AV1066" s="107"/>
      <c r="AW1066" s="107"/>
      <c r="AX1066" s="107"/>
      <c r="AY1066" s="107"/>
      <c r="AZ1066" s="107"/>
      <c r="BA1066" s="107"/>
      <c r="BB1066" s="107"/>
      <c r="BC1066" s="107"/>
      <c r="BD1066" s="107"/>
      <c r="BE1066" s="107"/>
      <c r="BF1066" s="107"/>
      <c r="BG1066" s="107"/>
      <c r="BH1066" s="107"/>
    </row>
    <row r="1067" spans="1:60" x14ac:dyDescent="0.25">
      <c r="A1067" s="96"/>
      <c r="B1067" s="97"/>
      <c r="C1067" s="97"/>
      <c r="D1067" s="97"/>
      <c r="E1067" s="98"/>
      <c r="F1067" s="99"/>
      <c r="G1067" s="97"/>
      <c r="H1067" s="99"/>
      <c r="I1067" s="99"/>
      <c r="J1067" s="100"/>
      <c r="K1067" s="101"/>
      <c r="L1067" s="102"/>
      <c r="M1067" s="103"/>
      <c r="N1067" s="104"/>
      <c r="O1067" s="97"/>
      <c r="P1067" s="97"/>
      <c r="Q1067" s="97"/>
      <c r="R1067" s="105"/>
      <c r="S1067" s="97"/>
      <c r="T1067" s="97"/>
      <c r="U1067" s="97"/>
      <c r="V1067" s="97"/>
      <c r="W1067" s="97"/>
      <c r="X1067" s="97"/>
      <c r="Y1067" s="97"/>
      <c r="Z1067" s="97"/>
      <c r="AA1067" s="97"/>
      <c r="AB1067" s="97"/>
      <c r="AC1067" s="97"/>
      <c r="AD1067" s="97"/>
      <c r="AE1067" s="97"/>
      <c r="AF1067" s="97"/>
      <c r="AG1067" s="97"/>
      <c r="AH1067" s="97"/>
      <c r="AI1067" s="97"/>
      <c r="AJ1067" s="97"/>
      <c r="AK1067" s="97"/>
      <c r="AL1067" s="97"/>
      <c r="AM1067" s="97"/>
      <c r="AN1067" s="97"/>
      <c r="AO1067" s="97"/>
      <c r="AP1067" s="97"/>
      <c r="AQ1067" s="97"/>
      <c r="AR1067" s="97"/>
      <c r="AS1067" s="97"/>
      <c r="AT1067" s="97"/>
      <c r="AU1067" s="97"/>
      <c r="AV1067" s="97"/>
      <c r="AW1067" s="97"/>
      <c r="AX1067" s="97"/>
      <c r="AY1067" s="97"/>
      <c r="AZ1067" s="97"/>
      <c r="BA1067" s="97"/>
      <c r="BB1067" s="97"/>
      <c r="BC1067" s="97"/>
      <c r="BD1067" s="97"/>
      <c r="BE1067" s="97"/>
      <c r="BF1067" s="97"/>
      <c r="BG1067" s="97"/>
      <c r="BH1067" s="97"/>
    </row>
    <row r="1068" spans="1:60" x14ac:dyDescent="0.25">
      <c r="A1068" s="106"/>
      <c r="B1068" s="107"/>
      <c r="C1068" s="107"/>
      <c r="D1068" s="107"/>
      <c r="E1068" s="108"/>
      <c r="F1068" s="109"/>
      <c r="G1068" s="107"/>
      <c r="H1068" s="109"/>
      <c r="I1068" s="110"/>
      <c r="J1068" s="110"/>
      <c r="K1068" s="111"/>
      <c r="L1068" s="112"/>
      <c r="M1068" s="113"/>
      <c r="N1068" s="114"/>
      <c r="O1068" s="107"/>
      <c r="P1068" s="107"/>
      <c r="Q1068" s="115"/>
      <c r="R1068" s="116"/>
      <c r="S1068" s="107"/>
      <c r="T1068" s="107"/>
      <c r="U1068" s="107"/>
      <c r="V1068" s="107"/>
      <c r="W1068" s="107"/>
      <c r="X1068" s="107"/>
      <c r="Y1068" s="107"/>
      <c r="Z1068" s="107"/>
      <c r="AA1068" s="107"/>
      <c r="AB1068" s="107"/>
      <c r="AC1068" s="107"/>
      <c r="AD1068" s="107"/>
      <c r="AE1068" s="107"/>
      <c r="AF1068" s="107"/>
      <c r="AG1068" s="107"/>
      <c r="AH1068" s="107"/>
      <c r="AI1068" s="107"/>
      <c r="AJ1068" s="107"/>
      <c r="AK1068" s="107"/>
      <c r="AL1068" s="107"/>
      <c r="AM1068" s="107"/>
      <c r="AN1068" s="107"/>
      <c r="AO1068" s="107"/>
      <c r="AP1068" s="107"/>
      <c r="AQ1068" s="107"/>
      <c r="AR1068" s="107"/>
      <c r="AS1068" s="107"/>
      <c r="AT1068" s="107"/>
      <c r="AU1068" s="107"/>
      <c r="AV1068" s="107"/>
      <c r="AW1068" s="107"/>
      <c r="AX1068" s="107"/>
      <c r="AY1068" s="107"/>
      <c r="AZ1068" s="107"/>
      <c r="BA1068" s="107"/>
      <c r="BB1068" s="107"/>
      <c r="BC1068" s="107"/>
      <c r="BD1068" s="107"/>
      <c r="BE1068" s="107"/>
      <c r="BF1068" s="107"/>
      <c r="BG1068" s="107"/>
      <c r="BH1068" s="107"/>
    </row>
    <row r="1069" spans="1:60" x14ac:dyDescent="0.25">
      <c r="A1069" s="96"/>
      <c r="B1069" s="97"/>
      <c r="C1069" s="97"/>
      <c r="D1069" s="97"/>
      <c r="E1069" s="98"/>
      <c r="F1069" s="99"/>
      <c r="G1069" s="97"/>
      <c r="H1069" s="99"/>
      <c r="I1069" s="99"/>
      <c r="J1069" s="100"/>
      <c r="K1069" s="101"/>
      <c r="L1069" s="102"/>
      <c r="M1069" s="103"/>
      <c r="N1069" s="104"/>
      <c r="O1069" s="97"/>
      <c r="P1069" s="97"/>
      <c r="Q1069" s="97"/>
      <c r="R1069" s="105"/>
      <c r="S1069" s="97"/>
      <c r="T1069" s="97"/>
      <c r="U1069" s="97"/>
      <c r="V1069" s="97"/>
      <c r="W1069" s="97"/>
      <c r="X1069" s="97"/>
      <c r="Y1069" s="97"/>
      <c r="Z1069" s="97"/>
      <c r="AA1069" s="97"/>
      <c r="AB1069" s="97"/>
      <c r="AC1069" s="97"/>
      <c r="AD1069" s="97"/>
      <c r="AE1069" s="97"/>
      <c r="AF1069" s="97"/>
      <c r="AG1069" s="97"/>
      <c r="AH1069" s="97"/>
      <c r="AI1069" s="97"/>
      <c r="AJ1069" s="97"/>
      <c r="AK1069" s="97"/>
      <c r="AL1069" s="97"/>
      <c r="AM1069" s="97"/>
      <c r="AN1069" s="97"/>
      <c r="AO1069" s="97"/>
      <c r="AP1069" s="97"/>
      <c r="AQ1069" s="97"/>
      <c r="AR1069" s="97"/>
      <c r="AS1069" s="97"/>
      <c r="AT1069" s="97"/>
      <c r="AU1069" s="97"/>
      <c r="AV1069" s="97"/>
      <c r="AW1069" s="97"/>
      <c r="AX1069" s="97"/>
      <c r="AY1069" s="97"/>
      <c r="AZ1069" s="97"/>
      <c r="BA1069" s="97"/>
      <c r="BB1069" s="97"/>
      <c r="BC1069" s="97"/>
      <c r="BD1069" s="97"/>
      <c r="BE1069" s="97"/>
      <c r="BF1069" s="97"/>
      <c r="BG1069" s="97"/>
      <c r="BH1069" s="97"/>
    </row>
    <row r="1070" spans="1:60" x14ac:dyDescent="0.25">
      <c r="A1070" s="106"/>
      <c r="B1070" s="107"/>
      <c r="C1070" s="107"/>
      <c r="D1070" s="107"/>
      <c r="E1070" s="108"/>
      <c r="F1070" s="109"/>
      <c r="G1070" s="107"/>
      <c r="H1070" s="109"/>
      <c r="I1070" s="110"/>
      <c r="J1070" s="110"/>
      <c r="K1070" s="111"/>
      <c r="L1070" s="112"/>
      <c r="M1070" s="113"/>
      <c r="N1070" s="114"/>
      <c r="O1070" s="107"/>
      <c r="P1070" s="107"/>
      <c r="Q1070" s="115"/>
      <c r="R1070" s="116"/>
      <c r="S1070" s="107"/>
      <c r="T1070" s="107"/>
      <c r="U1070" s="107"/>
      <c r="V1070" s="107"/>
      <c r="W1070" s="107"/>
      <c r="X1070" s="107"/>
      <c r="Y1070" s="107"/>
      <c r="Z1070" s="107"/>
      <c r="AA1070" s="107"/>
      <c r="AB1070" s="107"/>
      <c r="AC1070" s="107"/>
      <c r="AD1070" s="107"/>
      <c r="AE1070" s="107"/>
      <c r="AF1070" s="107"/>
      <c r="AG1070" s="107"/>
      <c r="AH1070" s="107"/>
      <c r="AI1070" s="107"/>
      <c r="AJ1070" s="107"/>
      <c r="AK1070" s="107"/>
      <c r="AL1070" s="107"/>
      <c r="AM1070" s="107"/>
      <c r="AN1070" s="107"/>
      <c r="AO1070" s="107"/>
      <c r="AP1070" s="107"/>
      <c r="AQ1070" s="107"/>
      <c r="AR1070" s="107"/>
      <c r="AS1070" s="107"/>
      <c r="AT1070" s="107"/>
      <c r="AU1070" s="107"/>
      <c r="AV1070" s="107"/>
      <c r="AW1070" s="107"/>
      <c r="AX1070" s="107"/>
      <c r="AY1070" s="107"/>
      <c r="AZ1070" s="107"/>
      <c r="BA1070" s="107"/>
      <c r="BB1070" s="107"/>
      <c r="BC1070" s="107"/>
      <c r="BD1070" s="107"/>
      <c r="BE1070" s="107"/>
      <c r="BF1070" s="107"/>
      <c r="BG1070" s="107"/>
      <c r="BH1070" s="107"/>
    </row>
    <row r="1071" spans="1:60" x14ac:dyDescent="0.25">
      <c r="A1071" s="96"/>
      <c r="B1071" s="97"/>
      <c r="C1071" s="97"/>
      <c r="D1071" s="97"/>
      <c r="E1071" s="98"/>
      <c r="F1071" s="99"/>
      <c r="G1071" s="97"/>
      <c r="H1071" s="99"/>
      <c r="I1071" s="99"/>
      <c r="J1071" s="100"/>
      <c r="K1071" s="101"/>
      <c r="L1071" s="102"/>
      <c r="M1071" s="103"/>
      <c r="N1071" s="104"/>
      <c r="O1071" s="97"/>
      <c r="P1071" s="97"/>
      <c r="Q1071" s="97"/>
      <c r="R1071" s="105"/>
      <c r="S1071" s="97"/>
      <c r="T1071" s="97"/>
      <c r="U1071" s="97"/>
      <c r="V1071" s="97"/>
      <c r="W1071" s="97"/>
      <c r="X1071" s="97"/>
      <c r="Y1071" s="97"/>
      <c r="Z1071" s="97"/>
      <c r="AA1071" s="97"/>
      <c r="AB1071" s="97"/>
      <c r="AC1071" s="97"/>
      <c r="AD1071" s="97"/>
      <c r="AE1071" s="97"/>
      <c r="AF1071" s="97"/>
      <c r="AG1071" s="97"/>
      <c r="AH1071" s="97"/>
      <c r="AI1071" s="97"/>
      <c r="AJ1071" s="97"/>
      <c r="AK1071" s="97"/>
      <c r="AL1071" s="97"/>
      <c r="AM1071" s="97"/>
      <c r="AN1071" s="97"/>
      <c r="AO1071" s="97"/>
      <c r="AP1071" s="97"/>
      <c r="AQ1071" s="97"/>
      <c r="AR1071" s="97"/>
      <c r="AS1071" s="97"/>
      <c r="AT1071" s="97"/>
      <c r="AU1071" s="97"/>
      <c r="AV1071" s="97"/>
      <c r="AW1071" s="97"/>
      <c r="AX1071" s="97"/>
      <c r="AY1071" s="97"/>
      <c r="AZ1071" s="97"/>
      <c r="BA1071" s="97"/>
      <c r="BB1071" s="97"/>
      <c r="BC1071" s="97"/>
      <c r="BD1071" s="97"/>
      <c r="BE1071" s="97"/>
      <c r="BF1071" s="97"/>
      <c r="BG1071" s="97"/>
      <c r="BH1071" s="97"/>
    </row>
    <row r="1072" spans="1:60" x14ac:dyDescent="0.25">
      <c r="A1072" s="106"/>
      <c r="B1072" s="107"/>
      <c r="C1072" s="107"/>
      <c r="D1072" s="107"/>
      <c r="E1072" s="108"/>
      <c r="F1072" s="109"/>
      <c r="G1072" s="107"/>
      <c r="H1072" s="109"/>
      <c r="I1072" s="110"/>
      <c r="J1072" s="110"/>
      <c r="K1072" s="111"/>
      <c r="L1072" s="112"/>
      <c r="M1072" s="113"/>
      <c r="N1072" s="114"/>
      <c r="O1072" s="107"/>
      <c r="P1072" s="107"/>
      <c r="Q1072" s="115"/>
      <c r="R1072" s="116"/>
      <c r="S1072" s="107"/>
      <c r="T1072" s="107"/>
      <c r="U1072" s="107"/>
      <c r="V1072" s="107"/>
      <c r="W1072" s="107"/>
      <c r="X1072" s="107"/>
      <c r="Y1072" s="107"/>
      <c r="Z1072" s="107"/>
      <c r="AA1072" s="107"/>
      <c r="AB1072" s="107"/>
      <c r="AC1072" s="107"/>
      <c r="AD1072" s="107"/>
      <c r="AE1072" s="107"/>
      <c r="AF1072" s="107"/>
      <c r="AG1072" s="107"/>
      <c r="AH1072" s="107"/>
      <c r="AI1072" s="107"/>
      <c r="AJ1072" s="107"/>
      <c r="AK1072" s="107"/>
      <c r="AL1072" s="107"/>
      <c r="AM1072" s="107"/>
      <c r="AN1072" s="107"/>
      <c r="AO1072" s="107"/>
      <c r="AP1072" s="107"/>
      <c r="AQ1072" s="107"/>
      <c r="AR1072" s="107"/>
      <c r="AS1072" s="107"/>
      <c r="AT1072" s="107"/>
      <c r="AU1072" s="107"/>
      <c r="AV1072" s="107"/>
      <c r="AW1072" s="107"/>
      <c r="AX1072" s="107"/>
      <c r="AY1072" s="107"/>
      <c r="AZ1072" s="107"/>
      <c r="BA1072" s="107"/>
      <c r="BB1072" s="107"/>
      <c r="BC1072" s="107"/>
      <c r="BD1072" s="107"/>
      <c r="BE1072" s="107"/>
      <c r="BF1072" s="107"/>
      <c r="BG1072" s="107"/>
      <c r="BH1072" s="107"/>
    </row>
    <row r="1073" spans="1:60" x14ac:dyDescent="0.25">
      <c r="A1073" s="96"/>
      <c r="B1073" s="97"/>
      <c r="C1073" s="97"/>
      <c r="D1073" s="97"/>
      <c r="E1073" s="98"/>
      <c r="F1073" s="99"/>
      <c r="G1073" s="97"/>
      <c r="H1073" s="99"/>
      <c r="I1073" s="99"/>
      <c r="J1073" s="100"/>
      <c r="K1073" s="101"/>
      <c r="L1073" s="102"/>
      <c r="M1073" s="103"/>
      <c r="N1073" s="104"/>
      <c r="O1073" s="97"/>
      <c r="P1073" s="97"/>
      <c r="Q1073" s="97"/>
      <c r="R1073" s="105"/>
      <c r="S1073" s="97"/>
      <c r="T1073" s="97"/>
      <c r="U1073" s="97"/>
      <c r="V1073" s="97"/>
      <c r="W1073" s="97"/>
      <c r="X1073" s="97"/>
      <c r="Y1073" s="97"/>
      <c r="Z1073" s="97"/>
      <c r="AA1073" s="97"/>
      <c r="AB1073" s="97"/>
      <c r="AC1073" s="97"/>
      <c r="AD1073" s="97"/>
      <c r="AE1073" s="97"/>
      <c r="AF1073" s="97"/>
      <c r="AG1073" s="97"/>
      <c r="AH1073" s="97"/>
      <c r="AI1073" s="97"/>
      <c r="AJ1073" s="97"/>
      <c r="AK1073" s="97"/>
      <c r="AL1073" s="97"/>
      <c r="AM1073" s="97"/>
      <c r="AN1073" s="97"/>
      <c r="AO1073" s="97"/>
      <c r="AP1073" s="97"/>
      <c r="AQ1073" s="97"/>
      <c r="AR1073" s="97"/>
      <c r="AS1073" s="97"/>
      <c r="AT1073" s="97"/>
      <c r="AU1073" s="97"/>
      <c r="AV1073" s="97"/>
      <c r="AW1073" s="97"/>
      <c r="AX1073" s="97"/>
      <c r="AY1073" s="97"/>
      <c r="AZ1073" s="97"/>
      <c r="BA1073" s="97"/>
      <c r="BB1073" s="97"/>
      <c r="BC1073" s="97"/>
      <c r="BD1073" s="97"/>
      <c r="BE1073" s="97"/>
      <c r="BF1073" s="97"/>
      <c r="BG1073" s="97"/>
      <c r="BH1073" s="97"/>
    </row>
    <row r="1074" spans="1:60" x14ac:dyDescent="0.25">
      <c r="A1074" s="106"/>
      <c r="B1074" s="107"/>
      <c r="C1074" s="107"/>
      <c r="D1074" s="107"/>
      <c r="E1074" s="108"/>
      <c r="F1074" s="109"/>
      <c r="G1074" s="107"/>
      <c r="H1074" s="109"/>
      <c r="I1074" s="110"/>
      <c r="J1074" s="110"/>
      <c r="K1074" s="111"/>
      <c r="L1074" s="112"/>
      <c r="M1074" s="113"/>
      <c r="N1074" s="114"/>
      <c r="O1074" s="107"/>
      <c r="P1074" s="107"/>
      <c r="Q1074" s="115"/>
      <c r="R1074" s="116"/>
      <c r="S1074" s="107"/>
      <c r="T1074" s="107"/>
      <c r="U1074" s="107"/>
      <c r="V1074" s="107"/>
      <c r="W1074" s="107"/>
      <c r="X1074" s="107"/>
      <c r="Y1074" s="107"/>
      <c r="Z1074" s="107"/>
      <c r="AA1074" s="107"/>
      <c r="AB1074" s="107"/>
      <c r="AC1074" s="107"/>
      <c r="AD1074" s="107"/>
      <c r="AE1074" s="107"/>
      <c r="AF1074" s="107"/>
      <c r="AG1074" s="107"/>
      <c r="AH1074" s="107"/>
      <c r="AI1074" s="107"/>
      <c r="AJ1074" s="107"/>
      <c r="AK1074" s="107"/>
      <c r="AL1074" s="107"/>
      <c r="AM1074" s="107"/>
      <c r="AN1074" s="107"/>
      <c r="AO1074" s="107"/>
      <c r="AP1074" s="107"/>
      <c r="AQ1074" s="107"/>
      <c r="AR1074" s="107"/>
      <c r="AS1074" s="107"/>
      <c r="AT1074" s="107"/>
      <c r="AU1074" s="107"/>
      <c r="AV1074" s="107"/>
      <c r="AW1074" s="107"/>
      <c r="AX1074" s="107"/>
      <c r="AY1074" s="107"/>
      <c r="AZ1074" s="107"/>
      <c r="BA1074" s="107"/>
      <c r="BB1074" s="107"/>
      <c r="BC1074" s="107"/>
      <c r="BD1074" s="107"/>
      <c r="BE1074" s="107"/>
      <c r="BF1074" s="107"/>
      <c r="BG1074" s="107"/>
      <c r="BH1074" s="107"/>
    </row>
    <row r="1075" spans="1:60" x14ac:dyDescent="0.25">
      <c r="A1075" s="96"/>
      <c r="B1075" s="97"/>
      <c r="C1075" s="97"/>
      <c r="D1075" s="97"/>
      <c r="E1075" s="98"/>
      <c r="F1075" s="99"/>
      <c r="G1075" s="97"/>
      <c r="H1075" s="99"/>
      <c r="I1075" s="99"/>
      <c r="J1075" s="100"/>
      <c r="K1075" s="101"/>
      <c r="L1075" s="102"/>
      <c r="M1075" s="103"/>
      <c r="N1075" s="104"/>
      <c r="O1075" s="97"/>
      <c r="P1075" s="97"/>
      <c r="Q1075" s="97"/>
      <c r="R1075" s="105"/>
      <c r="S1075" s="97"/>
      <c r="T1075" s="97"/>
      <c r="U1075" s="97"/>
      <c r="V1075" s="97"/>
      <c r="W1075" s="97"/>
      <c r="X1075" s="97"/>
      <c r="Y1075" s="97"/>
      <c r="Z1075" s="97"/>
      <c r="AA1075" s="97"/>
      <c r="AB1075" s="97"/>
      <c r="AC1075" s="97"/>
      <c r="AD1075" s="97"/>
      <c r="AE1075" s="97"/>
      <c r="AF1075" s="97"/>
      <c r="AG1075" s="97"/>
      <c r="AH1075" s="97"/>
      <c r="AI1075" s="97"/>
      <c r="AJ1075" s="97"/>
      <c r="AK1075" s="97"/>
      <c r="AL1075" s="97"/>
      <c r="AM1075" s="97"/>
      <c r="AN1075" s="97"/>
      <c r="AO1075" s="97"/>
      <c r="AP1075" s="97"/>
      <c r="AQ1075" s="97"/>
      <c r="AR1075" s="97"/>
      <c r="AS1075" s="97"/>
      <c r="AT1075" s="97"/>
      <c r="AU1075" s="97"/>
      <c r="AV1075" s="97"/>
      <c r="AW1075" s="97"/>
      <c r="AX1075" s="97"/>
      <c r="AY1075" s="97"/>
      <c r="AZ1075" s="97"/>
      <c r="BA1075" s="97"/>
      <c r="BB1075" s="97"/>
      <c r="BC1075" s="97"/>
      <c r="BD1075" s="97"/>
      <c r="BE1075" s="97"/>
      <c r="BF1075" s="97"/>
      <c r="BG1075" s="97"/>
      <c r="BH1075" s="97"/>
    </row>
    <row r="1076" spans="1:60" x14ac:dyDescent="0.25">
      <c r="A1076" s="106"/>
      <c r="B1076" s="107"/>
      <c r="C1076" s="107"/>
      <c r="D1076" s="107"/>
      <c r="E1076" s="108"/>
      <c r="F1076" s="109"/>
      <c r="G1076" s="107"/>
      <c r="H1076" s="109"/>
      <c r="I1076" s="110"/>
      <c r="J1076" s="110"/>
      <c r="K1076" s="111"/>
      <c r="L1076" s="112"/>
      <c r="M1076" s="113"/>
      <c r="N1076" s="114"/>
      <c r="O1076" s="107"/>
      <c r="P1076" s="107"/>
      <c r="Q1076" s="115"/>
      <c r="R1076" s="116"/>
      <c r="S1076" s="107"/>
      <c r="T1076" s="107"/>
      <c r="U1076" s="107"/>
      <c r="V1076" s="107"/>
      <c r="W1076" s="107"/>
      <c r="X1076" s="107"/>
      <c r="Y1076" s="107"/>
      <c r="Z1076" s="107"/>
      <c r="AA1076" s="107"/>
      <c r="AB1076" s="107"/>
      <c r="AC1076" s="107"/>
      <c r="AD1076" s="107"/>
      <c r="AE1076" s="107"/>
      <c r="AF1076" s="107"/>
      <c r="AG1076" s="107"/>
      <c r="AH1076" s="107"/>
      <c r="AI1076" s="107"/>
      <c r="AJ1076" s="107"/>
      <c r="AK1076" s="107"/>
      <c r="AL1076" s="107"/>
      <c r="AM1076" s="107"/>
      <c r="AN1076" s="107"/>
      <c r="AO1076" s="107"/>
      <c r="AP1076" s="107"/>
      <c r="AQ1076" s="107"/>
      <c r="AR1076" s="107"/>
      <c r="AS1076" s="107"/>
      <c r="AT1076" s="107"/>
      <c r="AU1076" s="107"/>
      <c r="AV1076" s="107"/>
      <c r="AW1076" s="107"/>
      <c r="AX1076" s="107"/>
      <c r="AY1076" s="107"/>
      <c r="AZ1076" s="107"/>
      <c r="BA1076" s="107"/>
      <c r="BB1076" s="107"/>
      <c r="BC1076" s="107"/>
      <c r="BD1076" s="107"/>
      <c r="BE1076" s="107"/>
      <c r="BF1076" s="107"/>
      <c r="BG1076" s="107"/>
      <c r="BH1076" s="107"/>
    </row>
    <row r="1077" spans="1:60" x14ac:dyDescent="0.25">
      <c r="A1077" s="96"/>
      <c r="B1077" s="97"/>
      <c r="C1077" s="97"/>
      <c r="D1077" s="97"/>
      <c r="E1077" s="98"/>
      <c r="F1077" s="99"/>
      <c r="G1077" s="97"/>
      <c r="H1077" s="99"/>
      <c r="I1077" s="99"/>
      <c r="J1077" s="100"/>
      <c r="K1077" s="101"/>
      <c r="L1077" s="102"/>
      <c r="M1077" s="103"/>
      <c r="N1077" s="104"/>
      <c r="O1077" s="97"/>
      <c r="P1077" s="97"/>
      <c r="Q1077" s="97"/>
      <c r="R1077" s="105"/>
      <c r="S1077" s="97"/>
      <c r="T1077" s="97"/>
      <c r="U1077" s="97"/>
      <c r="V1077" s="97"/>
      <c r="W1077" s="97"/>
      <c r="X1077" s="97"/>
      <c r="Y1077" s="97"/>
      <c r="Z1077" s="97"/>
      <c r="AA1077" s="97"/>
      <c r="AB1077" s="97"/>
      <c r="AC1077" s="97"/>
      <c r="AD1077" s="97"/>
      <c r="AE1077" s="97"/>
      <c r="AF1077" s="97"/>
      <c r="AG1077" s="97"/>
      <c r="AH1077" s="97"/>
      <c r="AI1077" s="97"/>
      <c r="AJ1077" s="97"/>
      <c r="AK1077" s="97"/>
      <c r="AL1077" s="97"/>
      <c r="AM1077" s="97"/>
      <c r="AN1077" s="97"/>
      <c r="AO1077" s="97"/>
      <c r="AP1077" s="97"/>
      <c r="AQ1077" s="97"/>
      <c r="AR1077" s="97"/>
      <c r="AS1077" s="97"/>
      <c r="AT1077" s="97"/>
      <c r="AU1077" s="97"/>
      <c r="AV1077" s="97"/>
      <c r="AW1077" s="97"/>
      <c r="AX1077" s="97"/>
      <c r="AY1077" s="97"/>
      <c r="AZ1077" s="97"/>
      <c r="BA1077" s="97"/>
      <c r="BB1077" s="97"/>
      <c r="BC1077" s="97"/>
      <c r="BD1077" s="97"/>
      <c r="BE1077" s="97"/>
      <c r="BF1077" s="97"/>
      <c r="BG1077" s="97"/>
      <c r="BH1077" s="97"/>
    </row>
    <row r="1078" spans="1:60" x14ac:dyDescent="0.25">
      <c r="A1078" s="106"/>
      <c r="B1078" s="107"/>
      <c r="C1078" s="107"/>
      <c r="D1078" s="107"/>
      <c r="E1078" s="108"/>
      <c r="F1078" s="109"/>
      <c r="G1078" s="107"/>
      <c r="H1078" s="109"/>
      <c r="I1078" s="110"/>
      <c r="J1078" s="110"/>
      <c r="K1078" s="111"/>
      <c r="L1078" s="112"/>
      <c r="M1078" s="113"/>
      <c r="N1078" s="114"/>
      <c r="O1078" s="107"/>
      <c r="P1078" s="107"/>
      <c r="Q1078" s="115"/>
      <c r="R1078" s="116"/>
      <c r="S1078" s="107"/>
      <c r="T1078" s="107"/>
      <c r="U1078" s="107"/>
      <c r="V1078" s="107"/>
      <c r="W1078" s="107"/>
      <c r="X1078" s="107"/>
      <c r="Y1078" s="107"/>
      <c r="Z1078" s="107"/>
      <c r="AA1078" s="107"/>
      <c r="AB1078" s="107"/>
      <c r="AC1078" s="107"/>
      <c r="AD1078" s="107"/>
      <c r="AE1078" s="107"/>
      <c r="AF1078" s="107"/>
      <c r="AG1078" s="107"/>
      <c r="AH1078" s="107"/>
      <c r="AI1078" s="107"/>
      <c r="AJ1078" s="107"/>
      <c r="AK1078" s="107"/>
      <c r="AL1078" s="107"/>
      <c r="AM1078" s="107"/>
      <c r="AN1078" s="107"/>
      <c r="AO1078" s="107"/>
      <c r="AP1078" s="107"/>
      <c r="AQ1078" s="107"/>
      <c r="AR1078" s="107"/>
      <c r="AS1078" s="107"/>
      <c r="AT1078" s="107"/>
      <c r="AU1078" s="107"/>
      <c r="AV1078" s="107"/>
      <c r="AW1078" s="107"/>
      <c r="AX1078" s="107"/>
      <c r="AY1078" s="107"/>
      <c r="AZ1078" s="107"/>
      <c r="BA1078" s="107"/>
      <c r="BB1078" s="107"/>
      <c r="BC1078" s="107"/>
      <c r="BD1078" s="107"/>
      <c r="BE1078" s="107"/>
      <c r="BF1078" s="107"/>
      <c r="BG1078" s="107"/>
      <c r="BH1078" s="107"/>
    </row>
    <row r="1079" spans="1:60" x14ac:dyDescent="0.25">
      <c r="A1079" s="96"/>
      <c r="B1079" s="97"/>
      <c r="C1079" s="97"/>
      <c r="D1079" s="97"/>
      <c r="E1079" s="98"/>
      <c r="F1079" s="99"/>
      <c r="G1079" s="97"/>
      <c r="H1079" s="99"/>
      <c r="I1079" s="99"/>
      <c r="J1079" s="100"/>
      <c r="K1079" s="101"/>
      <c r="L1079" s="102"/>
      <c r="M1079" s="103"/>
      <c r="N1079" s="104"/>
      <c r="O1079" s="97"/>
      <c r="P1079" s="97"/>
      <c r="Q1079" s="97"/>
      <c r="R1079" s="105"/>
      <c r="S1079" s="97"/>
      <c r="T1079" s="97"/>
      <c r="U1079" s="97"/>
      <c r="V1079" s="97"/>
      <c r="W1079" s="97"/>
      <c r="X1079" s="97"/>
      <c r="Y1079" s="97"/>
      <c r="Z1079" s="97"/>
      <c r="AA1079" s="97"/>
      <c r="AB1079" s="97"/>
      <c r="AC1079" s="97"/>
      <c r="AD1079" s="97"/>
      <c r="AE1079" s="97"/>
      <c r="AF1079" s="97"/>
      <c r="AG1079" s="97"/>
      <c r="AH1079" s="97"/>
      <c r="AI1079" s="97"/>
      <c r="AJ1079" s="97"/>
      <c r="AK1079" s="97"/>
      <c r="AL1079" s="97"/>
      <c r="AM1079" s="97"/>
      <c r="AN1079" s="97"/>
      <c r="AO1079" s="97"/>
      <c r="AP1079" s="97"/>
      <c r="AQ1079" s="97"/>
      <c r="AR1079" s="97"/>
      <c r="AS1079" s="97"/>
      <c r="AT1079" s="97"/>
      <c r="AU1079" s="97"/>
      <c r="AV1079" s="97"/>
      <c r="AW1079" s="97"/>
      <c r="AX1079" s="97"/>
      <c r="AY1079" s="97"/>
      <c r="AZ1079" s="97"/>
      <c r="BA1079" s="97"/>
      <c r="BB1079" s="97"/>
      <c r="BC1079" s="97"/>
      <c r="BD1079" s="97"/>
      <c r="BE1079" s="97"/>
      <c r="BF1079" s="97"/>
      <c r="BG1079" s="97"/>
      <c r="BH1079" s="97"/>
    </row>
    <row r="1080" spans="1:60" x14ac:dyDescent="0.25">
      <c r="A1080" s="106"/>
      <c r="B1080" s="107"/>
      <c r="C1080" s="107"/>
      <c r="D1080" s="107"/>
      <c r="E1080" s="108"/>
      <c r="F1080" s="109"/>
      <c r="G1080" s="107"/>
      <c r="H1080" s="109"/>
      <c r="I1080" s="110"/>
      <c r="J1080" s="110"/>
      <c r="K1080" s="111"/>
      <c r="L1080" s="112"/>
      <c r="M1080" s="113"/>
      <c r="N1080" s="114"/>
      <c r="O1080" s="107"/>
      <c r="P1080" s="107"/>
      <c r="Q1080" s="115"/>
      <c r="R1080" s="116"/>
      <c r="S1080" s="107"/>
      <c r="T1080" s="107"/>
      <c r="U1080" s="107"/>
      <c r="V1080" s="107"/>
      <c r="W1080" s="107"/>
      <c r="X1080" s="107"/>
      <c r="Y1080" s="107"/>
      <c r="Z1080" s="107"/>
      <c r="AA1080" s="107"/>
      <c r="AB1080" s="107"/>
      <c r="AC1080" s="107"/>
      <c r="AD1080" s="107"/>
      <c r="AE1080" s="107"/>
      <c r="AF1080" s="107"/>
      <c r="AG1080" s="107"/>
      <c r="AH1080" s="107"/>
      <c r="AI1080" s="107"/>
      <c r="AJ1080" s="107"/>
      <c r="AK1080" s="107"/>
      <c r="AL1080" s="107"/>
      <c r="AM1080" s="107"/>
      <c r="AN1080" s="107"/>
      <c r="AO1080" s="107"/>
      <c r="AP1080" s="107"/>
      <c r="AQ1080" s="107"/>
      <c r="AR1080" s="107"/>
      <c r="AS1080" s="107"/>
      <c r="AT1080" s="107"/>
      <c r="AU1080" s="107"/>
      <c r="AV1080" s="107"/>
      <c r="AW1080" s="107"/>
      <c r="AX1080" s="107"/>
      <c r="AY1080" s="107"/>
      <c r="AZ1080" s="107"/>
      <c r="BA1080" s="107"/>
      <c r="BB1080" s="107"/>
      <c r="BC1080" s="107"/>
      <c r="BD1080" s="107"/>
      <c r="BE1080" s="107"/>
      <c r="BF1080" s="107"/>
      <c r="BG1080" s="107"/>
      <c r="BH1080" s="107"/>
    </row>
    <row r="1081" spans="1:60" x14ac:dyDescent="0.25">
      <c r="A1081" s="96"/>
      <c r="B1081" s="97"/>
      <c r="C1081" s="97"/>
      <c r="D1081" s="97"/>
      <c r="E1081" s="98"/>
      <c r="F1081" s="99"/>
      <c r="G1081" s="97"/>
      <c r="H1081" s="99"/>
      <c r="I1081" s="99"/>
      <c r="J1081" s="100"/>
      <c r="K1081" s="101"/>
      <c r="L1081" s="102"/>
      <c r="M1081" s="103"/>
      <c r="N1081" s="104"/>
      <c r="O1081" s="97"/>
      <c r="P1081" s="97"/>
      <c r="Q1081" s="97"/>
      <c r="R1081" s="105"/>
      <c r="S1081" s="97"/>
      <c r="T1081" s="97"/>
      <c r="U1081" s="97"/>
      <c r="V1081" s="97"/>
      <c r="W1081" s="97"/>
      <c r="X1081" s="97"/>
      <c r="Y1081" s="97"/>
      <c r="Z1081" s="97"/>
      <c r="AA1081" s="97"/>
      <c r="AB1081" s="97"/>
      <c r="AC1081" s="97"/>
      <c r="AD1081" s="97"/>
      <c r="AE1081" s="97"/>
      <c r="AF1081" s="97"/>
      <c r="AG1081" s="97"/>
      <c r="AH1081" s="97"/>
      <c r="AI1081" s="97"/>
      <c r="AJ1081" s="97"/>
      <c r="AK1081" s="97"/>
      <c r="AL1081" s="97"/>
      <c r="AM1081" s="97"/>
      <c r="AN1081" s="97"/>
      <c r="AO1081" s="97"/>
      <c r="AP1081" s="97"/>
      <c r="AQ1081" s="97"/>
      <c r="AR1081" s="97"/>
      <c r="AS1081" s="97"/>
      <c r="AT1081" s="97"/>
      <c r="AU1081" s="97"/>
      <c r="AV1081" s="97"/>
      <c r="AW1081" s="97"/>
      <c r="AX1081" s="97"/>
      <c r="AY1081" s="97"/>
      <c r="AZ1081" s="97"/>
      <c r="BA1081" s="97"/>
      <c r="BB1081" s="97"/>
      <c r="BC1081" s="97"/>
      <c r="BD1081" s="97"/>
      <c r="BE1081" s="97"/>
      <c r="BF1081" s="97"/>
      <c r="BG1081" s="97"/>
      <c r="BH1081" s="97"/>
    </row>
    <row r="1082" spans="1:60" x14ac:dyDescent="0.25">
      <c r="A1082" s="106"/>
      <c r="B1082" s="107"/>
      <c r="C1082" s="107"/>
      <c r="D1082" s="107"/>
      <c r="E1082" s="108"/>
      <c r="F1082" s="109"/>
      <c r="G1082" s="107"/>
      <c r="H1082" s="109"/>
      <c r="I1082" s="110"/>
      <c r="J1082" s="110"/>
      <c r="K1082" s="111"/>
      <c r="L1082" s="112"/>
      <c r="M1082" s="113"/>
      <c r="N1082" s="114"/>
      <c r="O1082" s="107"/>
      <c r="P1082" s="107"/>
      <c r="Q1082" s="115"/>
      <c r="R1082" s="116"/>
      <c r="S1082" s="107"/>
      <c r="T1082" s="107"/>
      <c r="U1082" s="107"/>
      <c r="V1082" s="107"/>
      <c r="W1082" s="107"/>
      <c r="X1082" s="107"/>
      <c r="Y1082" s="107"/>
      <c r="Z1082" s="107"/>
      <c r="AA1082" s="107"/>
      <c r="AB1082" s="107"/>
      <c r="AC1082" s="107"/>
      <c r="AD1082" s="107"/>
      <c r="AE1082" s="107"/>
      <c r="AF1082" s="107"/>
      <c r="AG1082" s="107"/>
      <c r="AH1082" s="107"/>
      <c r="AI1082" s="107"/>
      <c r="AJ1082" s="107"/>
      <c r="AK1082" s="107"/>
      <c r="AL1082" s="107"/>
      <c r="AM1082" s="107"/>
      <c r="AN1082" s="107"/>
      <c r="AO1082" s="107"/>
      <c r="AP1082" s="107"/>
      <c r="AQ1082" s="107"/>
      <c r="AR1082" s="107"/>
      <c r="AS1082" s="107"/>
      <c r="AT1082" s="107"/>
      <c r="AU1082" s="107"/>
      <c r="AV1082" s="107"/>
      <c r="AW1082" s="107"/>
      <c r="AX1082" s="107"/>
      <c r="AY1082" s="107"/>
      <c r="AZ1082" s="107"/>
      <c r="BA1082" s="107"/>
      <c r="BB1082" s="107"/>
      <c r="BC1082" s="107"/>
      <c r="BD1082" s="107"/>
      <c r="BE1082" s="107"/>
      <c r="BF1082" s="107"/>
      <c r="BG1082" s="107"/>
      <c r="BH1082" s="107"/>
    </row>
    <row r="1083" spans="1:60" x14ac:dyDescent="0.25">
      <c r="A1083" s="96"/>
      <c r="B1083" s="97"/>
      <c r="C1083" s="97"/>
      <c r="D1083" s="97"/>
      <c r="E1083" s="98"/>
      <c r="F1083" s="99"/>
      <c r="G1083" s="97"/>
      <c r="H1083" s="99"/>
      <c r="I1083" s="99"/>
      <c r="J1083" s="100"/>
      <c r="K1083" s="101"/>
      <c r="L1083" s="102"/>
      <c r="M1083" s="103"/>
      <c r="N1083" s="104"/>
      <c r="O1083" s="97"/>
      <c r="P1083" s="97"/>
      <c r="Q1083" s="97"/>
      <c r="R1083" s="105"/>
      <c r="S1083" s="97"/>
      <c r="T1083" s="97"/>
      <c r="U1083" s="97"/>
      <c r="V1083" s="97"/>
      <c r="W1083" s="97"/>
      <c r="X1083" s="97"/>
      <c r="Y1083" s="97"/>
      <c r="Z1083" s="97"/>
      <c r="AA1083" s="97"/>
      <c r="AB1083" s="97"/>
      <c r="AC1083" s="97"/>
      <c r="AD1083" s="97"/>
      <c r="AE1083" s="97"/>
      <c r="AF1083" s="97"/>
      <c r="AG1083" s="97"/>
      <c r="AH1083" s="97"/>
      <c r="AI1083" s="97"/>
      <c r="AJ1083" s="97"/>
      <c r="AK1083" s="97"/>
      <c r="AL1083" s="97"/>
      <c r="AM1083" s="97"/>
      <c r="AN1083" s="97"/>
      <c r="AO1083" s="97"/>
      <c r="AP1083" s="97"/>
      <c r="AQ1083" s="97"/>
      <c r="AR1083" s="97"/>
      <c r="AS1083" s="97"/>
      <c r="AT1083" s="97"/>
      <c r="AU1083" s="97"/>
      <c r="AV1083" s="97"/>
      <c r="AW1083" s="97"/>
      <c r="AX1083" s="97"/>
      <c r="AY1083" s="97"/>
      <c r="AZ1083" s="97"/>
      <c r="BA1083" s="97"/>
      <c r="BB1083" s="97"/>
      <c r="BC1083" s="97"/>
      <c r="BD1083" s="97"/>
      <c r="BE1083" s="97"/>
      <c r="BF1083" s="97"/>
      <c r="BG1083" s="97"/>
      <c r="BH1083" s="97"/>
    </row>
    <row r="1084" spans="1:60" x14ac:dyDescent="0.25">
      <c r="A1084" s="106"/>
      <c r="B1084" s="107"/>
      <c r="C1084" s="107"/>
      <c r="D1084" s="107"/>
      <c r="E1084" s="108"/>
      <c r="F1084" s="109"/>
      <c r="G1084" s="107"/>
      <c r="H1084" s="109"/>
      <c r="I1084" s="110"/>
      <c r="J1084" s="110"/>
      <c r="K1084" s="111"/>
      <c r="L1084" s="112"/>
      <c r="M1084" s="113"/>
      <c r="N1084" s="114"/>
      <c r="O1084" s="107"/>
      <c r="P1084" s="107"/>
      <c r="Q1084" s="115"/>
      <c r="R1084" s="116"/>
      <c r="S1084" s="107"/>
      <c r="T1084" s="107"/>
      <c r="U1084" s="107"/>
      <c r="V1084" s="107"/>
      <c r="W1084" s="107"/>
      <c r="X1084" s="107"/>
      <c r="Y1084" s="107"/>
      <c r="Z1084" s="107"/>
      <c r="AA1084" s="107"/>
      <c r="AB1084" s="107"/>
      <c r="AC1084" s="107"/>
      <c r="AD1084" s="107"/>
      <c r="AE1084" s="107"/>
      <c r="AF1084" s="107"/>
      <c r="AG1084" s="107"/>
      <c r="AH1084" s="107"/>
      <c r="AI1084" s="107"/>
      <c r="AJ1084" s="107"/>
      <c r="AK1084" s="107"/>
      <c r="AL1084" s="107"/>
      <c r="AM1084" s="107"/>
      <c r="AN1084" s="107"/>
      <c r="AO1084" s="107"/>
      <c r="AP1084" s="107"/>
      <c r="AQ1084" s="107"/>
      <c r="AR1084" s="107"/>
      <c r="AS1084" s="107"/>
      <c r="AT1084" s="107"/>
      <c r="AU1084" s="107"/>
      <c r="AV1084" s="107"/>
      <c r="AW1084" s="107"/>
      <c r="AX1084" s="107"/>
      <c r="AY1084" s="107"/>
      <c r="AZ1084" s="107"/>
      <c r="BA1084" s="107"/>
      <c r="BB1084" s="107"/>
      <c r="BC1084" s="107"/>
      <c r="BD1084" s="107"/>
      <c r="BE1084" s="107"/>
      <c r="BF1084" s="107"/>
      <c r="BG1084" s="107"/>
      <c r="BH1084" s="107"/>
    </row>
    <row r="1085" spans="1:60" x14ac:dyDescent="0.25">
      <c r="A1085" s="96"/>
      <c r="B1085" s="97"/>
      <c r="C1085" s="97"/>
      <c r="D1085" s="97"/>
      <c r="E1085" s="98"/>
      <c r="F1085" s="99"/>
      <c r="G1085" s="97"/>
      <c r="H1085" s="99"/>
      <c r="I1085" s="99"/>
      <c r="J1085" s="100"/>
      <c r="K1085" s="101"/>
      <c r="L1085" s="102"/>
      <c r="M1085" s="103"/>
      <c r="N1085" s="104"/>
      <c r="O1085" s="97"/>
      <c r="P1085" s="97"/>
      <c r="Q1085" s="97"/>
      <c r="R1085" s="105"/>
      <c r="S1085" s="97"/>
      <c r="T1085" s="97"/>
      <c r="U1085" s="97"/>
      <c r="V1085" s="97"/>
      <c r="W1085" s="97"/>
      <c r="X1085" s="97"/>
      <c r="Y1085" s="97"/>
      <c r="Z1085" s="97"/>
      <c r="AA1085" s="97"/>
      <c r="AB1085" s="97"/>
      <c r="AC1085" s="97"/>
      <c r="AD1085" s="97"/>
      <c r="AE1085" s="97"/>
      <c r="AF1085" s="97"/>
      <c r="AG1085" s="97"/>
      <c r="AH1085" s="97"/>
      <c r="AI1085" s="97"/>
      <c r="AJ1085" s="97"/>
      <c r="AK1085" s="97"/>
      <c r="AL1085" s="97"/>
      <c r="AM1085" s="97"/>
      <c r="AN1085" s="97"/>
      <c r="AO1085" s="97"/>
      <c r="AP1085" s="97"/>
      <c r="AQ1085" s="97"/>
      <c r="AR1085" s="97"/>
      <c r="AS1085" s="97"/>
      <c r="AT1085" s="97"/>
      <c r="AU1085" s="97"/>
      <c r="AV1085" s="97"/>
      <c r="AW1085" s="97"/>
      <c r="AX1085" s="97"/>
      <c r="AY1085" s="97"/>
      <c r="AZ1085" s="97"/>
      <c r="BA1085" s="97"/>
      <c r="BB1085" s="97"/>
      <c r="BC1085" s="97"/>
      <c r="BD1085" s="97"/>
      <c r="BE1085" s="97"/>
      <c r="BF1085" s="97"/>
      <c r="BG1085" s="97"/>
      <c r="BH1085" s="97"/>
    </row>
    <row r="1086" spans="1:60" x14ac:dyDescent="0.25">
      <c r="A1086" s="106"/>
      <c r="B1086" s="107"/>
      <c r="C1086" s="107"/>
      <c r="D1086" s="107"/>
      <c r="E1086" s="108"/>
      <c r="F1086" s="109"/>
      <c r="G1086" s="107"/>
      <c r="H1086" s="109"/>
      <c r="I1086" s="110"/>
      <c r="J1086" s="110"/>
      <c r="K1086" s="111"/>
      <c r="L1086" s="112"/>
      <c r="M1086" s="113"/>
      <c r="N1086" s="114"/>
      <c r="O1086" s="107"/>
      <c r="P1086" s="107"/>
      <c r="Q1086" s="115"/>
      <c r="R1086" s="116"/>
      <c r="S1086" s="107"/>
      <c r="T1086" s="107"/>
      <c r="U1086" s="107"/>
      <c r="V1086" s="107"/>
      <c r="W1086" s="107"/>
      <c r="X1086" s="107"/>
      <c r="Y1086" s="107"/>
      <c r="Z1086" s="107"/>
      <c r="AA1086" s="107"/>
      <c r="AB1086" s="107"/>
      <c r="AC1086" s="107"/>
      <c r="AD1086" s="107"/>
      <c r="AE1086" s="107"/>
      <c r="AF1086" s="107"/>
      <c r="AG1086" s="107"/>
      <c r="AH1086" s="107"/>
      <c r="AI1086" s="107"/>
      <c r="AJ1086" s="107"/>
      <c r="AK1086" s="107"/>
      <c r="AL1086" s="107"/>
      <c r="AM1086" s="107"/>
      <c r="AN1086" s="107"/>
      <c r="AO1086" s="107"/>
      <c r="AP1086" s="107"/>
      <c r="AQ1086" s="107"/>
      <c r="AR1086" s="107"/>
      <c r="AS1086" s="107"/>
      <c r="AT1086" s="107"/>
      <c r="AU1086" s="107"/>
      <c r="AV1086" s="107"/>
      <c r="AW1086" s="107"/>
      <c r="AX1086" s="107"/>
      <c r="AY1086" s="107"/>
      <c r="AZ1086" s="107"/>
      <c r="BA1086" s="107"/>
      <c r="BB1086" s="107"/>
      <c r="BC1086" s="107"/>
      <c r="BD1086" s="107"/>
      <c r="BE1086" s="107"/>
      <c r="BF1086" s="107"/>
      <c r="BG1086" s="107"/>
      <c r="BH1086" s="107"/>
    </row>
    <row r="1087" spans="1:60" x14ac:dyDescent="0.25">
      <c r="A1087" s="96"/>
      <c r="B1087" s="97"/>
      <c r="C1087" s="97"/>
      <c r="D1087" s="97"/>
      <c r="E1087" s="98"/>
      <c r="F1087" s="99"/>
      <c r="G1087" s="97"/>
      <c r="H1087" s="99"/>
      <c r="I1087" s="99"/>
      <c r="J1087" s="100"/>
      <c r="K1087" s="101"/>
      <c r="L1087" s="102"/>
      <c r="M1087" s="103"/>
      <c r="N1087" s="104"/>
      <c r="O1087" s="97"/>
      <c r="P1087" s="97"/>
      <c r="Q1087" s="97"/>
      <c r="R1087" s="105"/>
      <c r="S1087" s="97"/>
      <c r="T1087" s="97"/>
      <c r="U1087" s="97"/>
      <c r="V1087" s="97"/>
      <c r="W1087" s="97"/>
      <c r="X1087" s="97"/>
      <c r="Y1087" s="97"/>
      <c r="Z1087" s="97"/>
      <c r="AA1087" s="97"/>
      <c r="AB1087" s="97"/>
      <c r="AC1087" s="97"/>
      <c r="AD1087" s="97"/>
      <c r="AE1087" s="97"/>
      <c r="AF1087" s="97"/>
      <c r="AG1087" s="97"/>
      <c r="AH1087" s="97"/>
      <c r="AI1087" s="97"/>
      <c r="AJ1087" s="97"/>
      <c r="AK1087" s="97"/>
      <c r="AL1087" s="97"/>
      <c r="AM1087" s="97"/>
      <c r="AN1087" s="97"/>
      <c r="AO1087" s="97"/>
      <c r="AP1087" s="97"/>
      <c r="AQ1087" s="97"/>
      <c r="AR1087" s="97"/>
      <c r="AS1087" s="97"/>
      <c r="AT1087" s="97"/>
      <c r="AU1087" s="97"/>
      <c r="AV1087" s="97"/>
      <c r="AW1087" s="97"/>
      <c r="AX1087" s="97"/>
      <c r="AY1087" s="97"/>
      <c r="AZ1087" s="97"/>
      <c r="BA1087" s="97"/>
      <c r="BB1087" s="97"/>
      <c r="BC1087" s="97"/>
      <c r="BD1087" s="97"/>
      <c r="BE1087" s="97"/>
      <c r="BF1087" s="97"/>
      <c r="BG1087" s="97"/>
      <c r="BH1087" s="97"/>
    </row>
    <row r="1088" spans="1:60" x14ac:dyDescent="0.25">
      <c r="A1088" s="106"/>
      <c r="B1088" s="107"/>
      <c r="C1088" s="107"/>
      <c r="D1088" s="107"/>
      <c r="E1088" s="108"/>
      <c r="F1088" s="109"/>
      <c r="G1088" s="107"/>
      <c r="H1088" s="109"/>
      <c r="I1088" s="110"/>
      <c r="J1088" s="110"/>
      <c r="K1088" s="111"/>
      <c r="L1088" s="112"/>
      <c r="M1088" s="113"/>
      <c r="N1088" s="114"/>
      <c r="O1088" s="107"/>
      <c r="P1088" s="107"/>
      <c r="Q1088" s="115"/>
      <c r="R1088" s="116"/>
      <c r="S1088" s="107"/>
      <c r="T1088" s="107"/>
      <c r="U1088" s="107"/>
      <c r="V1088" s="107"/>
      <c r="W1088" s="107"/>
      <c r="X1088" s="107"/>
      <c r="Y1088" s="107"/>
      <c r="Z1088" s="107"/>
      <c r="AA1088" s="107"/>
      <c r="AB1088" s="107"/>
      <c r="AC1088" s="107"/>
      <c r="AD1088" s="107"/>
      <c r="AE1088" s="107"/>
      <c r="AF1088" s="107"/>
      <c r="AG1088" s="107"/>
      <c r="AH1088" s="107"/>
      <c r="AI1088" s="107"/>
      <c r="AJ1088" s="107"/>
      <c r="AK1088" s="107"/>
      <c r="AL1088" s="107"/>
      <c r="AM1088" s="107"/>
      <c r="AN1088" s="107"/>
      <c r="AO1088" s="107"/>
      <c r="AP1088" s="107"/>
      <c r="AQ1088" s="107"/>
      <c r="AR1088" s="107"/>
      <c r="AS1088" s="107"/>
      <c r="AT1088" s="107"/>
      <c r="AU1088" s="107"/>
      <c r="AV1088" s="107"/>
      <c r="AW1088" s="107"/>
      <c r="AX1088" s="107"/>
      <c r="AY1088" s="107"/>
      <c r="AZ1088" s="107"/>
      <c r="BA1088" s="107"/>
      <c r="BB1088" s="107"/>
      <c r="BC1088" s="107"/>
      <c r="BD1088" s="107"/>
      <c r="BE1088" s="107"/>
      <c r="BF1088" s="107"/>
      <c r="BG1088" s="107"/>
      <c r="BH1088" s="107"/>
    </row>
    <row r="1089" spans="1:60" x14ac:dyDescent="0.25">
      <c r="A1089" s="96"/>
      <c r="B1089" s="97"/>
      <c r="C1089" s="97"/>
      <c r="D1089" s="97"/>
      <c r="E1089" s="98"/>
      <c r="F1089" s="99"/>
      <c r="G1089" s="97"/>
      <c r="H1089" s="99"/>
      <c r="I1089" s="99"/>
      <c r="J1089" s="100"/>
      <c r="K1089" s="101"/>
      <c r="L1089" s="102"/>
      <c r="M1089" s="103"/>
      <c r="N1089" s="104"/>
      <c r="O1089" s="97"/>
      <c r="P1089" s="97"/>
      <c r="Q1089" s="97"/>
      <c r="R1089" s="105"/>
      <c r="S1089" s="97"/>
      <c r="T1089" s="97"/>
      <c r="U1089" s="97"/>
      <c r="V1089" s="97"/>
      <c r="W1089" s="97"/>
      <c r="X1089" s="97"/>
      <c r="Y1089" s="97"/>
      <c r="Z1089" s="97"/>
      <c r="AA1089" s="97"/>
      <c r="AB1089" s="97"/>
      <c r="AC1089" s="97"/>
      <c r="AD1089" s="97"/>
      <c r="AE1089" s="97"/>
      <c r="AF1089" s="97"/>
      <c r="AG1089" s="97"/>
      <c r="AH1089" s="97"/>
      <c r="AI1089" s="97"/>
      <c r="AJ1089" s="97"/>
      <c r="AK1089" s="97"/>
      <c r="AL1089" s="97"/>
      <c r="AM1089" s="97"/>
      <c r="AN1089" s="97"/>
      <c r="AO1089" s="97"/>
      <c r="AP1089" s="97"/>
      <c r="AQ1089" s="97"/>
      <c r="AR1089" s="97"/>
      <c r="AS1089" s="97"/>
      <c r="AT1089" s="97"/>
      <c r="AU1089" s="97"/>
      <c r="AV1089" s="97"/>
      <c r="AW1089" s="97"/>
      <c r="AX1089" s="97"/>
      <c r="AY1089" s="97"/>
      <c r="AZ1089" s="97"/>
      <c r="BA1089" s="97"/>
      <c r="BB1089" s="97"/>
      <c r="BC1089" s="97"/>
      <c r="BD1089" s="97"/>
      <c r="BE1089" s="97"/>
      <c r="BF1089" s="97"/>
      <c r="BG1089" s="97"/>
      <c r="BH1089" s="97"/>
    </row>
    <row r="1090" spans="1:60" x14ac:dyDescent="0.25">
      <c r="A1090" s="106"/>
      <c r="B1090" s="107"/>
      <c r="C1090" s="107"/>
      <c r="D1090" s="107"/>
      <c r="E1090" s="108"/>
      <c r="F1090" s="109"/>
      <c r="G1090" s="107"/>
      <c r="H1090" s="109"/>
      <c r="I1090" s="110"/>
      <c r="J1090" s="110"/>
      <c r="K1090" s="111"/>
      <c r="L1090" s="112"/>
      <c r="M1090" s="113"/>
      <c r="N1090" s="114"/>
      <c r="O1090" s="107"/>
      <c r="P1090" s="107"/>
      <c r="Q1090" s="115"/>
      <c r="R1090" s="116"/>
      <c r="S1090" s="107"/>
      <c r="T1090" s="107"/>
      <c r="U1090" s="107"/>
      <c r="V1090" s="107"/>
      <c r="W1090" s="107"/>
      <c r="X1090" s="107"/>
      <c r="Y1090" s="107"/>
      <c r="Z1090" s="107"/>
      <c r="AA1090" s="107"/>
      <c r="AB1090" s="107"/>
      <c r="AC1090" s="107"/>
      <c r="AD1090" s="107"/>
      <c r="AE1090" s="107"/>
      <c r="AF1090" s="107"/>
      <c r="AG1090" s="107"/>
      <c r="AH1090" s="107"/>
      <c r="AI1090" s="107"/>
      <c r="AJ1090" s="107"/>
      <c r="AK1090" s="107"/>
      <c r="AL1090" s="107"/>
      <c r="AM1090" s="107"/>
      <c r="AN1090" s="107"/>
      <c r="AO1090" s="107"/>
      <c r="AP1090" s="107"/>
      <c r="AQ1090" s="107"/>
      <c r="AR1090" s="107"/>
      <c r="AS1090" s="107"/>
      <c r="AT1090" s="107"/>
      <c r="AU1090" s="107"/>
      <c r="AV1090" s="107"/>
      <c r="AW1090" s="107"/>
      <c r="AX1090" s="107"/>
      <c r="AY1090" s="107"/>
      <c r="AZ1090" s="107"/>
      <c r="BA1090" s="107"/>
      <c r="BB1090" s="107"/>
      <c r="BC1090" s="107"/>
      <c r="BD1090" s="107"/>
      <c r="BE1090" s="107"/>
      <c r="BF1090" s="107"/>
      <c r="BG1090" s="107"/>
      <c r="BH1090" s="107"/>
    </row>
    <row r="1091" spans="1:60" x14ac:dyDescent="0.25">
      <c r="A1091" s="96"/>
      <c r="B1091" s="97"/>
      <c r="C1091" s="97"/>
      <c r="D1091" s="97"/>
      <c r="E1091" s="98"/>
      <c r="F1091" s="99"/>
      <c r="G1091" s="97"/>
      <c r="H1091" s="99"/>
      <c r="I1091" s="99"/>
      <c r="J1091" s="100"/>
      <c r="K1091" s="101"/>
      <c r="L1091" s="102"/>
      <c r="M1091" s="103"/>
      <c r="N1091" s="104"/>
      <c r="O1091" s="97"/>
      <c r="P1091" s="97"/>
      <c r="Q1091" s="97"/>
      <c r="R1091" s="105"/>
      <c r="S1091" s="97"/>
      <c r="T1091" s="97"/>
      <c r="U1091" s="97"/>
      <c r="V1091" s="97"/>
      <c r="W1091" s="97"/>
      <c r="X1091" s="97"/>
      <c r="Y1091" s="97"/>
      <c r="Z1091" s="97"/>
      <c r="AA1091" s="97"/>
      <c r="AB1091" s="97"/>
      <c r="AC1091" s="97"/>
      <c r="AD1091" s="97"/>
      <c r="AE1091" s="97"/>
      <c r="AF1091" s="97"/>
      <c r="AG1091" s="97"/>
      <c r="AH1091" s="97"/>
      <c r="AI1091" s="97"/>
      <c r="AJ1091" s="97"/>
      <c r="AK1091" s="97"/>
      <c r="AL1091" s="97"/>
      <c r="AM1091" s="97"/>
      <c r="AN1091" s="97"/>
      <c r="AO1091" s="97"/>
      <c r="AP1091" s="97"/>
      <c r="AQ1091" s="97"/>
      <c r="AR1091" s="97"/>
      <c r="AS1091" s="97"/>
      <c r="AT1091" s="97"/>
      <c r="AU1091" s="97"/>
      <c r="AV1091" s="97"/>
      <c r="AW1091" s="97"/>
      <c r="AX1091" s="97"/>
      <c r="AY1091" s="97"/>
      <c r="AZ1091" s="97"/>
      <c r="BA1091" s="97"/>
      <c r="BB1091" s="97"/>
      <c r="BC1091" s="97"/>
      <c r="BD1091" s="97"/>
      <c r="BE1091" s="97"/>
      <c r="BF1091" s="97"/>
      <c r="BG1091" s="97"/>
      <c r="BH1091" s="97"/>
    </row>
    <row r="1092" spans="1:60" x14ac:dyDescent="0.25">
      <c r="A1092" s="106"/>
      <c r="B1092" s="107"/>
      <c r="C1092" s="107"/>
      <c r="D1092" s="107"/>
      <c r="E1092" s="108"/>
      <c r="F1092" s="109"/>
      <c r="G1092" s="107"/>
      <c r="H1092" s="109"/>
      <c r="I1092" s="110"/>
      <c r="J1092" s="110"/>
      <c r="K1092" s="111"/>
      <c r="L1092" s="112"/>
      <c r="M1092" s="113"/>
      <c r="N1092" s="114"/>
      <c r="O1092" s="107"/>
      <c r="P1092" s="107"/>
      <c r="Q1092" s="115"/>
      <c r="R1092" s="116"/>
      <c r="S1092" s="107"/>
      <c r="T1092" s="107"/>
      <c r="U1092" s="107"/>
      <c r="V1092" s="107"/>
      <c r="W1092" s="107"/>
      <c r="X1092" s="107"/>
      <c r="Y1092" s="107"/>
      <c r="Z1092" s="107"/>
      <c r="AA1092" s="107"/>
      <c r="AB1092" s="107"/>
      <c r="AC1092" s="107"/>
      <c r="AD1092" s="107"/>
      <c r="AE1092" s="107"/>
      <c r="AF1092" s="107"/>
      <c r="AG1092" s="107"/>
      <c r="AH1092" s="107"/>
      <c r="AI1092" s="107"/>
      <c r="AJ1092" s="107"/>
      <c r="AK1092" s="107"/>
      <c r="AL1092" s="107"/>
      <c r="AM1092" s="107"/>
      <c r="AN1092" s="107"/>
      <c r="AO1092" s="107"/>
      <c r="AP1092" s="107"/>
      <c r="AQ1092" s="107"/>
      <c r="AR1092" s="107"/>
      <c r="AS1092" s="107"/>
      <c r="AT1092" s="107"/>
      <c r="AU1092" s="107"/>
      <c r="AV1092" s="107"/>
      <c r="AW1092" s="107"/>
      <c r="AX1092" s="107"/>
      <c r="AY1092" s="107"/>
      <c r="AZ1092" s="107"/>
      <c r="BA1092" s="107"/>
      <c r="BB1092" s="107"/>
      <c r="BC1092" s="107"/>
      <c r="BD1092" s="107"/>
      <c r="BE1092" s="107"/>
      <c r="BF1092" s="107"/>
      <c r="BG1092" s="107"/>
      <c r="BH1092" s="107"/>
    </row>
    <row r="1093" spans="1:60" x14ac:dyDescent="0.25">
      <c r="A1093" s="96"/>
      <c r="B1093" s="97"/>
      <c r="C1093" s="97"/>
      <c r="D1093" s="97"/>
      <c r="E1093" s="98"/>
      <c r="F1093" s="99"/>
      <c r="G1093" s="97"/>
      <c r="H1093" s="99"/>
      <c r="I1093" s="99"/>
      <c r="J1093" s="100"/>
      <c r="K1093" s="101"/>
      <c r="L1093" s="102"/>
      <c r="M1093" s="103"/>
      <c r="N1093" s="104"/>
      <c r="O1093" s="97"/>
      <c r="P1093" s="97"/>
      <c r="Q1093" s="97"/>
      <c r="R1093" s="105"/>
      <c r="S1093" s="97"/>
      <c r="T1093" s="97"/>
      <c r="U1093" s="97"/>
      <c r="V1093" s="97"/>
      <c r="W1093" s="97"/>
      <c r="X1093" s="97"/>
      <c r="Y1093" s="97"/>
      <c r="Z1093" s="97"/>
      <c r="AA1093" s="97"/>
      <c r="AB1093" s="97"/>
      <c r="AC1093" s="97"/>
      <c r="AD1093" s="97"/>
      <c r="AE1093" s="97"/>
      <c r="AF1093" s="97"/>
      <c r="AG1093" s="97"/>
      <c r="AH1093" s="97"/>
      <c r="AI1093" s="97"/>
      <c r="AJ1093" s="97"/>
      <c r="AK1093" s="97"/>
      <c r="AL1093" s="97"/>
      <c r="AM1093" s="97"/>
      <c r="AN1093" s="97"/>
      <c r="AO1093" s="97"/>
      <c r="AP1093" s="97"/>
      <c r="AQ1093" s="97"/>
      <c r="AR1093" s="97"/>
      <c r="AS1093" s="97"/>
      <c r="AT1093" s="97"/>
      <c r="AU1093" s="97"/>
      <c r="AV1093" s="97"/>
      <c r="AW1093" s="97"/>
      <c r="AX1093" s="97"/>
      <c r="AY1093" s="97"/>
      <c r="AZ1093" s="97"/>
      <c r="BA1093" s="97"/>
      <c r="BB1093" s="97"/>
      <c r="BC1093" s="97"/>
      <c r="BD1093" s="97"/>
      <c r="BE1093" s="97"/>
      <c r="BF1093" s="97"/>
      <c r="BG1093" s="97"/>
      <c r="BH1093" s="97"/>
    </row>
    <row r="1094" spans="1:60" x14ac:dyDescent="0.25">
      <c r="A1094" s="106"/>
      <c r="B1094" s="107"/>
      <c r="C1094" s="107"/>
      <c r="D1094" s="107"/>
      <c r="E1094" s="108"/>
      <c r="F1094" s="109"/>
      <c r="G1094" s="107"/>
      <c r="H1094" s="109"/>
      <c r="I1094" s="110"/>
      <c r="J1094" s="110"/>
      <c r="K1094" s="111"/>
      <c r="L1094" s="112"/>
      <c r="M1094" s="113"/>
      <c r="N1094" s="114"/>
      <c r="O1094" s="107"/>
      <c r="P1094" s="107"/>
      <c r="Q1094" s="115"/>
      <c r="R1094" s="116"/>
      <c r="S1094" s="107"/>
      <c r="T1094" s="107"/>
      <c r="U1094" s="107"/>
      <c r="V1094" s="107"/>
      <c r="W1094" s="107"/>
      <c r="X1094" s="107"/>
      <c r="Y1094" s="107"/>
      <c r="Z1094" s="107"/>
      <c r="AA1094" s="107"/>
      <c r="AB1094" s="107"/>
      <c r="AC1094" s="107"/>
      <c r="AD1094" s="107"/>
      <c r="AE1094" s="107"/>
      <c r="AF1094" s="107"/>
      <c r="AG1094" s="107"/>
      <c r="AH1094" s="107"/>
      <c r="AI1094" s="107"/>
      <c r="AJ1094" s="107"/>
      <c r="AK1094" s="107"/>
      <c r="AL1094" s="107"/>
      <c r="AM1094" s="107"/>
      <c r="AN1094" s="107"/>
      <c r="AO1094" s="107"/>
      <c r="AP1094" s="107"/>
      <c r="AQ1094" s="107"/>
      <c r="AR1094" s="107"/>
      <c r="AS1094" s="107"/>
      <c r="AT1094" s="107"/>
      <c r="AU1094" s="107"/>
      <c r="AV1094" s="107"/>
      <c r="AW1094" s="107"/>
      <c r="AX1094" s="107"/>
      <c r="AY1094" s="107"/>
      <c r="AZ1094" s="107"/>
      <c r="BA1094" s="107"/>
      <c r="BB1094" s="107"/>
      <c r="BC1094" s="107"/>
      <c r="BD1094" s="107"/>
      <c r="BE1094" s="107"/>
      <c r="BF1094" s="107"/>
      <c r="BG1094" s="107"/>
      <c r="BH1094" s="107"/>
    </row>
    <row r="1095" spans="1:60" x14ac:dyDescent="0.25">
      <c r="A1095" s="96"/>
      <c r="B1095" s="97"/>
      <c r="C1095" s="97"/>
      <c r="D1095" s="97"/>
      <c r="E1095" s="98"/>
      <c r="F1095" s="99"/>
      <c r="G1095" s="97"/>
      <c r="H1095" s="99"/>
      <c r="I1095" s="99"/>
      <c r="J1095" s="100"/>
      <c r="K1095" s="101"/>
      <c r="L1095" s="102"/>
      <c r="M1095" s="103"/>
      <c r="N1095" s="104"/>
      <c r="O1095" s="97"/>
      <c r="P1095" s="97"/>
      <c r="Q1095" s="97"/>
      <c r="R1095" s="105"/>
      <c r="S1095" s="97"/>
      <c r="T1095" s="97"/>
      <c r="U1095" s="97"/>
      <c r="V1095" s="97"/>
      <c r="W1095" s="97"/>
      <c r="X1095" s="97"/>
      <c r="Y1095" s="97"/>
      <c r="Z1095" s="97"/>
      <c r="AA1095" s="97"/>
      <c r="AB1095" s="97"/>
      <c r="AC1095" s="97"/>
      <c r="AD1095" s="97"/>
      <c r="AE1095" s="97"/>
      <c r="AF1095" s="97"/>
      <c r="AG1095" s="97"/>
      <c r="AH1095" s="97"/>
      <c r="AI1095" s="97"/>
      <c r="AJ1095" s="97"/>
      <c r="AK1095" s="97"/>
      <c r="AL1095" s="97"/>
      <c r="AM1095" s="97"/>
      <c r="AN1095" s="97"/>
      <c r="AO1095" s="97"/>
      <c r="AP1095" s="97"/>
      <c r="AQ1095" s="97"/>
      <c r="AR1095" s="97"/>
      <c r="AS1095" s="97"/>
      <c r="AT1095" s="97"/>
      <c r="AU1095" s="97"/>
      <c r="AV1095" s="97"/>
      <c r="AW1095" s="97"/>
      <c r="AX1095" s="97"/>
      <c r="AY1095" s="97"/>
      <c r="AZ1095" s="97"/>
      <c r="BA1095" s="97"/>
      <c r="BB1095" s="97"/>
      <c r="BC1095" s="97"/>
      <c r="BD1095" s="97"/>
      <c r="BE1095" s="97"/>
      <c r="BF1095" s="97"/>
      <c r="BG1095" s="97"/>
      <c r="BH1095" s="97"/>
    </row>
    <row r="1096" spans="1:60" x14ac:dyDescent="0.25">
      <c r="A1096" s="106"/>
      <c r="B1096" s="107"/>
      <c r="C1096" s="107"/>
      <c r="D1096" s="107"/>
      <c r="E1096" s="108"/>
      <c r="F1096" s="109"/>
      <c r="G1096" s="107"/>
      <c r="H1096" s="109"/>
      <c r="I1096" s="110"/>
      <c r="J1096" s="110"/>
      <c r="K1096" s="111"/>
      <c r="L1096" s="112"/>
      <c r="M1096" s="113"/>
      <c r="N1096" s="114"/>
      <c r="O1096" s="107"/>
      <c r="P1096" s="107"/>
      <c r="Q1096" s="115"/>
      <c r="R1096" s="116"/>
      <c r="S1096" s="107"/>
      <c r="T1096" s="107"/>
      <c r="U1096" s="107"/>
      <c r="V1096" s="107"/>
      <c r="W1096" s="107"/>
      <c r="X1096" s="107"/>
      <c r="Y1096" s="107"/>
      <c r="Z1096" s="107"/>
      <c r="AA1096" s="107"/>
      <c r="AB1096" s="107"/>
      <c r="AC1096" s="107"/>
      <c r="AD1096" s="107"/>
      <c r="AE1096" s="107"/>
      <c r="AF1096" s="107"/>
      <c r="AG1096" s="107"/>
      <c r="AH1096" s="107"/>
      <c r="AI1096" s="107"/>
      <c r="AJ1096" s="107"/>
      <c r="AK1096" s="107"/>
      <c r="AL1096" s="107"/>
      <c r="AM1096" s="107"/>
      <c r="AN1096" s="107"/>
      <c r="AO1096" s="107"/>
      <c r="AP1096" s="107"/>
      <c r="AQ1096" s="107"/>
      <c r="AR1096" s="107"/>
      <c r="AS1096" s="107"/>
      <c r="AT1096" s="107"/>
      <c r="AU1096" s="107"/>
      <c r="AV1096" s="107"/>
      <c r="AW1096" s="107"/>
      <c r="AX1096" s="107"/>
      <c r="AY1096" s="107"/>
      <c r="AZ1096" s="107"/>
      <c r="BA1096" s="107"/>
      <c r="BB1096" s="107"/>
      <c r="BC1096" s="107"/>
      <c r="BD1096" s="107"/>
      <c r="BE1096" s="107"/>
      <c r="BF1096" s="107"/>
      <c r="BG1096" s="107"/>
      <c r="BH1096" s="107"/>
    </row>
    <row r="1097" spans="1:60" x14ac:dyDescent="0.25">
      <c r="A1097" s="96"/>
      <c r="B1097" s="97"/>
      <c r="C1097" s="97"/>
      <c r="D1097" s="97"/>
      <c r="E1097" s="98"/>
      <c r="F1097" s="99"/>
      <c r="G1097" s="97"/>
      <c r="H1097" s="99"/>
      <c r="I1097" s="99"/>
      <c r="J1097" s="100"/>
      <c r="K1097" s="101"/>
      <c r="L1097" s="102"/>
      <c r="M1097" s="103"/>
      <c r="N1097" s="104"/>
      <c r="O1097" s="97"/>
      <c r="P1097" s="97"/>
      <c r="Q1097" s="97"/>
      <c r="R1097" s="105"/>
      <c r="S1097" s="97"/>
      <c r="T1097" s="97"/>
      <c r="U1097" s="97"/>
      <c r="V1097" s="97"/>
      <c r="W1097" s="97"/>
      <c r="X1097" s="97"/>
      <c r="Y1097" s="97"/>
      <c r="Z1097" s="97"/>
      <c r="AA1097" s="97"/>
      <c r="AB1097" s="97"/>
      <c r="AC1097" s="97"/>
      <c r="AD1097" s="97"/>
      <c r="AE1097" s="97"/>
      <c r="AF1097" s="97"/>
      <c r="AG1097" s="97"/>
      <c r="AH1097" s="97"/>
      <c r="AI1097" s="97"/>
      <c r="AJ1097" s="97"/>
      <c r="AK1097" s="97"/>
      <c r="AL1097" s="97"/>
      <c r="AM1097" s="97"/>
      <c r="AN1097" s="97"/>
      <c r="AO1097" s="97"/>
      <c r="AP1097" s="97"/>
      <c r="AQ1097" s="97"/>
      <c r="AR1097" s="97"/>
      <c r="AS1097" s="97"/>
      <c r="AT1097" s="97"/>
      <c r="AU1097" s="97"/>
      <c r="AV1097" s="97"/>
      <c r="AW1097" s="97"/>
      <c r="AX1097" s="97"/>
      <c r="AY1097" s="97"/>
      <c r="AZ1097" s="97"/>
      <c r="BA1097" s="97"/>
      <c r="BB1097" s="97"/>
      <c r="BC1097" s="97"/>
      <c r="BD1097" s="97"/>
      <c r="BE1097" s="97"/>
      <c r="BF1097" s="97"/>
      <c r="BG1097" s="97"/>
      <c r="BH1097" s="97"/>
    </row>
    <row r="1098" spans="1:60" x14ac:dyDescent="0.25">
      <c r="A1098" s="106"/>
      <c r="B1098" s="107"/>
      <c r="C1098" s="107"/>
      <c r="D1098" s="107"/>
      <c r="E1098" s="108"/>
      <c r="F1098" s="109"/>
      <c r="G1098" s="107"/>
      <c r="H1098" s="109"/>
      <c r="I1098" s="110"/>
      <c r="J1098" s="110"/>
      <c r="K1098" s="111"/>
      <c r="L1098" s="112"/>
      <c r="M1098" s="113"/>
      <c r="N1098" s="114"/>
      <c r="O1098" s="107"/>
      <c r="P1098" s="107"/>
      <c r="Q1098" s="115"/>
      <c r="R1098" s="116"/>
      <c r="S1098" s="107"/>
      <c r="T1098" s="107"/>
      <c r="U1098" s="107"/>
      <c r="V1098" s="107"/>
      <c r="W1098" s="107"/>
      <c r="X1098" s="107"/>
      <c r="Y1098" s="107"/>
      <c r="Z1098" s="107"/>
      <c r="AA1098" s="107"/>
      <c r="AB1098" s="107"/>
      <c r="AC1098" s="107"/>
      <c r="AD1098" s="107"/>
      <c r="AE1098" s="107"/>
      <c r="AF1098" s="107"/>
      <c r="AG1098" s="107"/>
      <c r="AH1098" s="107"/>
      <c r="AI1098" s="107"/>
      <c r="AJ1098" s="107"/>
      <c r="AK1098" s="107"/>
      <c r="AL1098" s="107"/>
      <c r="AM1098" s="107"/>
      <c r="AN1098" s="107"/>
      <c r="AO1098" s="107"/>
      <c r="AP1098" s="107"/>
      <c r="AQ1098" s="107"/>
      <c r="AR1098" s="107"/>
      <c r="AS1098" s="107"/>
      <c r="AT1098" s="107"/>
      <c r="AU1098" s="107"/>
      <c r="AV1098" s="107"/>
      <c r="AW1098" s="107"/>
      <c r="AX1098" s="107"/>
      <c r="AY1098" s="107"/>
      <c r="AZ1098" s="107"/>
      <c r="BA1098" s="107"/>
      <c r="BB1098" s="107"/>
      <c r="BC1098" s="107"/>
      <c r="BD1098" s="107"/>
      <c r="BE1098" s="107"/>
      <c r="BF1098" s="107"/>
      <c r="BG1098" s="107"/>
      <c r="BH1098" s="107"/>
    </row>
    <row r="1099" spans="1:60" x14ac:dyDescent="0.25">
      <c r="A1099" s="96"/>
      <c r="B1099" s="97"/>
      <c r="C1099" s="97"/>
      <c r="D1099" s="97"/>
      <c r="E1099" s="98"/>
      <c r="F1099" s="99"/>
      <c r="G1099" s="97"/>
      <c r="H1099" s="99"/>
      <c r="I1099" s="99"/>
      <c r="J1099" s="100"/>
      <c r="K1099" s="101"/>
      <c r="L1099" s="102"/>
      <c r="M1099" s="103"/>
      <c r="N1099" s="104"/>
      <c r="O1099" s="97"/>
      <c r="P1099" s="97"/>
      <c r="Q1099" s="97"/>
      <c r="R1099" s="105"/>
      <c r="S1099" s="97"/>
      <c r="T1099" s="97"/>
      <c r="U1099" s="97"/>
      <c r="V1099" s="97"/>
      <c r="W1099" s="97"/>
      <c r="X1099" s="97"/>
      <c r="Y1099" s="97"/>
      <c r="Z1099" s="97"/>
      <c r="AA1099" s="97"/>
      <c r="AB1099" s="97"/>
      <c r="AC1099" s="97"/>
      <c r="AD1099" s="97"/>
      <c r="AE1099" s="97"/>
      <c r="AF1099" s="97"/>
      <c r="AG1099" s="97"/>
      <c r="AH1099" s="97"/>
      <c r="AI1099" s="97"/>
      <c r="AJ1099" s="97"/>
      <c r="AK1099" s="97"/>
      <c r="AL1099" s="97"/>
      <c r="AM1099" s="97"/>
      <c r="AN1099" s="97"/>
      <c r="AO1099" s="97"/>
      <c r="AP1099" s="97"/>
      <c r="AQ1099" s="97"/>
      <c r="AR1099" s="97"/>
      <c r="AS1099" s="97"/>
      <c r="AT1099" s="97"/>
      <c r="AU1099" s="97"/>
      <c r="AV1099" s="97"/>
      <c r="AW1099" s="97"/>
      <c r="AX1099" s="97"/>
      <c r="AY1099" s="97"/>
      <c r="AZ1099" s="97"/>
      <c r="BA1099" s="97"/>
      <c r="BB1099" s="97"/>
      <c r="BC1099" s="97"/>
      <c r="BD1099" s="97"/>
      <c r="BE1099" s="97"/>
      <c r="BF1099" s="97"/>
      <c r="BG1099" s="97"/>
      <c r="BH1099" s="97"/>
    </row>
    <row r="1100" spans="1:60" x14ac:dyDescent="0.25">
      <c r="A1100" s="106"/>
      <c r="B1100" s="107"/>
      <c r="C1100" s="107"/>
      <c r="D1100" s="107"/>
      <c r="E1100" s="108"/>
      <c r="F1100" s="109"/>
      <c r="G1100" s="107"/>
      <c r="H1100" s="109"/>
      <c r="I1100" s="110"/>
      <c r="J1100" s="110"/>
      <c r="K1100" s="111"/>
      <c r="L1100" s="112"/>
      <c r="M1100" s="113"/>
      <c r="N1100" s="114"/>
      <c r="O1100" s="107"/>
      <c r="P1100" s="107"/>
      <c r="Q1100" s="115"/>
      <c r="R1100" s="116"/>
      <c r="S1100" s="107"/>
      <c r="T1100" s="107"/>
      <c r="U1100" s="107"/>
      <c r="V1100" s="107"/>
      <c r="W1100" s="107"/>
      <c r="X1100" s="107"/>
      <c r="Y1100" s="107"/>
      <c r="Z1100" s="107"/>
      <c r="AA1100" s="107"/>
      <c r="AB1100" s="107"/>
      <c r="AC1100" s="107"/>
      <c r="AD1100" s="107"/>
      <c r="AE1100" s="107"/>
      <c r="AF1100" s="107"/>
      <c r="AG1100" s="107"/>
      <c r="AH1100" s="107"/>
      <c r="AI1100" s="107"/>
      <c r="AJ1100" s="107"/>
      <c r="AK1100" s="107"/>
      <c r="AL1100" s="107"/>
      <c r="AM1100" s="107"/>
      <c r="AN1100" s="107"/>
      <c r="AO1100" s="107"/>
      <c r="AP1100" s="107"/>
      <c r="AQ1100" s="107"/>
      <c r="AR1100" s="107"/>
      <c r="AS1100" s="107"/>
      <c r="AT1100" s="107"/>
      <c r="AU1100" s="107"/>
      <c r="AV1100" s="107"/>
      <c r="AW1100" s="107"/>
      <c r="AX1100" s="107"/>
      <c r="AY1100" s="107"/>
      <c r="AZ1100" s="107"/>
      <c r="BA1100" s="107"/>
      <c r="BB1100" s="107"/>
      <c r="BC1100" s="107"/>
      <c r="BD1100" s="107"/>
      <c r="BE1100" s="107"/>
      <c r="BF1100" s="107"/>
      <c r="BG1100" s="107"/>
      <c r="BH1100" s="107"/>
    </row>
    <row r="1101" spans="1:60" x14ac:dyDescent="0.25">
      <c r="A1101" s="96"/>
      <c r="B1101" s="97"/>
      <c r="C1101" s="97"/>
      <c r="D1101" s="97"/>
      <c r="E1101" s="98"/>
      <c r="F1101" s="99"/>
      <c r="G1101" s="97"/>
      <c r="H1101" s="99"/>
      <c r="I1101" s="99"/>
      <c r="J1101" s="100"/>
      <c r="K1101" s="101"/>
      <c r="L1101" s="102"/>
      <c r="M1101" s="103"/>
      <c r="N1101" s="104"/>
      <c r="O1101" s="97"/>
      <c r="P1101" s="97"/>
      <c r="Q1101" s="97"/>
      <c r="R1101" s="105"/>
      <c r="S1101" s="97"/>
      <c r="T1101" s="97"/>
      <c r="U1101" s="97"/>
      <c r="V1101" s="97"/>
      <c r="W1101" s="97"/>
      <c r="X1101" s="97"/>
      <c r="Y1101" s="97"/>
      <c r="Z1101" s="97"/>
      <c r="AA1101" s="97"/>
      <c r="AB1101" s="97"/>
      <c r="AC1101" s="97"/>
      <c r="AD1101" s="97"/>
      <c r="AE1101" s="97"/>
      <c r="AF1101" s="97"/>
      <c r="AG1101" s="97"/>
      <c r="AH1101" s="97"/>
      <c r="AI1101" s="97"/>
      <c r="AJ1101" s="97"/>
      <c r="AK1101" s="97"/>
      <c r="AL1101" s="97"/>
      <c r="AM1101" s="97"/>
      <c r="AN1101" s="97"/>
      <c r="AO1101" s="97"/>
      <c r="AP1101" s="97"/>
      <c r="AQ1101" s="97"/>
      <c r="AR1101" s="97"/>
      <c r="AS1101" s="97"/>
      <c r="AT1101" s="97"/>
      <c r="AU1101" s="97"/>
      <c r="AV1101" s="97"/>
      <c r="AW1101" s="97"/>
      <c r="AX1101" s="97"/>
      <c r="AY1101" s="97"/>
      <c r="AZ1101" s="97"/>
      <c r="BA1101" s="97"/>
      <c r="BB1101" s="97"/>
      <c r="BC1101" s="97"/>
      <c r="BD1101" s="97"/>
      <c r="BE1101" s="97"/>
      <c r="BF1101" s="97"/>
      <c r="BG1101" s="97"/>
      <c r="BH1101" s="97"/>
    </row>
    <row r="1102" spans="1:60" x14ac:dyDescent="0.25">
      <c r="A1102" s="106"/>
      <c r="B1102" s="107"/>
      <c r="C1102" s="107"/>
      <c r="D1102" s="107"/>
      <c r="E1102" s="108"/>
      <c r="F1102" s="109"/>
      <c r="G1102" s="107"/>
      <c r="H1102" s="109"/>
      <c r="I1102" s="110"/>
      <c r="J1102" s="110"/>
      <c r="K1102" s="111"/>
      <c r="L1102" s="112"/>
      <c r="M1102" s="113"/>
      <c r="N1102" s="114"/>
      <c r="O1102" s="107"/>
      <c r="P1102" s="107"/>
      <c r="Q1102" s="115"/>
      <c r="R1102" s="116"/>
      <c r="S1102" s="107"/>
      <c r="T1102" s="107"/>
      <c r="U1102" s="107"/>
      <c r="V1102" s="107"/>
      <c r="W1102" s="107"/>
      <c r="X1102" s="107"/>
      <c r="Y1102" s="107"/>
      <c r="Z1102" s="107"/>
      <c r="AA1102" s="107"/>
      <c r="AB1102" s="107"/>
      <c r="AC1102" s="107"/>
      <c r="AD1102" s="107"/>
      <c r="AE1102" s="107"/>
      <c r="AF1102" s="107"/>
      <c r="AG1102" s="107"/>
      <c r="AH1102" s="107"/>
      <c r="AI1102" s="107"/>
      <c r="AJ1102" s="107"/>
      <c r="AK1102" s="107"/>
      <c r="AL1102" s="107"/>
      <c r="AM1102" s="107"/>
      <c r="AN1102" s="107"/>
      <c r="AO1102" s="107"/>
      <c r="AP1102" s="107"/>
      <c r="AQ1102" s="107"/>
      <c r="AR1102" s="107"/>
      <c r="AS1102" s="107"/>
      <c r="AT1102" s="107"/>
      <c r="AU1102" s="107"/>
      <c r="AV1102" s="107"/>
      <c r="AW1102" s="107"/>
      <c r="AX1102" s="107"/>
      <c r="AY1102" s="107"/>
      <c r="AZ1102" s="107"/>
      <c r="BA1102" s="107"/>
      <c r="BB1102" s="107"/>
      <c r="BC1102" s="107"/>
      <c r="BD1102" s="107"/>
      <c r="BE1102" s="107"/>
      <c r="BF1102" s="107"/>
      <c r="BG1102" s="107"/>
      <c r="BH1102" s="107"/>
    </row>
    <row r="1103" spans="1:60" x14ac:dyDescent="0.25">
      <c r="A1103" s="96"/>
      <c r="B1103" s="97"/>
      <c r="C1103" s="97"/>
      <c r="D1103" s="97"/>
      <c r="E1103" s="98"/>
      <c r="F1103" s="99"/>
      <c r="G1103" s="97"/>
      <c r="H1103" s="99"/>
      <c r="I1103" s="99"/>
      <c r="J1103" s="100"/>
      <c r="K1103" s="101"/>
      <c r="L1103" s="102"/>
      <c r="M1103" s="103"/>
      <c r="N1103" s="104"/>
      <c r="O1103" s="97"/>
      <c r="P1103" s="97"/>
      <c r="Q1103" s="97"/>
      <c r="R1103" s="105"/>
      <c r="S1103" s="97"/>
      <c r="T1103" s="97"/>
      <c r="U1103" s="97"/>
      <c r="V1103" s="97"/>
      <c r="W1103" s="97"/>
      <c r="X1103" s="97"/>
      <c r="Y1103" s="97"/>
      <c r="Z1103" s="97"/>
      <c r="AA1103" s="97"/>
      <c r="AB1103" s="97"/>
      <c r="AC1103" s="97"/>
      <c r="AD1103" s="97"/>
      <c r="AE1103" s="97"/>
      <c r="AF1103" s="97"/>
      <c r="AG1103" s="97"/>
      <c r="AH1103" s="97"/>
      <c r="AI1103" s="97"/>
      <c r="AJ1103" s="97"/>
      <c r="AK1103" s="97"/>
      <c r="AL1103" s="97"/>
      <c r="AM1103" s="97"/>
      <c r="AN1103" s="97"/>
      <c r="AO1103" s="97"/>
      <c r="AP1103" s="97"/>
      <c r="AQ1103" s="97"/>
      <c r="AR1103" s="97"/>
      <c r="AS1103" s="97"/>
      <c r="AT1103" s="97"/>
      <c r="AU1103" s="97"/>
      <c r="AV1103" s="97"/>
      <c r="AW1103" s="97"/>
      <c r="AX1103" s="97"/>
      <c r="AY1103" s="97"/>
      <c r="AZ1103" s="97"/>
      <c r="BA1103" s="97"/>
      <c r="BB1103" s="97"/>
      <c r="BC1103" s="97"/>
      <c r="BD1103" s="97"/>
      <c r="BE1103" s="97"/>
      <c r="BF1103" s="97"/>
      <c r="BG1103" s="97"/>
      <c r="BH1103" s="97"/>
    </row>
    <row r="1104" spans="1:60" x14ac:dyDescent="0.25">
      <c r="A1104" s="106"/>
      <c r="B1104" s="107"/>
      <c r="C1104" s="107"/>
      <c r="D1104" s="107"/>
      <c r="E1104" s="108"/>
      <c r="F1104" s="109"/>
      <c r="G1104" s="107"/>
      <c r="H1104" s="109"/>
      <c r="I1104" s="110"/>
      <c r="J1104" s="110"/>
      <c r="K1104" s="111"/>
      <c r="L1104" s="112"/>
      <c r="M1104" s="113"/>
      <c r="N1104" s="114"/>
      <c r="O1104" s="107"/>
      <c r="P1104" s="107"/>
      <c r="Q1104" s="115"/>
      <c r="R1104" s="116"/>
      <c r="S1104" s="107"/>
      <c r="T1104" s="107"/>
      <c r="U1104" s="107"/>
      <c r="V1104" s="107"/>
      <c r="W1104" s="107"/>
      <c r="X1104" s="107"/>
      <c r="Y1104" s="107"/>
      <c r="Z1104" s="107"/>
      <c r="AA1104" s="107"/>
      <c r="AB1104" s="107"/>
      <c r="AC1104" s="107"/>
      <c r="AD1104" s="107"/>
      <c r="AE1104" s="107"/>
      <c r="AF1104" s="107"/>
      <c r="AG1104" s="107"/>
      <c r="AH1104" s="107"/>
      <c r="AI1104" s="107"/>
      <c r="AJ1104" s="107"/>
      <c r="AK1104" s="107"/>
      <c r="AL1104" s="107"/>
      <c r="AM1104" s="107"/>
      <c r="AN1104" s="107"/>
      <c r="AO1104" s="107"/>
      <c r="AP1104" s="107"/>
      <c r="AQ1104" s="107"/>
      <c r="AR1104" s="107"/>
      <c r="AS1104" s="107"/>
      <c r="AT1104" s="107"/>
      <c r="AU1104" s="107"/>
      <c r="AV1104" s="107"/>
      <c r="AW1104" s="107"/>
      <c r="AX1104" s="107"/>
      <c r="AY1104" s="107"/>
      <c r="AZ1104" s="107"/>
      <c r="BA1104" s="107"/>
      <c r="BB1104" s="107"/>
      <c r="BC1104" s="107"/>
      <c r="BD1104" s="107"/>
      <c r="BE1104" s="107"/>
      <c r="BF1104" s="107"/>
      <c r="BG1104" s="107"/>
      <c r="BH1104" s="107"/>
    </row>
    <row r="1105" spans="1:60" x14ac:dyDescent="0.25">
      <c r="A1105" s="96"/>
      <c r="B1105" s="97"/>
      <c r="C1105" s="97"/>
      <c r="D1105" s="97"/>
      <c r="E1105" s="98"/>
      <c r="F1105" s="99"/>
      <c r="G1105" s="97"/>
      <c r="H1105" s="99"/>
      <c r="I1105" s="99"/>
      <c r="J1105" s="100"/>
      <c r="K1105" s="101"/>
      <c r="L1105" s="102"/>
      <c r="M1105" s="103"/>
      <c r="N1105" s="104"/>
      <c r="O1105" s="97"/>
      <c r="P1105" s="97"/>
      <c r="Q1105" s="97"/>
      <c r="R1105" s="105"/>
      <c r="S1105" s="97"/>
      <c r="T1105" s="97"/>
      <c r="U1105" s="97"/>
      <c r="V1105" s="97"/>
      <c r="W1105" s="97"/>
      <c r="X1105" s="97"/>
      <c r="Y1105" s="97"/>
      <c r="Z1105" s="97"/>
      <c r="AA1105" s="97"/>
      <c r="AB1105" s="97"/>
      <c r="AC1105" s="97"/>
      <c r="AD1105" s="97"/>
      <c r="AE1105" s="97"/>
      <c r="AF1105" s="97"/>
      <c r="AG1105" s="97"/>
      <c r="AH1105" s="97"/>
      <c r="AI1105" s="97"/>
      <c r="AJ1105" s="97"/>
      <c r="AK1105" s="97"/>
      <c r="AL1105" s="97"/>
      <c r="AM1105" s="97"/>
      <c r="AN1105" s="97"/>
      <c r="AO1105" s="97"/>
      <c r="AP1105" s="97"/>
      <c r="AQ1105" s="97"/>
      <c r="AR1105" s="97"/>
      <c r="AS1105" s="97"/>
      <c r="AT1105" s="97"/>
      <c r="AU1105" s="97"/>
      <c r="AV1105" s="97"/>
      <c r="AW1105" s="97"/>
      <c r="AX1105" s="97"/>
      <c r="AY1105" s="97"/>
      <c r="AZ1105" s="97"/>
      <c r="BA1105" s="97"/>
      <c r="BB1105" s="97"/>
      <c r="BC1105" s="97"/>
      <c r="BD1105" s="97"/>
      <c r="BE1105" s="97"/>
      <c r="BF1105" s="97"/>
      <c r="BG1105" s="97"/>
      <c r="BH1105" s="97"/>
    </row>
    <row r="1106" spans="1:60" x14ac:dyDescent="0.25">
      <c r="A1106" s="106"/>
      <c r="B1106" s="107"/>
      <c r="C1106" s="107"/>
      <c r="D1106" s="107"/>
      <c r="E1106" s="108"/>
      <c r="F1106" s="109"/>
      <c r="G1106" s="107"/>
      <c r="H1106" s="109"/>
      <c r="I1106" s="110"/>
      <c r="J1106" s="110"/>
      <c r="K1106" s="111"/>
      <c r="L1106" s="112"/>
      <c r="M1106" s="113"/>
      <c r="N1106" s="114"/>
      <c r="O1106" s="107"/>
      <c r="P1106" s="107"/>
      <c r="Q1106" s="115"/>
      <c r="R1106" s="116"/>
      <c r="S1106" s="107"/>
      <c r="T1106" s="107"/>
      <c r="U1106" s="107"/>
      <c r="V1106" s="107"/>
      <c r="W1106" s="107"/>
      <c r="X1106" s="107"/>
      <c r="Y1106" s="107"/>
      <c r="Z1106" s="107"/>
      <c r="AA1106" s="107"/>
      <c r="AB1106" s="107"/>
      <c r="AC1106" s="107"/>
      <c r="AD1106" s="107"/>
      <c r="AE1106" s="107"/>
      <c r="AF1106" s="107"/>
      <c r="AG1106" s="107"/>
      <c r="AH1106" s="107"/>
      <c r="AI1106" s="107"/>
      <c r="AJ1106" s="107"/>
      <c r="AK1106" s="107"/>
      <c r="AL1106" s="107"/>
      <c r="AM1106" s="107"/>
      <c r="AN1106" s="107"/>
      <c r="AO1106" s="107"/>
      <c r="AP1106" s="107"/>
      <c r="AQ1106" s="107"/>
      <c r="AR1106" s="107"/>
      <c r="AS1106" s="107"/>
      <c r="AT1106" s="107"/>
      <c r="AU1106" s="107"/>
      <c r="AV1106" s="107"/>
      <c r="AW1106" s="107"/>
      <c r="AX1106" s="107"/>
      <c r="AY1106" s="107"/>
      <c r="AZ1106" s="107"/>
      <c r="BA1106" s="107"/>
      <c r="BB1106" s="107"/>
      <c r="BC1106" s="107"/>
      <c r="BD1106" s="107"/>
      <c r="BE1106" s="107"/>
      <c r="BF1106" s="107"/>
      <c r="BG1106" s="107"/>
      <c r="BH1106" s="107"/>
    </row>
    <row r="1107" spans="1:60" x14ac:dyDescent="0.25">
      <c r="A1107" s="96"/>
      <c r="B1107" s="97"/>
      <c r="C1107" s="97"/>
      <c r="D1107" s="97"/>
      <c r="E1107" s="98"/>
      <c r="F1107" s="99"/>
      <c r="G1107" s="97"/>
      <c r="H1107" s="99"/>
      <c r="I1107" s="99"/>
      <c r="J1107" s="100"/>
      <c r="K1107" s="101"/>
      <c r="L1107" s="102"/>
      <c r="M1107" s="103"/>
      <c r="N1107" s="104"/>
      <c r="O1107" s="97"/>
      <c r="P1107" s="97"/>
      <c r="Q1107" s="97"/>
      <c r="R1107" s="105"/>
      <c r="S1107" s="97"/>
      <c r="T1107" s="97"/>
      <c r="U1107" s="97"/>
      <c r="V1107" s="97"/>
      <c r="W1107" s="97"/>
      <c r="X1107" s="97"/>
      <c r="Y1107" s="97"/>
      <c r="Z1107" s="97"/>
      <c r="AA1107" s="97"/>
      <c r="AB1107" s="97"/>
      <c r="AC1107" s="97"/>
      <c r="AD1107" s="97"/>
      <c r="AE1107" s="97"/>
      <c r="AF1107" s="97"/>
      <c r="AG1107" s="97"/>
      <c r="AH1107" s="97"/>
      <c r="AI1107" s="97"/>
      <c r="AJ1107" s="97"/>
      <c r="AK1107" s="97"/>
      <c r="AL1107" s="97"/>
      <c r="AM1107" s="97"/>
      <c r="AN1107" s="97"/>
      <c r="AO1107" s="97"/>
      <c r="AP1107" s="97"/>
      <c r="AQ1107" s="97"/>
      <c r="AR1107" s="97"/>
      <c r="AS1107" s="97"/>
      <c r="AT1107" s="97"/>
      <c r="AU1107" s="97"/>
      <c r="AV1107" s="97"/>
      <c r="AW1107" s="97"/>
      <c r="AX1107" s="97"/>
      <c r="AY1107" s="97"/>
      <c r="AZ1107" s="97"/>
      <c r="BA1107" s="97"/>
      <c r="BB1107" s="97"/>
      <c r="BC1107" s="97"/>
      <c r="BD1107" s="97"/>
      <c r="BE1107" s="97"/>
      <c r="BF1107" s="97"/>
      <c r="BG1107" s="97"/>
      <c r="BH1107" s="97"/>
    </row>
    <row r="1108" spans="1:60" x14ac:dyDescent="0.25">
      <c r="A1108" s="106"/>
      <c r="B1108" s="107"/>
      <c r="C1108" s="107"/>
      <c r="D1108" s="107"/>
      <c r="E1108" s="108"/>
      <c r="F1108" s="109"/>
      <c r="G1108" s="107"/>
      <c r="H1108" s="109"/>
      <c r="I1108" s="110"/>
      <c r="J1108" s="110"/>
      <c r="K1108" s="111"/>
      <c r="L1108" s="112"/>
      <c r="M1108" s="113"/>
      <c r="N1108" s="114"/>
      <c r="O1108" s="107"/>
      <c r="P1108" s="107"/>
      <c r="Q1108" s="115"/>
      <c r="R1108" s="116"/>
      <c r="S1108" s="107"/>
      <c r="T1108" s="107"/>
      <c r="U1108" s="107"/>
      <c r="V1108" s="107"/>
      <c r="W1108" s="107"/>
      <c r="X1108" s="107"/>
      <c r="Y1108" s="107"/>
      <c r="Z1108" s="107"/>
      <c r="AA1108" s="107"/>
      <c r="AB1108" s="107"/>
      <c r="AC1108" s="107"/>
      <c r="AD1108" s="107"/>
      <c r="AE1108" s="107"/>
      <c r="AF1108" s="107"/>
      <c r="AG1108" s="107"/>
      <c r="AH1108" s="107"/>
      <c r="AI1108" s="107"/>
      <c r="AJ1108" s="107"/>
      <c r="AK1108" s="107"/>
      <c r="AL1108" s="107"/>
      <c r="AM1108" s="107"/>
      <c r="AN1108" s="107"/>
      <c r="AO1108" s="107"/>
      <c r="AP1108" s="107"/>
      <c r="AQ1108" s="107"/>
      <c r="AR1108" s="107"/>
      <c r="AS1108" s="107"/>
      <c r="AT1108" s="107"/>
      <c r="AU1108" s="107"/>
      <c r="AV1108" s="107"/>
      <c r="AW1108" s="107"/>
      <c r="AX1108" s="107"/>
      <c r="AY1108" s="107"/>
      <c r="AZ1108" s="107"/>
      <c r="BA1108" s="107"/>
      <c r="BB1108" s="107"/>
      <c r="BC1108" s="107"/>
      <c r="BD1108" s="107"/>
      <c r="BE1108" s="107"/>
      <c r="BF1108" s="107"/>
      <c r="BG1108" s="107"/>
      <c r="BH1108" s="107"/>
    </row>
    <row r="1109" spans="1:60" x14ac:dyDescent="0.25">
      <c r="A1109" s="96"/>
      <c r="B1109" s="97"/>
      <c r="C1109" s="97"/>
      <c r="D1109" s="97"/>
      <c r="E1109" s="98"/>
      <c r="F1109" s="99"/>
      <c r="G1109" s="97"/>
      <c r="H1109" s="99"/>
      <c r="I1109" s="99"/>
      <c r="J1109" s="100"/>
      <c r="K1109" s="101"/>
      <c r="L1109" s="102"/>
      <c r="M1109" s="103"/>
      <c r="N1109" s="104"/>
      <c r="O1109" s="97"/>
      <c r="P1109" s="97"/>
      <c r="Q1109" s="97"/>
      <c r="R1109" s="105"/>
      <c r="S1109" s="97"/>
      <c r="T1109" s="97"/>
      <c r="U1109" s="97"/>
      <c r="V1109" s="97"/>
      <c r="W1109" s="97"/>
      <c r="X1109" s="97"/>
      <c r="Y1109" s="97"/>
      <c r="Z1109" s="97"/>
      <c r="AA1109" s="97"/>
      <c r="AB1109" s="97"/>
      <c r="AC1109" s="97"/>
      <c r="AD1109" s="97"/>
      <c r="AE1109" s="97"/>
      <c r="AF1109" s="97"/>
      <c r="AG1109" s="97"/>
      <c r="AH1109" s="97"/>
      <c r="AI1109" s="97"/>
      <c r="AJ1109" s="97"/>
      <c r="AK1109" s="97"/>
      <c r="AL1109" s="97"/>
      <c r="AM1109" s="97"/>
      <c r="AN1109" s="97"/>
      <c r="AO1109" s="97"/>
      <c r="AP1109" s="97"/>
      <c r="AQ1109" s="97"/>
      <c r="AR1109" s="97"/>
      <c r="AS1109" s="97"/>
      <c r="AT1109" s="97"/>
      <c r="AU1109" s="97"/>
      <c r="AV1109" s="97"/>
      <c r="AW1109" s="97"/>
      <c r="AX1109" s="97"/>
      <c r="AY1109" s="97"/>
      <c r="AZ1109" s="97"/>
      <c r="BA1109" s="97"/>
      <c r="BB1109" s="97"/>
      <c r="BC1109" s="97"/>
      <c r="BD1109" s="97"/>
      <c r="BE1109" s="97"/>
      <c r="BF1109" s="97"/>
      <c r="BG1109" s="97"/>
      <c r="BH1109" s="97"/>
    </row>
    <row r="1110" spans="1:60" x14ac:dyDescent="0.25">
      <c r="A1110" s="106"/>
      <c r="B1110" s="107"/>
      <c r="C1110" s="107"/>
      <c r="D1110" s="107"/>
      <c r="E1110" s="108"/>
      <c r="F1110" s="109"/>
      <c r="G1110" s="107"/>
      <c r="H1110" s="109"/>
      <c r="I1110" s="110"/>
      <c r="J1110" s="110"/>
      <c r="K1110" s="111"/>
      <c r="L1110" s="112"/>
      <c r="M1110" s="113"/>
      <c r="N1110" s="114"/>
      <c r="O1110" s="107"/>
      <c r="P1110" s="107"/>
      <c r="Q1110" s="115"/>
      <c r="R1110" s="116"/>
      <c r="S1110" s="107"/>
      <c r="T1110" s="107"/>
      <c r="U1110" s="107"/>
      <c r="V1110" s="107"/>
      <c r="W1110" s="107"/>
      <c r="X1110" s="107"/>
      <c r="Y1110" s="107"/>
      <c r="Z1110" s="107"/>
      <c r="AA1110" s="107"/>
      <c r="AB1110" s="107"/>
      <c r="AC1110" s="107"/>
      <c r="AD1110" s="107"/>
      <c r="AE1110" s="107"/>
      <c r="AF1110" s="107"/>
      <c r="AG1110" s="107"/>
      <c r="AH1110" s="107"/>
      <c r="AI1110" s="107"/>
      <c r="AJ1110" s="107"/>
      <c r="AK1110" s="107"/>
      <c r="AL1110" s="107"/>
      <c r="AM1110" s="107"/>
      <c r="AN1110" s="107"/>
      <c r="AO1110" s="107"/>
      <c r="AP1110" s="107"/>
      <c r="AQ1110" s="107"/>
      <c r="AR1110" s="107"/>
      <c r="AS1110" s="107"/>
      <c r="AT1110" s="107"/>
      <c r="AU1110" s="107"/>
      <c r="AV1110" s="107"/>
      <c r="AW1110" s="107"/>
      <c r="AX1110" s="107"/>
      <c r="AY1110" s="107"/>
      <c r="AZ1110" s="107"/>
      <c r="BA1110" s="107"/>
      <c r="BB1110" s="107"/>
      <c r="BC1110" s="107"/>
      <c r="BD1110" s="107"/>
      <c r="BE1110" s="107"/>
      <c r="BF1110" s="107"/>
      <c r="BG1110" s="107"/>
      <c r="BH1110" s="107"/>
    </row>
    <row r="1111" spans="1:60" x14ac:dyDescent="0.25">
      <c r="A1111" s="96"/>
      <c r="B1111" s="97"/>
      <c r="C1111" s="97"/>
      <c r="D1111" s="97"/>
      <c r="E1111" s="98"/>
      <c r="F1111" s="99"/>
      <c r="G1111" s="97"/>
      <c r="H1111" s="99"/>
      <c r="I1111" s="99"/>
      <c r="J1111" s="100"/>
      <c r="K1111" s="101"/>
      <c r="L1111" s="102"/>
      <c r="M1111" s="103"/>
      <c r="N1111" s="104"/>
      <c r="O1111" s="97"/>
      <c r="P1111" s="97"/>
      <c r="Q1111" s="97"/>
      <c r="R1111" s="105"/>
      <c r="S1111" s="97"/>
      <c r="T1111" s="97"/>
      <c r="U1111" s="97"/>
      <c r="V1111" s="97"/>
      <c r="W1111" s="97"/>
      <c r="X1111" s="97"/>
      <c r="Y1111" s="97"/>
      <c r="Z1111" s="97"/>
      <c r="AA1111" s="97"/>
      <c r="AB1111" s="97"/>
      <c r="AC1111" s="97"/>
      <c r="AD1111" s="97"/>
      <c r="AE1111" s="97"/>
      <c r="AF1111" s="97"/>
      <c r="AG1111" s="97"/>
      <c r="AH1111" s="97"/>
      <c r="AI1111" s="97"/>
      <c r="AJ1111" s="97"/>
      <c r="AK1111" s="97"/>
      <c r="AL1111" s="97"/>
      <c r="AM1111" s="97"/>
      <c r="AN1111" s="97"/>
      <c r="AO1111" s="97"/>
      <c r="AP1111" s="97"/>
      <c r="AQ1111" s="97"/>
      <c r="AR1111" s="97"/>
      <c r="AS1111" s="97"/>
      <c r="AT1111" s="97"/>
      <c r="AU1111" s="97"/>
      <c r="AV1111" s="97"/>
      <c r="AW1111" s="97"/>
      <c r="AX1111" s="97"/>
      <c r="AY1111" s="97"/>
      <c r="AZ1111" s="97"/>
      <c r="BA1111" s="97"/>
      <c r="BB1111" s="97"/>
      <c r="BC1111" s="97"/>
      <c r="BD1111" s="97"/>
      <c r="BE1111" s="97"/>
      <c r="BF1111" s="97"/>
      <c r="BG1111" s="97"/>
      <c r="BH1111" s="97"/>
    </row>
    <row r="1112" spans="1:60" x14ac:dyDescent="0.25">
      <c r="A1112" s="106"/>
      <c r="B1112" s="107"/>
      <c r="C1112" s="107"/>
      <c r="D1112" s="107"/>
      <c r="E1112" s="108"/>
      <c r="F1112" s="109"/>
      <c r="G1112" s="107"/>
      <c r="H1112" s="109"/>
      <c r="I1112" s="110"/>
      <c r="J1112" s="110"/>
      <c r="K1112" s="111"/>
      <c r="L1112" s="112"/>
      <c r="M1112" s="113"/>
      <c r="N1112" s="114"/>
      <c r="O1112" s="107"/>
      <c r="P1112" s="107"/>
      <c r="Q1112" s="115"/>
      <c r="R1112" s="116"/>
      <c r="S1112" s="107"/>
      <c r="T1112" s="107"/>
      <c r="U1112" s="107"/>
      <c r="V1112" s="107"/>
      <c r="W1112" s="107"/>
      <c r="X1112" s="107"/>
      <c r="Y1112" s="107"/>
      <c r="Z1112" s="107"/>
      <c r="AA1112" s="107"/>
      <c r="AB1112" s="107"/>
      <c r="AC1112" s="107"/>
      <c r="AD1112" s="107"/>
      <c r="AE1112" s="107"/>
      <c r="AF1112" s="107"/>
      <c r="AG1112" s="107"/>
      <c r="AH1112" s="107"/>
      <c r="AI1112" s="107"/>
      <c r="AJ1112" s="107"/>
      <c r="AK1112" s="107"/>
      <c r="AL1112" s="107"/>
      <c r="AM1112" s="107"/>
      <c r="AN1112" s="107"/>
      <c r="AO1112" s="107"/>
      <c r="AP1112" s="107"/>
      <c r="AQ1112" s="107"/>
      <c r="AR1112" s="107"/>
      <c r="AS1112" s="107"/>
      <c r="AT1112" s="107"/>
      <c r="AU1112" s="107"/>
      <c r="AV1112" s="107"/>
      <c r="AW1112" s="107"/>
      <c r="AX1112" s="107"/>
      <c r="AY1112" s="107"/>
      <c r="AZ1112" s="107"/>
      <c r="BA1112" s="107"/>
      <c r="BB1112" s="107"/>
      <c r="BC1112" s="107"/>
      <c r="BD1112" s="107"/>
      <c r="BE1112" s="107"/>
      <c r="BF1112" s="107"/>
      <c r="BG1112" s="107"/>
      <c r="BH1112" s="107"/>
    </row>
    <row r="1113" spans="1:60" x14ac:dyDescent="0.25">
      <c r="A1113" s="96"/>
      <c r="B1113" s="97"/>
      <c r="C1113" s="97"/>
      <c r="D1113" s="97"/>
      <c r="E1113" s="98"/>
      <c r="F1113" s="99"/>
      <c r="G1113" s="97"/>
      <c r="H1113" s="99"/>
      <c r="I1113" s="99"/>
      <c r="J1113" s="100"/>
      <c r="K1113" s="101"/>
      <c r="L1113" s="102"/>
      <c r="M1113" s="103"/>
      <c r="N1113" s="104"/>
      <c r="O1113" s="97"/>
      <c r="P1113" s="97"/>
      <c r="Q1113" s="97"/>
      <c r="R1113" s="105"/>
      <c r="S1113" s="97"/>
      <c r="T1113" s="97"/>
      <c r="U1113" s="97"/>
      <c r="V1113" s="97"/>
      <c r="W1113" s="97"/>
      <c r="X1113" s="97"/>
      <c r="Y1113" s="97"/>
      <c r="Z1113" s="97"/>
      <c r="AA1113" s="97"/>
      <c r="AB1113" s="97"/>
      <c r="AC1113" s="97"/>
      <c r="AD1113" s="97"/>
      <c r="AE1113" s="97"/>
      <c r="AF1113" s="97"/>
      <c r="AG1113" s="97"/>
      <c r="AH1113" s="97"/>
      <c r="AI1113" s="97"/>
      <c r="AJ1113" s="97"/>
      <c r="AK1113" s="97"/>
      <c r="AL1113" s="97"/>
      <c r="AM1113" s="97"/>
      <c r="AN1113" s="97"/>
      <c r="AO1113" s="97"/>
      <c r="AP1113" s="97"/>
      <c r="AQ1113" s="97"/>
      <c r="AR1113" s="97"/>
      <c r="AS1113" s="97"/>
      <c r="AT1113" s="97"/>
      <c r="AU1113" s="97"/>
      <c r="AV1113" s="97"/>
      <c r="AW1113" s="97"/>
      <c r="AX1113" s="97"/>
      <c r="AY1113" s="97"/>
      <c r="AZ1113" s="97"/>
      <c r="BA1113" s="97"/>
      <c r="BB1113" s="97"/>
      <c r="BC1113" s="97"/>
      <c r="BD1113" s="97"/>
      <c r="BE1113" s="97"/>
      <c r="BF1113" s="97"/>
      <c r="BG1113" s="97"/>
      <c r="BH1113" s="97"/>
    </row>
    <row r="1114" spans="1:60" x14ac:dyDescent="0.25">
      <c r="A1114" s="106"/>
      <c r="B1114" s="107"/>
      <c r="C1114" s="107"/>
      <c r="D1114" s="107"/>
      <c r="E1114" s="108"/>
      <c r="F1114" s="109"/>
      <c r="G1114" s="107"/>
      <c r="H1114" s="109"/>
      <c r="I1114" s="110"/>
      <c r="J1114" s="110"/>
      <c r="K1114" s="111"/>
      <c r="L1114" s="112"/>
      <c r="M1114" s="113"/>
      <c r="N1114" s="114"/>
      <c r="O1114" s="107"/>
      <c r="P1114" s="107"/>
      <c r="Q1114" s="115"/>
      <c r="R1114" s="116"/>
      <c r="S1114" s="107"/>
      <c r="T1114" s="107"/>
      <c r="U1114" s="107"/>
      <c r="V1114" s="107"/>
      <c r="W1114" s="107"/>
      <c r="X1114" s="107"/>
      <c r="Y1114" s="107"/>
      <c r="Z1114" s="107"/>
      <c r="AA1114" s="107"/>
      <c r="AB1114" s="107"/>
      <c r="AC1114" s="107"/>
      <c r="AD1114" s="107"/>
      <c r="AE1114" s="107"/>
      <c r="AF1114" s="107"/>
      <c r="AG1114" s="107"/>
      <c r="AH1114" s="107"/>
      <c r="AI1114" s="107"/>
      <c r="AJ1114" s="107"/>
      <c r="AK1114" s="107"/>
      <c r="AL1114" s="107"/>
      <c r="AM1114" s="107"/>
      <c r="AN1114" s="107"/>
      <c r="AO1114" s="107"/>
      <c r="AP1114" s="107"/>
      <c r="AQ1114" s="107"/>
      <c r="AR1114" s="107"/>
      <c r="AS1114" s="107"/>
      <c r="AT1114" s="107"/>
      <c r="AU1114" s="107"/>
      <c r="AV1114" s="107"/>
      <c r="AW1114" s="107"/>
      <c r="AX1114" s="107"/>
      <c r="AY1114" s="107"/>
      <c r="AZ1114" s="107"/>
      <c r="BA1114" s="107"/>
      <c r="BB1114" s="107"/>
      <c r="BC1114" s="107"/>
      <c r="BD1114" s="107"/>
      <c r="BE1114" s="107"/>
      <c r="BF1114" s="107"/>
      <c r="BG1114" s="107"/>
      <c r="BH1114" s="107"/>
    </row>
    <row r="1115" spans="1:60" x14ac:dyDescent="0.25">
      <c r="A1115" s="96"/>
      <c r="B1115" s="97"/>
      <c r="C1115" s="97"/>
      <c r="D1115" s="97"/>
      <c r="E1115" s="98"/>
      <c r="F1115" s="99"/>
      <c r="G1115" s="97"/>
      <c r="H1115" s="99"/>
      <c r="I1115" s="99"/>
      <c r="J1115" s="100"/>
      <c r="K1115" s="101"/>
      <c r="L1115" s="102"/>
      <c r="M1115" s="103"/>
      <c r="N1115" s="104"/>
      <c r="O1115" s="97"/>
      <c r="P1115" s="97"/>
      <c r="Q1115" s="97"/>
      <c r="R1115" s="105"/>
      <c r="S1115" s="97"/>
      <c r="T1115" s="97"/>
      <c r="U1115" s="97"/>
      <c r="V1115" s="97"/>
      <c r="W1115" s="97"/>
      <c r="X1115" s="97"/>
      <c r="Y1115" s="97"/>
      <c r="Z1115" s="97"/>
      <c r="AA1115" s="97"/>
      <c r="AB1115" s="97"/>
      <c r="AC1115" s="97"/>
      <c r="AD1115" s="97"/>
      <c r="AE1115" s="97"/>
      <c r="AF1115" s="97"/>
      <c r="AG1115" s="97"/>
      <c r="AH1115" s="97"/>
      <c r="AI1115" s="97"/>
      <c r="AJ1115" s="97"/>
      <c r="AK1115" s="97"/>
      <c r="AL1115" s="97"/>
      <c r="AM1115" s="97"/>
      <c r="AN1115" s="97"/>
      <c r="AO1115" s="97"/>
      <c r="AP1115" s="97"/>
      <c r="AQ1115" s="97"/>
      <c r="AR1115" s="97"/>
      <c r="AS1115" s="97"/>
      <c r="AT1115" s="97"/>
      <c r="AU1115" s="97"/>
      <c r="AV1115" s="97"/>
      <c r="AW1115" s="97"/>
      <c r="AX1115" s="97"/>
      <c r="AY1115" s="97"/>
      <c r="AZ1115" s="97"/>
      <c r="BA1115" s="97"/>
      <c r="BB1115" s="97"/>
      <c r="BC1115" s="97"/>
      <c r="BD1115" s="97"/>
      <c r="BE1115" s="97"/>
      <c r="BF1115" s="97"/>
      <c r="BG1115" s="97"/>
      <c r="BH1115" s="97"/>
    </row>
    <row r="1116" spans="1:60" x14ac:dyDescent="0.25">
      <c r="A1116" s="106"/>
      <c r="B1116" s="107"/>
      <c r="C1116" s="107"/>
      <c r="D1116" s="107"/>
      <c r="E1116" s="108"/>
      <c r="F1116" s="109"/>
      <c r="G1116" s="107"/>
      <c r="H1116" s="109"/>
      <c r="I1116" s="110"/>
      <c r="J1116" s="110"/>
      <c r="K1116" s="111"/>
      <c r="L1116" s="112"/>
      <c r="M1116" s="113"/>
      <c r="N1116" s="114"/>
      <c r="O1116" s="107"/>
      <c r="P1116" s="107"/>
      <c r="Q1116" s="115"/>
      <c r="R1116" s="116"/>
      <c r="S1116" s="107"/>
      <c r="T1116" s="107"/>
      <c r="U1116" s="107"/>
      <c r="V1116" s="107"/>
      <c r="W1116" s="107"/>
      <c r="X1116" s="107"/>
      <c r="Y1116" s="107"/>
      <c r="Z1116" s="107"/>
      <c r="AA1116" s="107"/>
      <c r="AB1116" s="107"/>
      <c r="AC1116" s="107"/>
      <c r="AD1116" s="107"/>
      <c r="AE1116" s="107"/>
      <c r="AF1116" s="107"/>
      <c r="AG1116" s="107"/>
      <c r="AH1116" s="107"/>
      <c r="AI1116" s="107"/>
      <c r="AJ1116" s="107"/>
      <c r="AK1116" s="107"/>
      <c r="AL1116" s="107"/>
      <c r="AM1116" s="107"/>
      <c r="AN1116" s="107"/>
      <c r="AO1116" s="107"/>
      <c r="AP1116" s="107"/>
      <c r="AQ1116" s="107"/>
      <c r="AR1116" s="107"/>
      <c r="AS1116" s="107"/>
      <c r="AT1116" s="107"/>
      <c r="AU1116" s="107"/>
      <c r="AV1116" s="107"/>
      <c r="AW1116" s="107"/>
      <c r="AX1116" s="107"/>
      <c r="AY1116" s="107"/>
      <c r="AZ1116" s="107"/>
      <c r="BA1116" s="107"/>
      <c r="BB1116" s="107"/>
      <c r="BC1116" s="107"/>
      <c r="BD1116" s="107"/>
      <c r="BE1116" s="107"/>
      <c r="BF1116" s="107"/>
      <c r="BG1116" s="107"/>
      <c r="BH1116" s="107"/>
    </row>
    <row r="1117" spans="1:60" x14ac:dyDescent="0.25">
      <c r="A1117" s="96"/>
      <c r="B1117" s="97"/>
      <c r="C1117" s="97"/>
      <c r="D1117" s="97"/>
      <c r="E1117" s="98"/>
      <c r="F1117" s="99"/>
      <c r="G1117" s="97"/>
      <c r="H1117" s="99"/>
      <c r="I1117" s="99"/>
      <c r="J1117" s="100"/>
      <c r="K1117" s="101"/>
      <c r="L1117" s="102"/>
      <c r="M1117" s="103"/>
      <c r="N1117" s="104"/>
      <c r="O1117" s="97"/>
      <c r="P1117" s="97"/>
      <c r="Q1117" s="97"/>
      <c r="R1117" s="105"/>
      <c r="S1117" s="97"/>
      <c r="T1117" s="97"/>
      <c r="U1117" s="97"/>
      <c r="V1117" s="97"/>
      <c r="W1117" s="97"/>
      <c r="X1117" s="97"/>
      <c r="Y1117" s="97"/>
      <c r="Z1117" s="97"/>
      <c r="AA1117" s="97"/>
      <c r="AB1117" s="97"/>
      <c r="AC1117" s="97"/>
      <c r="AD1117" s="97"/>
      <c r="AE1117" s="97"/>
      <c r="AF1117" s="97"/>
      <c r="AG1117" s="97"/>
      <c r="AH1117" s="97"/>
      <c r="AI1117" s="97"/>
      <c r="AJ1117" s="97"/>
      <c r="AK1117" s="97"/>
      <c r="AL1117" s="97"/>
      <c r="AM1117" s="97"/>
      <c r="AN1117" s="97"/>
      <c r="AO1117" s="97"/>
      <c r="AP1117" s="97"/>
      <c r="AQ1117" s="97"/>
      <c r="AR1117" s="97"/>
      <c r="AS1117" s="97"/>
      <c r="AT1117" s="97"/>
      <c r="AU1117" s="97"/>
      <c r="AV1117" s="97"/>
      <c r="AW1117" s="97"/>
      <c r="AX1117" s="97"/>
      <c r="AY1117" s="97"/>
      <c r="AZ1117" s="97"/>
      <c r="BA1117" s="97"/>
      <c r="BB1117" s="97"/>
      <c r="BC1117" s="97"/>
      <c r="BD1117" s="97"/>
      <c r="BE1117" s="97"/>
      <c r="BF1117" s="97"/>
      <c r="BG1117" s="97"/>
      <c r="BH1117" s="97"/>
    </row>
    <row r="1118" spans="1:60" x14ac:dyDescent="0.25">
      <c r="A1118" s="106"/>
      <c r="B1118" s="107"/>
      <c r="C1118" s="107"/>
      <c r="D1118" s="107"/>
      <c r="E1118" s="108"/>
      <c r="F1118" s="109"/>
      <c r="G1118" s="107"/>
      <c r="H1118" s="109"/>
      <c r="I1118" s="110"/>
      <c r="J1118" s="110"/>
      <c r="K1118" s="111"/>
      <c r="L1118" s="112"/>
      <c r="M1118" s="113"/>
      <c r="N1118" s="114"/>
      <c r="O1118" s="107"/>
      <c r="P1118" s="107"/>
      <c r="Q1118" s="115"/>
      <c r="R1118" s="116"/>
      <c r="S1118" s="107"/>
      <c r="T1118" s="107"/>
      <c r="U1118" s="107"/>
      <c r="V1118" s="107"/>
      <c r="W1118" s="107"/>
      <c r="X1118" s="107"/>
      <c r="Y1118" s="107"/>
      <c r="Z1118" s="107"/>
      <c r="AA1118" s="107"/>
      <c r="AB1118" s="107"/>
      <c r="AC1118" s="107"/>
      <c r="AD1118" s="107"/>
      <c r="AE1118" s="107"/>
      <c r="AF1118" s="107"/>
      <c r="AG1118" s="107"/>
      <c r="AH1118" s="107"/>
      <c r="AI1118" s="107"/>
      <c r="AJ1118" s="107"/>
      <c r="AK1118" s="107"/>
      <c r="AL1118" s="107"/>
      <c r="AM1118" s="107"/>
      <c r="AN1118" s="107"/>
      <c r="AO1118" s="107"/>
      <c r="AP1118" s="107"/>
      <c r="AQ1118" s="107"/>
      <c r="AR1118" s="107"/>
      <c r="AS1118" s="107"/>
      <c r="AT1118" s="107"/>
      <c r="AU1118" s="107"/>
      <c r="AV1118" s="107"/>
      <c r="AW1118" s="107"/>
      <c r="AX1118" s="107"/>
      <c r="AY1118" s="107"/>
      <c r="AZ1118" s="107"/>
      <c r="BA1118" s="107"/>
      <c r="BB1118" s="107"/>
      <c r="BC1118" s="107"/>
      <c r="BD1118" s="107"/>
      <c r="BE1118" s="107"/>
      <c r="BF1118" s="107"/>
      <c r="BG1118" s="107"/>
      <c r="BH1118" s="107"/>
    </row>
    <row r="1119" spans="1:60" x14ac:dyDescent="0.25">
      <c r="A1119" s="96"/>
      <c r="B1119" s="97"/>
      <c r="C1119" s="97"/>
      <c r="D1119" s="97"/>
      <c r="E1119" s="98"/>
      <c r="F1119" s="99"/>
      <c r="G1119" s="97"/>
      <c r="H1119" s="99"/>
      <c r="I1119" s="99"/>
      <c r="J1119" s="100"/>
      <c r="K1119" s="101"/>
      <c r="L1119" s="102"/>
      <c r="M1119" s="103"/>
      <c r="N1119" s="104"/>
      <c r="O1119" s="97"/>
      <c r="P1119" s="97"/>
      <c r="Q1119" s="97"/>
      <c r="R1119" s="105"/>
      <c r="S1119" s="97"/>
      <c r="T1119" s="97"/>
      <c r="U1119" s="97"/>
      <c r="V1119" s="97"/>
      <c r="W1119" s="97"/>
      <c r="X1119" s="97"/>
      <c r="Y1119" s="97"/>
      <c r="Z1119" s="97"/>
      <c r="AA1119" s="97"/>
      <c r="AB1119" s="97"/>
      <c r="AC1119" s="97"/>
      <c r="AD1119" s="97"/>
      <c r="AE1119" s="97"/>
      <c r="AF1119" s="97"/>
      <c r="AG1119" s="97"/>
      <c r="AH1119" s="97"/>
      <c r="AI1119" s="97"/>
      <c r="AJ1119" s="97"/>
      <c r="AK1119" s="97"/>
      <c r="AL1119" s="97"/>
      <c r="AM1119" s="97"/>
      <c r="AN1119" s="97"/>
      <c r="AO1119" s="97"/>
      <c r="AP1119" s="97"/>
      <c r="AQ1119" s="97"/>
      <c r="AR1119" s="97"/>
      <c r="AS1119" s="97"/>
      <c r="AT1119" s="97"/>
      <c r="AU1119" s="97"/>
      <c r="AV1119" s="97"/>
      <c r="AW1119" s="97"/>
      <c r="AX1119" s="97"/>
      <c r="AY1119" s="97"/>
      <c r="AZ1119" s="97"/>
      <c r="BA1119" s="97"/>
      <c r="BB1119" s="97"/>
      <c r="BC1119" s="97"/>
      <c r="BD1119" s="97"/>
      <c r="BE1119" s="97"/>
      <c r="BF1119" s="97"/>
      <c r="BG1119" s="97"/>
      <c r="BH1119" s="97"/>
    </row>
    <row r="1120" spans="1:60" x14ac:dyDescent="0.25">
      <c r="A1120" s="106"/>
      <c r="B1120" s="107"/>
      <c r="C1120" s="107"/>
      <c r="D1120" s="107"/>
      <c r="E1120" s="108"/>
      <c r="F1120" s="109"/>
      <c r="G1120" s="107"/>
      <c r="H1120" s="109"/>
      <c r="I1120" s="110"/>
      <c r="J1120" s="110"/>
      <c r="K1120" s="111"/>
      <c r="L1120" s="112"/>
      <c r="M1120" s="113"/>
      <c r="N1120" s="114"/>
      <c r="O1120" s="107"/>
      <c r="P1120" s="107"/>
      <c r="Q1120" s="115"/>
      <c r="R1120" s="116"/>
      <c r="S1120" s="107"/>
      <c r="T1120" s="107"/>
      <c r="U1120" s="107"/>
      <c r="V1120" s="107"/>
      <c r="W1120" s="107"/>
      <c r="X1120" s="107"/>
      <c r="Y1120" s="107"/>
      <c r="Z1120" s="107"/>
      <c r="AA1120" s="107"/>
      <c r="AB1120" s="107"/>
      <c r="AC1120" s="107"/>
      <c r="AD1120" s="107"/>
      <c r="AE1120" s="107"/>
      <c r="AF1120" s="107"/>
      <c r="AG1120" s="107"/>
      <c r="AH1120" s="107"/>
      <c r="AI1120" s="107"/>
      <c r="AJ1120" s="107"/>
      <c r="AK1120" s="107"/>
      <c r="AL1120" s="107"/>
      <c r="AM1120" s="107"/>
      <c r="AN1120" s="107"/>
      <c r="AO1120" s="107"/>
      <c r="AP1120" s="107"/>
      <c r="AQ1120" s="107"/>
      <c r="AR1120" s="107"/>
      <c r="AS1120" s="107"/>
      <c r="AT1120" s="107"/>
      <c r="AU1120" s="107"/>
      <c r="AV1120" s="107"/>
      <c r="AW1120" s="107"/>
      <c r="AX1120" s="107"/>
      <c r="AY1120" s="107"/>
      <c r="AZ1120" s="107"/>
      <c r="BA1120" s="107"/>
      <c r="BB1120" s="107"/>
      <c r="BC1120" s="107"/>
      <c r="BD1120" s="107"/>
      <c r="BE1120" s="107"/>
      <c r="BF1120" s="107"/>
      <c r="BG1120" s="107"/>
      <c r="BH1120" s="107"/>
    </row>
    <row r="1121" spans="1:60" x14ac:dyDescent="0.25">
      <c r="A1121" s="96"/>
      <c r="B1121" s="97"/>
      <c r="C1121" s="97"/>
      <c r="D1121" s="97"/>
      <c r="E1121" s="98"/>
      <c r="F1121" s="99"/>
      <c r="G1121" s="97"/>
      <c r="H1121" s="99"/>
      <c r="I1121" s="99"/>
      <c r="J1121" s="100"/>
      <c r="K1121" s="101"/>
      <c r="L1121" s="102"/>
      <c r="M1121" s="103"/>
      <c r="N1121" s="104"/>
      <c r="O1121" s="97"/>
      <c r="P1121" s="97"/>
      <c r="Q1121" s="97"/>
      <c r="R1121" s="105"/>
      <c r="S1121" s="97"/>
      <c r="T1121" s="97"/>
      <c r="U1121" s="97"/>
      <c r="V1121" s="97"/>
      <c r="W1121" s="97"/>
      <c r="X1121" s="97"/>
      <c r="Y1121" s="97"/>
      <c r="Z1121" s="97"/>
      <c r="AA1121" s="97"/>
      <c r="AB1121" s="97"/>
      <c r="AC1121" s="97"/>
      <c r="AD1121" s="97"/>
      <c r="AE1121" s="97"/>
      <c r="AF1121" s="97"/>
      <c r="AG1121" s="97"/>
      <c r="AH1121" s="97"/>
      <c r="AI1121" s="97"/>
      <c r="AJ1121" s="97"/>
      <c r="AK1121" s="97"/>
      <c r="AL1121" s="97"/>
      <c r="AM1121" s="97"/>
      <c r="AN1121" s="97"/>
      <c r="AO1121" s="97"/>
      <c r="AP1121" s="97"/>
      <c r="AQ1121" s="97"/>
      <c r="AR1121" s="97"/>
      <c r="AS1121" s="97"/>
      <c r="AT1121" s="97"/>
      <c r="AU1121" s="97"/>
      <c r="AV1121" s="97"/>
      <c r="AW1121" s="97"/>
      <c r="AX1121" s="97"/>
      <c r="AY1121" s="97"/>
      <c r="AZ1121" s="97"/>
      <c r="BA1121" s="97"/>
      <c r="BB1121" s="97"/>
      <c r="BC1121" s="97"/>
      <c r="BD1121" s="97"/>
      <c r="BE1121" s="97"/>
      <c r="BF1121" s="97"/>
      <c r="BG1121" s="97"/>
      <c r="BH1121" s="97"/>
    </row>
    <row r="1122" spans="1:60" x14ac:dyDescent="0.25">
      <c r="A1122" s="106"/>
      <c r="B1122" s="107"/>
      <c r="C1122" s="107"/>
      <c r="D1122" s="107"/>
      <c r="E1122" s="108"/>
      <c r="F1122" s="109"/>
      <c r="G1122" s="107"/>
      <c r="H1122" s="109"/>
      <c r="I1122" s="110"/>
      <c r="J1122" s="110"/>
      <c r="K1122" s="111"/>
      <c r="L1122" s="112"/>
      <c r="M1122" s="113"/>
      <c r="N1122" s="114"/>
      <c r="O1122" s="107"/>
      <c r="P1122" s="107"/>
      <c r="Q1122" s="115"/>
      <c r="R1122" s="116"/>
      <c r="S1122" s="107"/>
      <c r="T1122" s="107"/>
      <c r="U1122" s="107"/>
      <c r="V1122" s="107"/>
      <c r="W1122" s="107"/>
      <c r="X1122" s="107"/>
      <c r="Y1122" s="107"/>
      <c r="Z1122" s="107"/>
      <c r="AA1122" s="107"/>
      <c r="AB1122" s="107"/>
      <c r="AC1122" s="107"/>
      <c r="AD1122" s="107"/>
      <c r="AE1122" s="107"/>
      <c r="AF1122" s="107"/>
      <c r="AG1122" s="107"/>
      <c r="AH1122" s="107"/>
      <c r="AI1122" s="107"/>
      <c r="AJ1122" s="107"/>
      <c r="AK1122" s="107"/>
      <c r="AL1122" s="107"/>
      <c r="AM1122" s="107"/>
      <c r="AN1122" s="107"/>
      <c r="AO1122" s="107"/>
      <c r="AP1122" s="107"/>
      <c r="AQ1122" s="107"/>
      <c r="AR1122" s="107"/>
      <c r="AS1122" s="107"/>
      <c r="AT1122" s="107"/>
      <c r="AU1122" s="107"/>
      <c r="AV1122" s="107"/>
      <c r="AW1122" s="107"/>
      <c r="AX1122" s="107"/>
      <c r="AY1122" s="107"/>
      <c r="AZ1122" s="107"/>
      <c r="BA1122" s="107"/>
      <c r="BB1122" s="107"/>
      <c r="BC1122" s="107"/>
      <c r="BD1122" s="107"/>
      <c r="BE1122" s="107"/>
      <c r="BF1122" s="107"/>
      <c r="BG1122" s="107"/>
      <c r="BH1122" s="107"/>
    </row>
    <row r="1123" spans="1:60" x14ac:dyDescent="0.25">
      <c r="A1123" s="96"/>
      <c r="B1123" s="97"/>
      <c r="C1123" s="97"/>
      <c r="D1123" s="97"/>
      <c r="E1123" s="98"/>
      <c r="F1123" s="99"/>
      <c r="G1123" s="97"/>
      <c r="H1123" s="99"/>
      <c r="I1123" s="99"/>
      <c r="J1123" s="100"/>
      <c r="K1123" s="101"/>
      <c r="L1123" s="102"/>
      <c r="M1123" s="103"/>
      <c r="N1123" s="104"/>
      <c r="O1123" s="97"/>
      <c r="P1123" s="97"/>
      <c r="Q1123" s="97"/>
      <c r="R1123" s="105"/>
      <c r="S1123" s="97"/>
      <c r="T1123" s="97"/>
      <c r="U1123" s="97"/>
      <c r="V1123" s="97"/>
      <c r="W1123" s="97"/>
      <c r="X1123" s="97"/>
      <c r="Y1123" s="97"/>
      <c r="Z1123" s="97"/>
      <c r="AA1123" s="97"/>
      <c r="AB1123" s="97"/>
      <c r="AC1123" s="97"/>
      <c r="AD1123" s="97"/>
      <c r="AE1123" s="97"/>
      <c r="AF1123" s="97"/>
      <c r="AG1123" s="97"/>
      <c r="AH1123" s="97"/>
      <c r="AI1123" s="97"/>
      <c r="AJ1123" s="97"/>
      <c r="AK1123" s="97"/>
      <c r="AL1123" s="97"/>
      <c r="AM1123" s="97"/>
      <c r="AN1123" s="97"/>
      <c r="AO1123" s="97"/>
      <c r="AP1123" s="97"/>
      <c r="AQ1123" s="97"/>
      <c r="AR1123" s="97"/>
      <c r="AS1123" s="97"/>
      <c r="AT1123" s="97"/>
      <c r="AU1123" s="97"/>
      <c r="AV1123" s="97"/>
      <c r="AW1123" s="97"/>
      <c r="AX1123" s="97"/>
      <c r="AY1123" s="97"/>
      <c r="AZ1123" s="97"/>
      <c r="BA1123" s="97"/>
      <c r="BB1123" s="97"/>
      <c r="BC1123" s="97"/>
      <c r="BD1123" s="97"/>
      <c r="BE1123" s="97"/>
      <c r="BF1123" s="97"/>
      <c r="BG1123" s="97"/>
      <c r="BH1123" s="97"/>
    </row>
    <row r="1124" spans="1:60" x14ac:dyDescent="0.25">
      <c r="A1124" s="106"/>
      <c r="B1124" s="107"/>
      <c r="C1124" s="107"/>
      <c r="D1124" s="107"/>
      <c r="E1124" s="108"/>
      <c r="F1124" s="109"/>
      <c r="G1124" s="107"/>
      <c r="H1124" s="109"/>
      <c r="I1124" s="110"/>
      <c r="J1124" s="110"/>
      <c r="K1124" s="111"/>
      <c r="L1124" s="112"/>
      <c r="M1124" s="113"/>
      <c r="N1124" s="114"/>
      <c r="O1124" s="107"/>
      <c r="P1124" s="107"/>
      <c r="Q1124" s="115"/>
      <c r="R1124" s="116"/>
      <c r="S1124" s="107"/>
      <c r="T1124" s="107"/>
      <c r="U1124" s="107"/>
      <c r="V1124" s="107"/>
      <c r="W1124" s="107"/>
      <c r="X1124" s="107"/>
      <c r="Y1124" s="107"/>
      <c r="Z1124" s="107"/>
      <c r="AA1124" s="107"/>
      <c r="AB1124" s="107"/>
      <c r="AC1124" s="107"/>
      <c r="AD1124" s="107"/>
      <c r="AE1124" s="107"/>
      <c r="AF1124" s="107"/>
      <c r="AG1124" s="107"/>
      <c r="AH1124" s="107"/>
      <c r="AI1124" s="107"/>
      <c r="AJ1124" s="107"/>
      <c r="AK1124" s="107"/>
      <c r="AL1124" s="107"/>
      <c r="AM1124" s="107"/>
      <c r="AN1124" s="107"/>
      <c r="AO1124" s="107"/>
      <c r="AP1124" s="107"/>
      <c r="AQ1124" s="107"/>
      <c r="AR1124" s="107"/>
      <c r="AS1124" s="107"/>
      <c r="AT1124" s="107"/>
      <c r="AU1124" s="107"/>
      <c r="AV1124" s="107"/>
      <c r="AW1124" s="107"/>
      <c r="AX1124" s="107"/>
      <c r="AY1124" s="107"/>
      <c r="AZ1124" s="107"/>
      <c r="BA1124" s="107"/>
      <c r="BB1124" s="107"/>
      <c r="BC1124" s="107"/>
      <c r="BD1124" s="107"/>
      <c r="BE1124" s="107"/>
      <c r="BF1124" s="107"/>
      <c r="BG1124" s="107"/>
      <c r="BH1124" s="107"/>
    </row>
    <row r="1125" spans="1:60" x14ac:dyDescent="0.25">
      <c r="A1125" s="96"/>
      <c r="B1125" s="97"/>
      <c r="C1125" s="97"/>
      <c r="D1125" s="97"/>
      <c r="E1125" s="98"/>
      <c r="F1125" s="99"/>
      <c r="G1125" s="97"/>
      <c r="H1125" s="99"/>
      <c r="I1125" s="99"/>
      <c r="J1125" s="100"/>
      <c r="K1125" s="101"/>
      <c r="L1125" s="102"/>
      <c r="M1125" s="103"/>
      <c r="N1125" s="104"/>
      <c r="O1125" s="97"/>
      <c r="P1125" s="97"/>
      <c r="Q1125" s="97"/>
      <c r="R1125" s="105"/>
      <c r="S1125" s="97"/>
      <c r="T1125" s="97"/>
      <c r="U1125" s="97"/>
      <c r="V1125" s="97"/>
      <c r="W1125" s="97"/>
      <c r="X1125" s="97"/>
      <c r="Y1125" s="97"/>
      <c r="Z1125" s="97"/>
      <c r="AA1125" s="97"/>
      <c r="AB1125" s="97"/>
      <c r="AC1125" s="97"/>
      <c r="AD1125" s="97"/>
      <c r="AE1125" s="97"/>
      <c r="AF1125" s="97"/>
      <c r="AG1125" s="97"/>
      <c r="AH1125" s="97"/>
      <c r="AI1125" s="97"/>
      <c r="AJ1125" s="97"/>
      <c r="AK1125" s="97"/>
      <c r="AL1125" s="97"/>
      <c r="AM1125" s="97"/>
      <c r="AN1125" s="97"/>
      <c r="AO1125" s="97"/>
      <c r="AP1125" s="97"/>
      <c r="AQ1125" s="97"/>
      <c r="AR1125" s="97"/>
      <c r="AS1125" s="97"/>
      <c r="AT1125" s="97"/>
      <c r="AU1125" s="97"/>
      <c r="AV1125" s="97"/>
      <c r="AW1125" s="97"/>
      <c r="AX1125" s="97"/>
      <c r="AY1125" s="97"/>
      <c r="AZ1125" s="97"/>
      <c r="BA1125" s="97"/>
      <c r="BB1125" s="97"/>
      <c r="BC1125" s="97"/>
      <c r="BD1125" s="97"/>
      <c r="BE1125" s="97"/>
      <c r="BF1125" s="97"/>
      <c r="BG1125" s="97"/>
      <c r="BH1125" s="97"/>
    </row>
    <row r="1126" spans="1:60" x14ac:dyDescent="0.25">
      <c r="A1126" s="106"/>
      <c r="B1126" s="107"/>
      <c r="C1126" s="107"/>
      <c r="D1126" s="107"/>
      <c r="E1126" s="108"/>
      <c r="F1126" s="109"/>
      <c r="G1126" s="107"/>
      <c r="H1126" s="109"/>
      <c r="I1126" s="110"/>
      <c r="J1126" s="110"/>
      <c r="K1126" s="111"/>
      <c r="L1126" s="112"/>
      <c r="M1126" s="113"/>
      <c r="N1126" s="114"/>
      <c r="O1126" s="107"/>
      <c r="P1126" s="107"/>
      <c r="Q1126" s="115"/>
      <c r="R1126" s="116"/>
      <c r="S1126" s="107"/>
      <c r="T1126" s="107"/>
      <c r="U1126" s="107"/>
      <c r="V1126" s="107"/>
      <c r="W1126" s="107"/>
      <c r="X1126" s="107"/>
      <c r="Y1126" s="107"/>
      <c r="Z1126" s="107"/>
      <c r="AA1126" s="107"/>
      <c r="AB1126" s="107"/>
      <c r="AC1126" s="107"/>
      <c r="AD1126" s="107"/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AX1126" s="107"/>
      <c r="AY1126" s="107"/>
      <c r="AZ1126" s="107"/>
      <c r="BA1126" s="107"/>
      <c r="BB1126" s="107"/>
      <c r="BC1126" s="107"/>
      <c r="BD1126" s="107"/>
      <c r="BE1126" s="107"/>
      <c r="BF1126" s="107"/>
      <c r="BG1126" s="107"/>
      <c r="BH1126" s="107"/>
    </row>
    <row r="1127" spans="1:60" x14ac:dyDescent="0.25">
      <c r="A1127" s="96"/>
      <c r="B1127" s="97"/>
      <c r="C1127" s="97"/>
      <c r="D1127" s="97"/>
      <c r="E1127" s="98"/>
      <c r="F1127" s="99"/>
      <c r="G1127" s="97"/>
      <c r="H1127" s="99"/>
      <c r="I1127" s="99"/>
      <c r="J1127" s="100"/>
      <c r="K1127" s="101"/>
      <c r="L1127" s="102"/>
      <c r="M1127" s="103"/>
      <c r="N1127" s="104"/>
      <c r="O1127" s="97"/>
      <c r="P1127" s="97"/>
      <c r="Q1127" s="97"/>
      <c r="R1127" s="105"/>
      <c r="S1127" s="97"/>
      <c r="T1127" s="97"/>
      <c r="U1127" s="97"/>
      <c r="V1127" s="97"/>
      <c r="W1127" s="97"/>
      <c r="X1127" s="97"/>
      <c r="Y1127" s="97"/>
      <c r="Z1127" s="97"/>
      <c r="AA1127" s="97"/>
      <c r="AB1127" s="97"/>
      <c r="AC1127" s="97"/>
      <c r="AD1127" s="97"/>
      <c r="AE1127" s="97"/>
      <c r="AF1127" s="97"/>
      <c r="AG1127" s="97"/>
      <c r="AH1127" s="97"/>
      <c r="AI1127" s="97"/>
      <c r="AJ1127" s="97"/>
      <c r="AK1127" s="97"/>
      <c r="AL1127" s="97"/>
      <c r="AM1127" s="97"/>
      <c r="AN1127" s="97"/>
      <c r="AO1127" s="97"/>
      <c r="AP1127" s="97"/>
      <c r="AQ1127" s="97"/>
      <c r="AR1127" s="97"/>
      <c r="AS1127" s="97"/>
      <c r="AT1127" s="97"/>
      <c r="AU1127" s="97"/>
      <c r="AV1127" s="97"/>
      <c r="AW1127" s="97"/>
      <c r="AX1127" s="97"/>
      <c r="AY1127" s="97"/>
      <c r="AZ1127" s="97"/>
      <c r="BA1127" s="97"/>
      <c r="BB1127" s="97"/>
      <c r="BC1127" s="97"/>
      <c r="BD1127" s="97"/>
      <c r="BE1127" s="97"/>
      <c r="BF1127" s="97"/>
      <c r="BG1127" s="97"/>
      <c r="BH1127" s="97"/>
    </row>
    <row r="1128" spans="1:60" x14ac:dyDescent="0.25">
      <c r="A1128" s="106"/>
      <c r="B1128" s="107"/>
      <c r="C1128" s="107"/>
      <c r="D1128" s="107"/>
      <c r="E1128" s="108"/>
      <c r="F1128" s="109"/>
      <c r="G1128" s="107"/>
      <c r="H1128" s="109"/>
      <c r="I1128" s="110"/>
      <c r="J1128" s="110"/>
      <c r="K1128" s="111"/>
      <c r="L1128" s="112"/>
      <c r="M1128" s="113"/>
      <c r="N1128" s="114"/>
      <c r="O1128" s="107"/>
      <c r="P1128" s="107"/>
      <c r="Q1128" s="115"/>
      <c r="R1128" s="116"/>
      <c r="S1128" s="107"/>
      <c r="T1128" s="107"/>
      <c r="U1128" s="107"/>
      <c r="V1128" s="107"/>
      <c r="W1128" s="107"/>
      <c r="X1128" s="107"/>
      <c r="Y1128" s="107"/>
      <c r="Z1128" s="107"/>
      <c r="AA1128" s="107"/>
      <c r="AB1128" s="107"/>
      <c r="AC1128" s="107"/>
      <c r="AD1128" s="107"/>
      <c r="AE1128" s="107"/>
      <c r="AF1128" s="107"/>
      <c r="AG1128" s="107"/>
      <c r="AH1128" s="107"/>
      <c r="AI1128" s="107"/>
      <c r="AJ1128" s="107"/>
      <c r="AK1128" s="107"/>
      <c r="AL1128" s="107"/>
      <c r="AM1128" s="107"/>
      <c r="AN1128" s="107"/>
      <c r="AO1128" s="107"/>
      <c r="AP1128" s="107"/>
      <c r="AQ1128" s="107"/>
      <c r="AR1128" s="107"/>
      <c r="AS1128" s="107"/>
      <c r="AT1128" s="107"/>
      <c r="AU1128" s="107"/>
      <c r="AV1128" s="107"/>
      <c r="AW1128" s="107"/>
      <c r="AX1128" s="107"/>
      <c r="AY1128" s="107"/>
      <c r="AZ1128" s="107"/>
      <c r="BA1128" s="107"/>
      <c r="BB1128" s="107"/>
      <c r="BC1128" s="107"/>
      <c r="BD1128" s="107"/>
      <c r="BE1128" s="107"/>
      <c r="BF1128" s="107"/>
      <c r="BG1128" s="107"/>
      <c r="BH1128" s="107"/>
    </row>
    <row r="1129" spans="1:60" x14ac:dyDescent="0.25">
      <c r="A1129" s="96"/>
      <c r="B1129" s="97"/>
      <c r="C1129" s="97"/>
      <c r="D1129" s="97"/>
      <c r="E1129" s="98"/>
      <c r="F1129" s="99"/>
      <c r="G1129" s="97"/>
      <c r="H1129" s="99"/>
      <c r="I1129" s="99"/>
      <c r="J1129" s="100"/>
      <c r="K1129" s="101"/>
      <c r="L1129" s="102"/>
      <c r="M1129" s="103"/>
      <c r="N1129" s="104"/>
      <c r="O1129" s="97"/>
      <c r="P1129" s="97"/>
      <c r="Q1129" s="97"/>
      <c r="R1129" s="105"/>
      <c r="S1129" s="97"/>
      <c r="T1129" s="97"/>
      <c r="U1129" s="97"/>
      <c r="V1129" s="97"/>
      <c r="W1129" s="97"/>
      <c r="X1129" s="97"/>
      <c r="Y1129" s="97"/>
      <c r="Z1129" s="97"/>
      <c r="AA1129" s="97"/>
      <c r="AB1129" s="97"/>
      <c r="AC1129" s="97"/>
      <c r="AD1129" s="97"/>
      <c r="AE1129" s="97"/>
      <c r="AF1129" s="97"/>
      <c r="AG1129" s="97"/>
      <c r="AH1129" s="97"/>
      <c r="AI1129" s="97"/>
      <c r="AJ1129" s="97"/>
      <c r="AK1129" s="97"/>
      <c r="AL1129" s="97"/>
      <c r="AM1129" s="97"/>
      <c r="AN1129" s="97"/>
      <c r="AO1129" s="97"/>
      <c r="AP1129" s="97"/>
      <c r="AQ1129" s="97"/>
      <c r="AR1129" s="97"/>
      <c r="AS1129" s="97"/>
      <c r="AT1129" s="97"/>
      <c r="AU1129" s="97"/>
      <c r="AV1129" s="97"/>
      <c r="AW1129" s="97"/>
      <c r="AX1129" s="97"/>
      <c r="AY1129" s="97"/>
      <c r="AZ1129" s="97"/>
      <c r="BA1129" s="97"/>
      <c r="BB1129" s="97"/>
      <c r="BC1129" s="97"/>
      <c r="BD1129" s="97"/>
      <c r="BE1129" s="97"/>
      <c r="BF1129" s="97"/>
      <c r="BG1129" s="97"/>
      <c r="BH1129" s="97"/>
    </row>
    <row r="1130" spans="1:60" x14ac:dyDescent="0.25">
      <c r="A1130" s="106"/>
      <c r="B1130" s="107"/>
      <c r="C1130" s="107"/>
      <c r="D1130" s="107"/>
      <c r="E1130" s="108"/>
      <c r="F1130" s="109"/>
      <c r="G1130" s="107"/>
      <c r="H1130" s="109"/>
      <c r="I1130" s="110"/>
      <c r="J1130" s="110"/>
      <c r="K1130" s="111"/>
      <c r="L1130" s="112"/>
      <c r="M1130" s="113"/>
      <c r="N1130" s="114"/>
      <c r="O1130" s="107"/>
      <c r="P1130" s="107"/>
      <c r="Q1130" s="115"/>
      <c r="R1130" s="116"/>
      <c r="S1130" s="107"/>
      <c r="T1130" s="107"/>
      <c r="U1130" s="107"/>
      <c r="V1130" s="107"/>
      <c r="W1130" s="107"/>
      <c r="X1130" s="107"/>
      <c r="Y1130" s="107"/>
      <c r="Z1130" s="107"/>
      <c r="AA1130" s="107"/>
      <c r="AB1130" s="107"/>
      <c r="AC1130" s="107"/>
      <c r="AD1130" s="107"/>
      <c r="AE1130" s="107"/>
      <c r="AF1130" s="107"/>
      <c r="AG1130" s="107"/>
      <c r="AH1130" s="107"/>
      <c r="AI1130" s="107"/>
      <c r="AJ1130" s="107"/>
      <c r="AK1130" s="107"/>
      <c r="AL1130" s="107"/>
      <c r="AM1130" s="107"/>
      <c r="AN1130" s="107"/>
      <c r="AO1130" s="107"/>
      <c r="AP1130" s="107"/>
      <c r="AQ1130" s="107"/>
      <c r="AR1130" s="107"/>
      <c r="AS1130" s="107"/>
      <c r="AT1130" s="107"/>
      <c r="AU1130" s="107"/>
      <c r="AV1130" s="107"/>
      <c r="AW1130" s="107"/>
      <c r="AX1130" s="107"/>
      <c r="AY1130" s="107"/>
      <c r="AZ1130" s="107"/>
      <c r="BA1130" s="107"/>
      <c r="BB1130" s="107"/>
      <c r="BC1130" s="107"/>
      <c r="BD1130" s="107"/>
      <c r="BE1130" s="107"/>
      <c r="BF1130" s="107"/>
      <c r="BG1130" s="107"/>
      <c r="BH1130" s="107"/>
    </row>
    <row r="1131" spans="1:60" x14ac:dyDescent="0.25">
      <c r="A1131" s="96"/>
      <c r="B1131" s="97"/>
      <c r="C1131" s="97"/>
      <c r="D1131" s="97"/>
      <c r="E1131" s="98"/>
      <c r="F1131" s="99"/>
      <c r="G1131" s="97"/>
      <c r="H1131" s="99"/>
      <c r="I1131" s="99"/>
      <c r="J1131" s="100"/>
      <c r="K1131" s="101"/>
      <c r="L1131" s="102"/>
      <c r="M1131" s="103"/>
      <c r="N1131" s="104"/>
      <c r="O1131" s="97"/>
      <c r="P1131" s="97"/>
      <c r="Q1131" s="97"/>
      <c r="R1131" s="105"/>
      <c r="S1131" s="97"/>
      <c r="T1131" s="97"/>
      <c r="U1131" s="97"/>
      <c r="V1131" s="97"/>
      <c r="W1131" s="97"/>
      <c r="X1131" s="97"/>
      <c r="Y1131" s="97"/>
      <c r="Z1131" s="97"/>
      <c r="AA1131" s="97"/>
      <c r="AB1131" s="97"/>
      <c r="AC1131" s="97"/>
      <c r="AD1131" s="97"/>
      <c r="AE1131" s="97"/>
      <c r="AF1131" s="97"/>
      <c r="AG1131" s="97"/>
      <c r="AH1131" s="97"/>
      <c r="AI1131" s="97"/>
      <c r="AJ1131" s="97"/>
      <c r="AK1131" s="97"/>
      <c r="AL1131" s="97"/>
      <c r="AM1131" s="97"/>
      <c r="AN1131" s="97"/>
      <c r="AO1131" s="97"/>
      <c r="AP1131" s="97"/>
      <c r="AQ1131" s="97"/>
      <c r="AR1131" s="97"/>
      <c r="AS1131" s="97"/>
      <c r="AT1131" s="97"/>
      <c r="AU1131" s="97"/>
      <c r="AV1131" s="97"/>
      <c r="AW1131" s="97"/>
      <c r="AX1131" s="97"/>
      <c r="AY1131" s="97"/>
      <c r="AZ1131" s="97"/>
      <c r="BA1131" s="97"/>
      <c r="BB1131" s="97"/>
      <c r="BC1131" s="97"/>
      <c r="BD1131" s="97"/>
      <c r="BE1131" s="97"/>
      <c r="BF1131" s="97"/>
      <c r="BG1131" s="97"/>
      <c r="BH1131" s="97"/>
    </row>
    <row r="1132" spans="1:60" x14ac:dyDescent="0.25">
      <c r="A1132" s="106"/>
      <c r="B1132" s="107"/>
      <c r="C1132" s="107"/>
      <c r="D1132" s="107"/>
      <c r="E1132" s="108"/>
      <c r="F1132" s="109"/>
      <c r="G1132" s="107"/>
      <c r="H1132" s="109"/>
      <c r="I1132" s="110"/>
      <c r="J1132" s="110"/>
      <c r="K1132" s="111"/>
      <c r="L1132" s="112"/>
      <c r="M1132" s="113"/>
      <c r="N1132" s="114"/>
      <c r="O1132" s="107"/>
      <c r="P1132" s="107"/>
      <c r="Q1132" s="115"/>
      <c r="R1132" s="116"/>
      <c r="S1132" s="107"/>
      <c r="T1132" s="107"/>
      <c r="U1132" s="107"/>
      <c r="V1132" s="107"/>
      <c r="W1132" s="107"/>
      <c r="X1132" s="107"/>
      <c r="Y1132" s="107"/>
      <c r="Z1132" s="107"/>
      <c r="AA1132" s="107"/>
      <c r="AB1132" s="107"/>
      <c r="AC1132" s="107"/>
      <c r="AD1132" s="107"/>
      <c r="AE1132" s="107"/>
      <c r="AF1132" s="107"/>
      <c r="AG1132" s="107"/>
      <c r="AH1132" s="107"/>
      <c r="AI1132" s="107"/>
      <c r="AJ1132" s="107"/>
      <c r="AK1132" s="107"/>
      <c r="AL1132" s="107"/>
      <c r="AM1132" s="107"/>
      <c r="AN1132" s="107"/>
      <c r="AO1132" s="107"/>
      <c r="AP1132" s="107"/>
      <c r="AQ1132" s="107"/>
      <c r="AR1132" s="107"/>
      <c r="AS1132" s="107"/>
      <c r="AT1132" s="107"/>
      <c r="AU1132" s="107"/>
      <c r="AV1132" s="107"/>
      <c r="AW1132" s="107"/>
      <c r="AX1132" s="107"/>
      <c r="AY1132" s="107"/>
      <c r="AZ1132" s="107"/>
      <c r="BA1132" s="107"/>
      <c r="BB1132" s="107"/>
      <c r="BC1132" s="107"/>
      <c r="BD1132" s="107"/>
      <c r="BE1132" s="107"/>
      <c r="BF1132" s="107"/>
      <c r="BG1132" s="107"/>
      <c r="BH1132" s="107"/>
    </row>
    <row r="1133" spans="1:60" x14ac:dyDescent="0.25">
      <c r="A1133" s="96"/>
      <c r="B1133" s="97"/>
      <c r="C1133" s="97"/>
      <c r="D1133" s="97"/>
      <c r="E1133" s="98"/>
      <c r="F1133" s="99"/>
      <c r="G1133" s="97"/>
      <c r="H1133" s="99"/>
      <c r="I1133" s="99"/>
      <c r="J1133" s="100"/>
      <c r="K1133" s="101"/>
      <c r="L1133" s="102"/>
      <c r="M1133" s="103"/>
      <c r="N1133" s="104"/>
      <c r="O1133" s="97"/>
      <c r="P1133" s="97"/>
      <c r="Q1133" s="97"/>
      <c r="R1133" s="105"/>
      <c r="S1133" s="97"/>
      <c r="T1133" s="97"/>
      <c r="U1133" s="97"/>
      <c r="V1133" s="97"/>
      <c r="W1133" s="97"/>
      <c r="X1133" s="97"/>
      <c r="Y1133" s="97"/>
      <c r="Z1133" s="97"/>
      <c r="AA1133" s="97"/>
      <c r="AB1133" s="97"/>
      <c r="AC1133" s="97"/>
      <c r="AD1133" s="97"/>
      <c r="AE1133" s="97"/>
      <c r="AF1133" s="97"/>
      <c r="AG1133" s="97"/>
      <c r="AH1133" s="97"/>
      <c r="AI1133" s="97"/>
      <c r="AJ1133" s="97"/>
      <c r="AK1133" s="97"/>
      <c r="AL1133" s="97"/>
      <c r="AM1133" s="97"/>
      <c r="AN1133" s="97"/>
      <c r="AO1133" s="97"/>
      <c r="AP1133" s="97"/>
      <c r="AQ1133" s="97"/>
      <c r="AR1133" s="97"/>
      <c r="AS1133" s="97"/>
      <c r="AT1133" s="97"/>
      <c r="AU1133" s="97"/>
      <c r="AV1133" s="97"/>
      <c r="AW1133" s="97"/>
      <c r="AX1133" s="97"/>
      <c r="AY1133" s="97"/>
      <c r="AZ1133" s="97"/>
      <c r="BA1133" s="97"/>
      <c r="BB1133" s="97"/>
      <c r="BC1133" s="97"/>
      <c r="BD1133" s="97"/>
      <c r="BE1133" s="97"/>
      <c r="BF1133" s="97"/>
      <c r="BG1133" s="97"/>
      <c r="BH1133" s="97"/>
    </row>
    <row r="1134" spans="1:60" x14ac:dyDescent="0.25">
      <c r="A1134" s="106"/>
      <c r="B1134" s="107"/>
      <c r="C1134" s="107"/>
      <c r="D1134" s="107"/>
      <c r="E1134" s="108"/>
      <c r="F1134" s="109"/>
      <c r="G1134" s="107"/>
      <c r="H1134" s="109"/>
      <c r="I1134" s="110"/>
      <c r="J1134" s="110"/>
      <c r="K1134" s="111"/>
      <c r="L1134" s="112"/>
      <c r="M1134" s="113"/>
      <c r="N1134" s="114"/>
      <c r="O1134" s="107"/>
      <c r="P1134" s="107"/>
      <c r="Q1134" s="115"/>
      <c r="R1134" s="116"/>
      <c r="S1134" s="107"/>
      <c r="T1134" s="107"/>
      <c r="U1134" s="107"/>
      <c r="V1134" s="107"/>
      <c r="W1134" s="107"/>
      <c r="X1134" s="107"/>
      <c r="Y1134" s="107"/>
      <c r="Z1134" s="107"/>
      <c r="AA1134" s="107"/>
      <c r="AB1134" s="107"/>
      <c r="AC1134" s="107"/>
      <c r="AD1134" s="107"/>
      <c r="AE1134" s="107"/>
      <c r="AF1134" s="107"/>
      <c r="AG1134" s="107"/>
      <c r="AH1134" s="107"/>
      <c r="AI1134" s="107"/>
      <c r="AJ1134" s="107"/>
      <c r="AK1134" s="107"/>
      <c r="AL1134" s="107"/>
      <c r="AM1134" s="107"/>
      <c r="AN1134" s="107"/>
      <c r="AO1134" s="107"/>
      <c r="AP1134" s="107"/>
      <c r="AQ1134" s="107"/>
      <c r="AR1134" s="107"/>
      <c r="AS1134" s="107"/>
      <c r="AT1134" s="107"/>
      <c r="AU1134" s="107"/>
      <c r="AV1134" s="107"/>
      <c r="AW1134" s="107"/>
      <c r="AX1134" s="107"/>
      <c r="AY1134" s="107"/>
      <c r="AZ1134" s="107"/>
      <c r="BA1134" s="107"/>
      <c r="BB1134" s="107"/>
      <c r="BC1134" s="107"/>
      <c r="BD1134" s="107"/>
      <c r="BE1134" s="107"/>
      <c r="BF1134" s="107"/>
      <c r="BG1134" s="107"/>
      <c r="BH1134" s="107"/>
    </row>
    <row r="1135" spans="1:60" x14ac:dyDescent="0.25">
      <c r="A1135" s="96"/>
      <c r="B1135" s="97"/>
      <c r="C1135" s="97"/>
      <c r="D1135" s="97"/>
      <c r="E1135" s="98"/>
      <c r="F1135" s="99"/>
      <c r="G1135" s="97"/>
      <c r="H1135" s="99"/>
      <c r="I1135" s="99"/>
      <c r="J1135" s="100"/>
      <c r="K1135" s="101"/>
      <c r="L1135" s="102"/>
      <c r="M1135" s="103"/>
      <c r="N1135" s="104"/>
      <c r="O1135" s="97"/>
      <c r="P1135" s="97"/>
      <c r="Q1135" s="97"/>
      <c r="R1135" s="105"/>
      <c r="S1135" s="97"/>
      <c r="T1135" s="97"/>
      <c r="U1135" s="97"/>
      <c r="V1135" s="97"/>
      <c r="W1135" s="97"/>
      <c r="X1135" s="97"/>
      <c r="Y1135" s="97"/>
      <c r="Z1135" s="97"/>
      <c r="AA1135" s="97"/>
      <c r="AB1135" s="97"/>
      <c r="AC1135" s="97"/>
      <c r="AD1135" s="97"/>
      <c r="AE1135" s="97"/>
      <c r="AF1135" s="97"/>
      <c r="AG1135" s="97"/>
      <c r="AH1135" s="97"/>
      <c r="AI1135" s="97"/>
      <c r="AJ1135" s="97"/>
      <c r="AK1135" s="97"/>
      <c r="AL1135" s="97"/>
      <c r="AM1135" s="97"/>
      <c r="AN1135" s="97"/>
      <c r="AO1135" s="97"/>
      <c r="AP1135" s="97"/>
      <c r="AQ1135" s="97"/>
      <c r="AR1135" s="97"/>
      <c r="AS1135" s="97"/>
      <c r="AT1135" s="97"/>
      <c r="AU1135" s="97"/>
      <c r="AV1135" s="97"/>
      <c r="AW1135" s="97"/>
      <c r="AX1135" s="97"/>
      <c r="AY1135" s="97"/>
      <c r="AZ1135" s="97"/>
      <c r="BA1135" s="97"/>
      <c r="BB1135" s="97"/>
      <c r="BC1135" s="97"/>
      <c r="BD1135" s="97"/>
      <c r="BE1135" s="97"/>
      <c r="BF1135" s="97"/>
      <c r="BG1135" s="97"/>
      <c r="BH1135" s="97"/>
    </row>
    <row r="1136" spans="1:60" x14ac:dyDescent="0.25">
      <c r="A1136" s="106"/>
      <c r="B1136" s="107"/>
      <c r="C1136" s="107"/>
      <c r="D1136" s="107"/>
      <c r="E1136" s="108"/>
      <c r="F1136" s="109"/>
      <c r="G1136" s="107"/>
      <c r="H1136" s="109"/>
      <c r="I1136" s="110"/>
      <c r="J1136" s="110"/>
      <c r="K1136" s="111"/>
      <c r="L1136" s="112"/>
      <c r="M1136" s="113"/>
      <c r="N1136" s="114"/>
      <c r="O1136" s="107"/>
      <c r="P1136" s="107"/>
      <c r="Q1136" s="115"/>
      <c r="R1136" s="116"/>
      <c r="S1136" s="107"/>
      <c r="T1136" s="107"/>
      <c r="U1136" s="107"/>
      <c r="V1136" s="107"/>
      <c r="W1136" s="107"/>
      <c r="X1136" s="107"/>
      <c r="Y1136" s="107"/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  <c r="AS1136" s="107"/>
      <c r="AT1136" s="107"/>
      <c r="AU1136" s="107"/>
      <c r="AV1136" s="107"/>
      <c r="AW1136" s="107"/>
      <c r="AX1136" s="107"/>
      <c r="AY1136" s="107"/>
      <c r="AZ1136" s="107"/>
      <c r="BA1136" s="107"/>
      <c r="BB1136" s="107"/>
      <c r="BC1136" s="107"/>
      <c r="BD1136" s="107"/>
      <c r="BE1136" s="107"/>
      <c r="BF1136" s="107"/>
      <c r="BG1136" s="107"/>
      <c r="BH1136" s="107"/>
    </row>
    <row r="1137" spans="1:60" x14ac:dyDescent="0.25">
      <c r="A1137" s="96"/>
      <c r="B1137" s="97"/>
      <c r="C1137" s="97"/>
      <c r="D1137" s="97"/>
      <c r="E1137" s="98"/>
      <c r="F1137" s="99"/>
      <c r="G1137" s="97"/>
      <c r="H1137" s="99"/>
      <c r="I1137" s="99"/>
      <c r="J1137" s="100"/>
      <c r="K1137" s="101"/>
      <c r="L1137" s="102"/>
      <c r="M1137" s="103"/>
      <c r="N1137" s="104"/>
      <c r="O1137" s="97"/>
      <c r="P1137" s="97"/>
      <c r="Q1137" s="97"/>
      <c r="R1137" s="105"/>
      <c r="S1137" s="97"/>
      <c r="T1137" s="97"/>
      <c r="U1137" s="97"/>
      <c r="V1137" s="97"/>
      <c r="W1137" s="97"/>
      <c r="X1137" s="97"/>
      <c r="Y1137" s="97"/>
      <c r="Z1137" s="97"/>
      <c r="AA1137" s="97"/>
      <c r="AB1137" s="97"/>
      <c r="AC1137" s="97"/>
      <c r="AD1137" s="97"/>
      <c r="AE1137" s="97"/>
      <c r="AF1137" s="97"/>
      <c r="AG1137" s="97"/>
      <c r="AH1137" s="97"/>
      <c r="AI1137" s="97"/>
      <c r="AJ1137" s="97"/>
      <c r="AK1137" s="97"/>
      <c r="AL1137" s="97"/>
      <c r="AM1137" s="97"/>
      <c r="AN1137" s="97"/>
      <c r="AO1137" s="97"/>
      <c r="AP1137" s="97"/>
      <c r="AQ1137" s="97"/>
      <c r="AR1137" s="97"/>
      <c r="AS1137" s="97"/>
      <c r="AT1137" s="97"/>
      <c r="AU1137" s="97"/>
      <c r="AV1137" s="97"/>
      <c r="AW1137" s="97"/>
      <c r="AX1137" s="97"/>
      <c r="AY1137" s="97"/>
      <c r="AZ1137" s="97"/>
      <c r="BA1137" s="97"/>
      <c r="BB1137" s="97"/>
      <c r="BC1137" s="97"/>
      <c r="BD1137" s="97"/>
      <c r="BE1137" s="97"/>
      <c r="BF1137" s="97"/>
      <c r="BG1137" s="97"/>
      <c r="BH1137" s="97"/>
    </row>
    <row r="1138" spans="1:60" x14ac:dyDescent="0.25">
      <c r="A1138" s="106"/>
      <c r="B1138" s="107"/>
      <c r="C1138" s="107"/>
      <c r="D1138" s="107"/>
      <c r="E1138" s="108"/>
      <c r="F1138" s="109"/>
      <c r="G1138" s="107"/>
      <c r="H1138" s="109"/>
      <c r="I1138" s="110"/>
      <c r="J1138" s="110"/>
      <c r="K1138" s="111"/>
      <c r="L1138" s="112"/>
      <c r="M1138" s="113"/>
      <c r="N1138" s="114"/>
      <c r="O1138" s="107"/>
      <c r="P1138" s="107"/>
      <c r="Q1138" s="115"/>
      <c r="R1138" s="116"/>
      <c r="S1138" s="107"/>
      <c r="T1138" s="107"/>
      <c r="U1138" s="107"/>
      <c r="V1138" s="107"/>
      <c r="W1138" s="107"/>
      <c r="X1138" s="107"/>
      <c r="Y1138" s="107"/>
      <c r="Z1138" s="107"/>
      <c r="AA1138" s="107"/>
      <c r="AB1138" s="107"/>
      <c r="AC1138" s="107"/>
      <c r="AD1138" s="107"/>
      <c r="AE1138" s="107"/>
      <c r="AF1138" s="107"/>
      <c r="AG1138" s="107"/>
      <c r="AH1138" s="107"/>
      <c r="AI1138" s="107"/>
      <c r="AJ1138" s="107"/>
      <c r="AK1138" s="107"/>
      <c r="AL1138" s="107"/>
      <c r="AM1138" s="107"/>
      <c r="AN1138" s="107"/>
      <c r="AO1138" s="107"/>
      <c r="AP1138" s="107"/>
      <c r="AQ1138" s="107"/>
      <c r="AR1138" s="107"/>
      <c r="AS1138" s="107"/>
      <c r="AT1138" s="107"/>
      <c r="AU1138" s="107"/>
      <c r="AV1138" s="107"/>
      <c r="AW1138" s="107"/>
      <c r="AX1138" s="107"/>
      <c r="AY1138" s="107"/>
      <c r="AZ1138" s="107"/>
      <c r="BA1138" s="107"/>
      <c r="BB1138" s="107"/>
      <c r="BC1138" s="107"/>
      <c r="BD1138" s="107"/>
      <c r="BE1138" s="107"/>
      <c r="BF1138" s="107"/>
      <c r="BG1138" s="107"/>
      <c r="BH1138" s="107"/>
    </row>
    <row r="1139" spans="1:60" x14ac:dyDescent="0.25">
      <c r="A1139" s="96"/>
      <c r="B1139" s="97"/>
      <c r="C1139" s="97"/>
      <c r="D1139" s="97"/>
      <c r="E1139" s="98"/>
      <c r="F1139" s="99"/>
      <c r="G1139" s="97"/>
      <c r="H1139" s="99"/>
      <c r="I1139" s="99"/>
      <c r="J1139" s="100"/>
      <c r="K1139" s="101"/>
      <c r="L1139" s="102"/>
      <c r="M1139" s="103"/>
      <c r="N1139" s="104"/>
      <c r="O1139" s="97"/>
      <c r="P1139" s="97"/>
      <c r="Q1139" s="97"/>
      <c r="R1139" s="105"/>
      <c r="S1139" s="97"/>
      <c r="T1139" s="97"/>
      <c r="U1139" s="97"/>
      <c r="V1139" s="97"/>
      <c r="W1139" s="97"/>
      <c r="X1139" s="97"/>
      <c r="Y1139" s="97"/>
      <c r="Z1139" s="97"/>
      <c r="AA1139" s="97"/>
      <c r="AB1139" s="97"/>
      <c r="AC1139" s="97"/>
      <c r="AD1139" s="97"/>
      <c r="AE1139" s="97"/>
      <c r="AF1139" s="97"/>
      <c r="AG1139" s="97"/>
      <c r="AH1139" s="97"/>
      <c r="AI1139" s="97"/>
      <c r="AJ1139" s="97"/>
      <c r="AK1139" s="97"/>
      <c r="AL1139" s="97"/>
      <c r="AM1139" s="97"/>
      <c r="AN1139" s="97"/>
      <c r="AO1139" s="97"/>
      <c r="AP1139" s="97"/>
      <c r="AQ1139" s="97"/>
      <c r="AR1139" s="97"/>
      <c r="AS1139" s="97"/>
      <c r="AT1139" s="97"/>
      <c r="AU1139" s="97"/>
      <c r="AV1139" s="97"/>
      <c r="AW1139" s="97"/>
      <c r="AX1139" s="97"/>
      <c r="AY1139" s="97"/>
      <c r="AZ1139" s="97"/>
      <c r="BA1139" s="97"/>
      <c r="BB1139" s="97"/>
      <c r="BC1139" s="97"/>
      <c r="BD1139" s="97"/>
      <c r="BE1139" s="97"/>
      <c r="BF1139" s="97"/>
      <c r="BG1139" s="97"/>
      <c r="BH1139" s="97"/>
    </row>
    <row r="1140" spans="1:60" x14ac:dyDescent="0.25">
      <c r="A1140" s="106"/>
      <c r="B1140" s="107"/>
      <c r="C1140" s="107"/>
      <c r="D1140" s="107"/>
      <c r="E1140" s="108"/>
      <c r="F1140" s="109"/>
      <c r="G1140" s="107"/>
      <c r="H1140" s="109"/>
      <c r="I1140" s="110"/>
      <c r="J1140" s="110"/>
      <c r="K1140" s="111"/>
      <c r="L1140" s="112"/>
      <c r="M1140" s="113"/>
      <c r="N1140" s="114"/>
      <c r="O1140" s="107"/>
      <c r="P1140" s="107"/>
      <c r="Q1140" s="115"/>
      <c r="R1140" s="116"/>
      <c r="S1140" s="107"/>
      <c r="T1140" s="107"/>
      <c r="U1140" s="107"/>
      <c r="V1140" s="107"/>
      <c r="W1140" s="107"/>
      <c r="X1140" s="107"/>
      <c r="Y1140" s="107"/>
      <c r="Z1140" s="107"/>
      <c r="AA1140" s="107"/>
      <c r="AB1140" s="107"/>
      <c r="AC1140" s="107"/>
      <c r="AD1140" s="107"/>
      <c r="AE1140" s="107"/>
      <c r="AF1140" s="107"/>
      <c r="AG1140" s="107"/>
      <c r="AH1140" s="107"/>
      <c r="AI1140" s="107"/>
      <c r="AJ1140" s="107"/>
      <c r="AK1140" s="107"/>
      <c r="AL1140" s="107"/>
      <c r="AM1140" s="107"/>
      <c r="AN1140" s="107"/>
      <c r="AO1140" s="107"/>
      <c r="AP1140" s="107"/>
      <c r="AQ1140" s="107"/>
      <c r="AR1140" s="107"/>
      <c r="AS1140" s="107"/>
      <c r="AT1140" s="107"/>
      <c r="AU1140" s="107"/>
      <c r="AV1140" s="107"/>
      <c r="AW1140" s="107"/>
      <c r="AX1140" s="107"/>
      <c r="AY1140" s="107"/>
      <c r="AZ1140" s="107"/>
      <c r="BA1140" s="107"/>
      <c r="BB1140" s="107"/>
      <c r="BC1140" s="107"/>
      <c r="BD1140" s="107"/>
      <c r="BE1140" s="107"/>
      <c r="BF1140" s="107"/>
      <c r="BG1140" s="107"/>
      <c r="BH1140" s="107"/>
    </row>
    <row r="1141" spans="1:60" x14ac:dyDescent="0.25">
      <c r="A1141" s="96"/>
      <c r="B1141" s="97"/>
      <c r="C1141" s="97"/>
      <c r="D1141" s="97"/>
      <c r="E1141" s="98"/>
      <c r="F1141" s="99"/>
      <c r="G1141" s="97"/>
      <c r="H1141" s="99"/>
      <c r="I1141" s="99"/>
      <c r="J1141" s="100"/>
      <c r="K1141" s="101"/>
      <c r="L1141" s="102"/>
      <c r="M1141" s="103"/>
      <c r="N1141" s="104"/>
      <c r="O1141" s="97"/>
      <c r="P1141" s="97"/>
      <c r="Q1141" s="97"/>
      <c r="R1141" s="105"/>
      <c r="S1141" s="97"/>
      <c r="T1141" s="97"/>
      <c r="U1141" s="97"/>
      <c r="V1141" s="97"/>
      <c r="W1141" s="97"/>
      <c r="X1141" s="97"/>
      <c r="Y1141" s="97"/>
      <c r="Z1141" s="97"/>
      <c r="AA1141" s="97"/>
      <c r="AB1141" s="97"/>
      <c r="AC1141" s="97"/>
      <c r="AD1141" s="97"/>
      <c r="AE1141" s="97"/>
      <c r="AF1141" s="97"/>
      <c r="AG1141" s="97"/>
      <c r="AH1141" s="97"/>
      <c r="AI1141" s="97"/>
      <c r="AJ1141" s="97"/>
      <c r="AK1141" s="97"/>
      <c r="AL1141" s="97"/>
      <c r="AM1141" s="97"/>
      <c r="AN1141" s="97"/>
      <c r="AO1141" s="97"/>
      <c r="AP1141" s="97"/>
      <c r="AQ1141" s="97"/>
      <c r="AR1141" s="97"/>
      <c r="AS1141" s="97"/>
      <c r="AT1141" s="97"/>
      <c r="AU1141" s="97"/>
      <c r="AV1141" s="97"/>
      <c r="AW1141" s="97"/>
      <c r="AX1141" s="97"/>
      <c r="AY1141" s="97"/>
      <c r="AZ1141" s="97"/>
      <c r="BA1141" s="97"/>
      <c r="BB1141" s="97"/>
      <c r="BC1141" s="97"/>
      <c r="BD1141" s="97"/>
      <c r="BE1141" s="97"/>
      <c r="BF1141" s="97"/>
      <c r="BG1141" s="97"/>
      <c r="BH1141" s="97"/>
    </row>
    <row r="1142" spans="1:60" x14ac:dyDescent="0.25">
      <c r="A1142" s="106"/>
      <c r="B1142" s="107"/>
      <c r="C1142" s="107"/>
      <c r="D1142" s="107"/>
      <c r="E1142" s="108"/>
      <c r="F1142" s="109"/>
      <c r="G1142" s="107"/>
      <c r="H1142" s="109"/>
      <c r="I1142" s="110"/>
      <c r="J1142" s="110"/>
      <c r="K1142" s="111"/>
      <c r="L1142" s="112"/>
      <c r="M1142" s="113"/>
      <c r="N1142" s="114"/>
      <c r="O1142" s="107"/>
      <c r="P1142" s="107"/>
      <c r="Q1142" s="115"/>
      <c r="R1142" s="116"/>
      <c r="S1142" s="107"/>
      <c r="T1142" s="107"/>
      <c r="U1142" s="107"/>
      <c r="V1142" s="107"/>
      <c r="W1142" s="107"/>
      <c r="X1142" s="107"/>
      <c r="Y1142" s="107"/>
      <c r="Z1142" s="107"/>
      <c r="AA1142" s="107"/>
      <c r="AB1142" s="107"/>
      <c r="AC1142" s="107"/>
      <c r="AD1142" s="107"/>
      <c r="AE1142" s="107"/>
      <c r="AF1142" s="107"/>
      <c r="AG1142" s="107"/>
      <c r="AH1142" s="107"/>
      <c r="AI1142" s="107"/>
      <c r="AJ1142" s="107"/>
      <c r="AK1142" s="107"/>
      <c r="AL1142" s="107"/>
      <c r="AM1142" s="107"/>
      <c r="AN1142" s="107"/>
      <c r="AO1142" s="107"/>
      <c r="AP1142" s="107"/>
      <c r="AQ1142" s="107"/>
      <c r="AR1142" s="107"/>
      <c r="AS1142" s="107"/>
      <c r="AT1142" s="107"/>
      <c r="AU1142" s="107"/>
      <c r="AV1142" s="107"/>
      <c r="AW1142" s="107"/>
      <c r="AX1142" s="107"/>
      <c r="AY1142" s="107"/>
      <c r="AZ1142" s="107"/>
      <c r="BA1142" s="107"/>
      <c r="BB1142" s="107"/>
      <c r="BC1142" s="107"/>
      <c r="BD1142" s="107"/>
      <c r="BE1142" s="107"/>
      <c r="BF1142" s="107"/>
      <c r="BG1142" s="107"/>
      <c r="BH1142" s="107"/>
    </row>
    <row r="1143" spans="1:60" x14ac:dyDescent="0.25">
      <c r="A1143" s="96"/>
      <c r="B1143" s="97"/>
      <c r="C1143" s="97"/>
      <c r="D1143" s="97"/>
      <c r="E1143" s="98"/>
      <c r="F1143" s="99"/>
      <c r="G1143" s="97"/>
      <c r="H1143" s="99"/>
      <c r="I1143" s="99"/>
      <c r="J1143" s="100"/>
      <c r="K1143" s="101"/>
      <c r="L1143" s="102"/>
      <c r="M1143" s="103"/>
      <c r="N1143" s="104"/>
      <c r="O1143" s="97"/>
      <c r="P1143" s="97"/>
      <c r="Q1143" s="97"/>
      <c r="R1143" s="105"/>
      <c r="S1143" s="97"/>
      <c r="T1143" s="97"/>
      <c r="U1143" s="97"/>
      <c r="V1143" s="97"/>
      <c r="W1143" s="97"/>
      <c r="X1143" s="97"/>
      <c r="Y1143" s="97"/>
      <c r="Z1143" s="97"/>
      <c r="AA1143" s="97"/>
      <c r="AB1143" s="97"/>
      <c r="AC1143" s="97"/>
      <c r="AD1143" s="97"/>
      <c r="AE1143" s="97"/>
      <c r="AF1143" s="97"/>
      <c r="AG1143" s="97"/>
      <c r="AH1143" s="97"/>
      <c r="AI1143" s="97"/>
      <c r="AJ1143" s="97"/>
      <c r="AK1143" s="97"/>
      <c r="AL1143" s="97"/>
      <c r="AM1143" s="97"/>
      <c r="AN1143" s="97"/>
      <c r="AO1143" s="97"/>
      <c r="AP1143" s="97"/>
      <c r="AQ1143" s="97"/>
      <c r="AR1143" s="97"/>
      <c r="AS1143" s="97"/>
      <c r="AT1143" s="97"/>
      <c r="AU1143" s="97"/>
      <c r="AV1143" s="97"/>
      <c r="AW1143" s="97"/>
      <c r="AX1143" s="97"/>
      <c r="AY1143" s="97"/>
      <c r="AZ1143" s="97"/>
      <c r="BA1143" s="97"/>
      <c r="BB1143" s="97"/>
      <c r="BC1143" s="97"/>
      <c r="BD1143" s="97"/>
      <c r="BE1143" s="97"/>
      <c r="BF1143" s="97"/>
      <c r="BG1143" s="97"/>
      <c r="BH1143" s="97"/>
    </row>
    <row r="1144" spans="1:60" x14ac:dyDescent="0.25">
      <c r="A1144" s="106"/>
      <c r="B1144" s="107"/>
      <c r="C1144" s="107"/>
      <c r="D1144" s="107"/>
      <c r="E1144" s="108"/>
      <c r="F1144" s="109"/>
      <c r="G1144" s="107"/>
      <c r="H1144" s="109"/>
      <c r="I1144" s="110"/>
      <c r="J1144" s="110"/>
      <c r="K1144" s="111"/>
      <c r="L1144" s="112"/>
      <c r="M1144" s="113"/>
      <c r="N1144" s="114"/>
      <c r="O1144" s="107"/>
      <c r="P1144" s="107"/>
      <c r="Q1144" s="115"/>
      <c r="R1144" s="116"/>
      <c r="S1144" s="107"/>
      <c r="T1144" s="107"/>
      <c r="U1144" s="107"/>
      <c r="V1144" s="107"/>
      <c r="W1144" s="107"/>
      <c r="X1144" s="107"/>
      <c r="Y1144" s="107"/>
      <c r="Z1144" s="107"/>
      <c r="AA1144" s="107"/>
      <c r="AB1144" s="107"/>
      <c r="AC1144" s="107"/>
      <c r="AD1144" s="107"/>
      <c r="AE1144" s="107"/>
      <c r="AF1144" s="107"/>
      <c r="AG1144" s="107"/>
      <c r="AH1144" s="107"/>
      <c r="AI1144" s="107"/>
      <c r="AJ1144" s="107"/>
      <c r="AK1144" s="107"/>
      <c r="AL1144" s="107"/>
      <c r="AM1144" s="107"/>
      <c r="AN1144" s="107"/>
      <c r="AO1144" s="107"/>
      <c r="AP1144" s="107"/>
      <c r="AQ1144" s="107"/>
      <c r="AR1144" s="107"/>
      <c r="AS1144" s="107"/>
      <c r="AT1144" s="107"/>
      <c r="AU1144" s="107"/>
      <c r="AV1144" s="107"/>
      <c r="AW1144" s="107"/>
      <c r="AX1144" s="107"/>
      <c r="AY1144" s="107"/>
      <c r="AZ1144" s="107"/>
      <c r="BA1144" s="107"/>
      <c r="BB1144" s="107"/>
      <c r="BC1144" s="107"/>
      <c r="BD1144" s="107"/>
      <c r="BE1144" s="107"/>
      <c r="BF1144" s="107"/>
      <c r="BG1144" s="107"/>
      <c r="BH1144" s="107"/>
    </row>
    <row r="1145" spans="1:60" x14ac:dyDescent="0.25">
      <c r="A1145" s="96"/>
      <c r="B1145" s="97"/>
      <c r="C1145" s="97"/>
      <c r="D1145" s="97"/>
      <c r="E1145" s="98"/>
      <c r="F1145" s="99"/>
      <c r="G1145" s="97"/>
      <c r="H1145" s="99"/>
      <c r="I1145" s="99"/>
      <c r="J1145" s="100"/>
      <c r="K1145" s="101"/>
      <c r="L1145" s="102"/>
      <c r="M1145" s="103"/>
      <c r="N1145" s="104"/>
      <c r="O1145" s="97"/>
      <c r="P1145" s="97"/>
      <c r="Q1145" s="97"/>
      <c r="R1145" s="105"/>
      <c r="S1145" s="97"/>
      <c r="T1145" s="97"/>
      <c r="U1145" s="97"/>
      <c r="V1145" s="97"/>
      <c r="W1145" s="97"/>
      <c r="X1145" s="97"/>
      <c r="Y1145" s="97"/>
      <c r="Z1145" s="97"/>
      <c r="AA1145" s="97"/>
      <c r="AB1145" s="97"/>
      <c r="AC1145" s="97"/>
      <c r="AD1145" s="97"/>
      <c r="AE1145" s="97"/>
      <c r="AF1145" s="97"/>
      <c r="AG1145" s="97"/>
      <c r="AH1145" s="97"/>
      <c r="AI1145" s="97"/>
      <c r="AJ1145" s="97"/>
      <c r="AK1145" s="97"/>
      <c r="AL1145" s="97"/>
      <c r="AM1145" s="97"/>
      <c r="AN1145" s="97"/>
      <c r="AO1145" s="97"/>
      <c r="AP1145" s="97"/>
      <c r="AQ1145" s="97"/>
      <c r="AR1145" s="97"/>
      <c r="AS1145" s="97"/>
      <c r="AT1145" s="97"/>
      <c r="AU1145" s="97"/>
      <c r="AV1145" s="97"/>
      <c r="AW1145" s="97"/>
      <c r="AX1145" s="97"/>
      <c r="AY1145" s="97"/>
      <c r="AZ1145" s="97"/>
      <c r="BA1145" s="97"/>
      <c r="BB1145" s="97"/>
      <c r="BC1145" s="97"/>
      <c r="BD1145" s="97"/>
      <c r="BE1145" s="97"/>
      <c r="BF1145" s="97"/>
      <c r="BG1145" s="97"/>
      <c r="BH1145" s="97"/>
    </row>
    <row r="1146" spans="1:60" x14ac:dyDescent="0.25">
      <c r="A1146" s="106"/>
      <c r="B1146" s="107"/>
      <c r="C1146" s="107"/>
      <c r="D1146" s="107"/>
      <c r="E1146" s="108"/>
      <c r="F1146" s="109"/>
      <c r="G1146" s="107"/>
      <c r="H1146" s="109"/>
      <c r="I1146" s="110"/>
      <c r="J1146" s="110"/>
      <c r="K1146" s="111"/>
      <c r="L1146" s="112"/>
      <c r="M1146" s="113"/>
      <c r="N1146" s="114"/>
      <c r="O1146" s="107"/>
      <c r="P1146" s="107"/>
      <c r="Q1146" s="115"/>
      <c r="R1146" s="116"/>
      <c r="S1146" s="107"/>
      <c r="T1146" s="107"/>
      <c r="U1146" s="107"/>
      <c r="V1146" s="107"/>
      <c r="W1146" s="107"/>
      <c r="X1146" s="107"/>
      <c r="Y1146" s="107"/>
      <c r="Z1146" s="107"/>
      <c r="AA1146" s="107"/>
      <c r="AB1146" s="107"/>
      <c r="AC1146" s="107"/>
      <c r="AD1146" s="107"/>
      <c r="AE1146" s="107"/>
      <c r="AF1146" s="107"/>
      <c r="AG1146" s="107"/>
      <c r="AH1146" s="107"/>
      <c r="AI1146" s="107"/>
      <c r="AJ1146" s="107"/>
      <c r="AK1146" s="107"/>
      <c r="AL1146" s="107"/>
      <c r="AM1146" s="107"/>
      <c r="AN1146" s="107"/>
      <c r="AO1146" s="107"/>
      <c r="AP1146" s="107"/>
      <c r="AQ1146" s="107"/>
      <c r="AR1146" s="107"/>
      <c r="AS1146" s="107"/>
      <c r="AT1146" s="107"/>
      <c r="AU1146" s="107"/>
      <c r="AV1146" s="107"/>
      <c r="AW1146" s="107"/>
      <c r="AX1146" s="107"/>
      <c r="AY1146" s="107"/>
      <c r="AZ1146" s="107"/>
      <c r="BA1146" s="107"/>
      <c r="BB1146" s="107"/>
      <c r="BC1146" s="107"/>
      <c r="BD1146" s="107"/>
      <c r="BE1146" s="107"/>
      <c r="BF1146" s="107"/>
      <c r="BG1146" s="107"/>
      <c r="BH1146" s="107"/>
    </row>
    <row r="1147" spans="1:60" x14ac:dyDescent="0.25">
      <c r="A1147" s="96"/>
      <c r="B1147" s="97"/>
      <c r="C1147" s="97"/>
      <c r="D1147" s="97"/>
      <c r="E1147" s="98"/>
      <c r="F1147" s="99"/>
      <c r="G1147" s="97"/>
      <c r="H1147" s="99"/>
      <c r="I1147" s="99"/>
      <c r="J1147" s="100"/>
      <c r="K1147" s="101"/>
      <c r="L1147" s="102"/>
      <c r="M1147" s="103"/>
      <c r="N1147" s="104"/>
      <c r="O1147" s="97"/>
      <c r="P1147" s="97"/>
      <c r="Q1147" s="97"/>
      <c r="R1147" s="105"/>
      <c r="S1147" s="97"/>
      <c r="T1147" s="97"/>
      <c r="U1147" s="97"/>
      <c r="V1147" s="97"/>
      <c r="W1147" s="97"/>
      <c r="X1147" s="97"/>
      <c r="Y1147" s="97"/>
      <c r="Z1147" s="97"/>
      <c r="AA1147" s="97"/>
      <c r="AB1147" s="97"/>
      <c r="AC1147" s="97"/>
      <c r="AD1147" s="97"/>
      <c r="AE1147" s="97"/>
      <c r="AF1147" s="97"/>
      <c r="AG1147" s="97"/>
      <c r="AH1147" s="97"/>
      <c r="AI1147" s="97"/>
      <c r="AJ1147" s="97"/>
      <c r="AK1147" s="97"/>
      <c r="AL1147" s="97"/>
      <c r="AM1147" s="97"/>
      <c r="AN1147" s="97"/>
      <c r="AO1147" s="97"/>
      <c r="AP1147" s="97"/>
      <c r="AQ1147" s="97"/>
      <c r="AR1147" s="97"/>
      <c r="AS1147" s="97"/>
      <c r="AT1147" s="97"/>
      <c r="AU1147" s="97"/>
      <c r="AV1147" s="97"/>
      <c r="AW1147" s="97"/>
      <c r="AX1147" s="97"/>
      <c r="AY1147" s="97"/>
      <c r="AZ1147" s="97"/>
      <c r="BA1147" s="97"/>
      <c r="BB1147" s="97"/>
      <c r="BC1147" s="97"/>
      <c r="BD1147" s="97"/>
      <c r="BE1147" s="97"/>
      <c r="BF1147" s="97"/>
      <c r="BG1147" s="97"/>
      <c r="BH1147" s="97"/>
    </row>
    <row r="1148" spans="1:60" x14ac:dyDescent="0.25">
      <c r="A1148" s="106"/>
      <c r="B1148" s="107"/>
      <c r="C1148" s="107"/>
      <c r="D1148" s="107"/>
      <c r="E1148" s="108"/>
      <c r="F1148" s="109"/>
      <c r="G1148" s="107"/>
      <c r="H1148" s="109"/>
      <c r="I1148" s="110"/>
      <c r="J1148" s="110"/>
      <c r="K1148" s="111"/>
      <c r="L1148" s="112"/>
      <c r="M1148" s="113"/>
      <c r="N1148" s="114"/>
      <c r="O1148" s="107"/>
      <c r="P1148" s="107"/>
      <c r="Q1148" s="115"/>
      <c r="R1148" s="116"/>
      <c r="S1148" s="107"/>
      <c r="T1148" s="107"/>
      <c r="U1148" s="107"/>
      <c r="V1148" s="107"/>
      <c r="W1148" s="107"/>
      <c r="X1148" s="107"/>
      <c r="Y1148" s="107"/>
      <c r="Z1148" s="107"/>
      <c r="AA1148" s="107"/>
      <c r="AB1148" s="107"/>
      <c r="AC1148" s="107"/>
      <c r="AD1148" s="107"/>
      <c r="AE1148" s="107"/>
      <c r="AF1148" s="107"/>
      <c r="AG1148" s="107"/>
      <c r="AH1148" s="107"/>
      <c r="AI1148" s="107"/>
      <c r="AJ1148" s="107"/>
      <c r="AK1148" s="107"/>
      <c r="AL1148" s="107"/>
      <c r="AM1148" s="107"/>
      <c r="AN1148" s="107"/>
      <c r="AO1148" s="107"/>
      <c r="AP1148" s="107"/>
      <c r="AQ1148" s="107"/>
      <c r="AR1148" s="107"/>
      <c r="AS1148" s="107"/>
      <c r="AT1148" s="107"/>
      <c r="AU1148" s="107"/>
      <c r="AV1148" s="107"/>
      <c r="AW1148" s="107"/>
      <c r="AX1148" s="107"/>
      <c r="AY1148" s="107"/>
      <c r="AZ1148" s="107"/>
      <c r="BA1148" s="107"/>
      <c r="BB1148" s="107"/>
      <c r="BC1148" s="107"/>
      <c r="BD1148" s="107"/>
      <c r="BE1148" s="107"/>
      <c r="BF1148" s="107"/>
      <c r="BG1148" s="107"/>
      <c r="BH1148" s="107"/>
    </row>
    <row r="1149" spans="1:60" x14ac:dyDescent="0.25">
      <c r="A1149" s="96"/>
      <c r="B1149" s="97"/>
      <c r="C1149" s="97"/>
      <c r="D1149" s="97"/>
      <c r="E1149" s="98"/>
      <c r="F1149" s="99"/>
      <c r="G1149" s="97"/>
      <c r="H1149" s="99"/>
      <c r="I1149" s="99"/>
      <c r="J1149" s="100"/>
      <c r="K1149" s="101"/>
      <c r="L1149" s="102"/>
      <c r="M1149" s="103"/>
      <c r="N1149" s="104"/>
      <c r="O1149" s="97"/>
      <c r="P1149" s="97"/>
      <c r="Q1149" s="97"/>
      <c r="R1149" s="105"/>
      <c r="S1149" s="97"/>
      <c r="T1149" s="97"/>
      <c r="U1149" s="97"/>
      <c r="V1149" s="97"/>
      <c r="W1149" s="97"/>
      <c r="X1149" s="97"/>
      <c r="Y1149" s="97"/>
      <c r="Z1149" s="97"/>
      <c r="AA1149" s="97"/>
      <c r="AB1149" s="97"/>
      <c r="AC1149" s="97"/>
      <c r="AD1149" s="97"/>
      <c r="AE1149" s="97"/>
      <c r="AF1149" s="97"/>
      <c r="AG1149" s="97"/>
      <c r="AH1149" s="97"/>
      <c r="AI1149" s="97"/>
      <c r="AJ1149" s="97"/>
      <c r="AK1149" s="97"/>
      <c r="AL1149" s="97"/>
      <c r="AM1149" s="97"/>
      <c r="AN1149" s="97"/>
      <c r="AO1149" s="97"/>
      <c r="AP1149" s="97"/>
      <c r="AQ1149" s="97"/>
      <c r="AR1149" s="97"/>
      <c r="AS1149" s="97"/>
      <c r="AT1149" s="97"/>
      <c r="AU1149" s="97"/>
      <c r="AV1149" s="97"/>
      <c r="AW1149" s="97"/>
      <c r="AX1149" s="97"/>
      <c r="AY1149" s="97"/>
      <c r="AZ1149" s="97"/>
      <c r="BA1149" s="97"/>
      <c r="BB1149" s="97"/>
      <c r="BC1149" s="97"/>
      <c r="BD1149" s="97"/>
      <c r="BE1149" s="97"/>
      <c r="BF1149" s="97"/>
      <c r="BG1149" s="97"/>
      <c r="BH1149" s="97"/>
    </row>
    <row r="1150" spans="1:60" x14ac:dyDescent="0.25">
      <c r="A1150" s="106"/>
      <c r="B1150" s="107"/>
      <c r="C1150" s="107"/>
      <c r="D1150" s="107"/>
      <c r="E1150" s="108"/>
      <c r="F1150" s="109"/>
      <c r="G1150" s="107"/>
      <c r="H1150" s="109"/>
      <c r="I1150" s="110"/>
      <c r="J1150" s="110"/>
      <c r="K1150" s="111"/>
      <c r="L1150" s="112"/>
      <c r="M1150" s="113"/>
      <c r="N1150" s="114"/>
      <c r="O1150" s="107"/>
      <c r="P1150" s="107"/>
      <c r="Q1150" s="115"/>
      <c r="R1150" s="116"/>
      <c r="S1150" s="107"/>
      <c r="T1150" s="107"/>
      <c r="U1150" s="107"/>
      <c r="V1150" s="107"/>
      <c r="W1150" s="107"/>
      <c r="X1150" s="107"/>
      <c r="Y1150" s="107"/>
      <c r="Z1150" s="107"/>
      <c r="AA1150" s="107"/>
      <c r="AB1150" s="107"/>
      <c r="AC1150" s="107"/>
      <c r="AD1150" s="107"/>
      <c r="AE1150" s="107"/>
      <c r="AF1150" s="107"/>
      <c r="AG1150" s="107"/>
      <c r="AH1150" s="107"/>
      <c r="AI1150" s="107"/>
      <c r="AJ1150" s="107"/>
      <c r="AK1150" s="107"/>
      <c r="AL1150" s="107"/>
      <c r="AM1150" s="107"/>
      <c r="AN1150" s="107"/>
      <c r="AO1150" s="107"/>
      <c r="AP1150" s="107"/>
      <c r="AQ1150" s="107"/>
      <c r="AR1150" s="107"/>
      <c r="AS1150" s="107"/>
      <c r="AT1150" s="107"/>
      <c r="AU1150" s="107"/>
      <c r="AV1150" s="107"/>
      <c r="AW1150" s="107"/>
      <c r="AX1150" s="107"/>
      <c r="AY1150" s="107"/>
      <c r="AZ1150" s="107"/>
      <c r="BA1150" s="107"/>
      <c r="BB1150" s="107"/>
      <c r="BC1150" s="107"/>
      <c r="BD1150" s="107"/>
      <c r="BE1150" s="107"/>
      <c r="BF1150" s="107"/>
      <c r="BG1150" s="107"/>
      <c r="BH1150" s="107"/>
    </row>
    <row r="1151" spans="1:60" x14ac:dyDescent="0.25">
      <c r="A1151" s="96"/>
      <c r="B1151" s="97"/>
      <c r="C1151" s="97"/>
      <c r="D1151" s="97"/>
      <c r="E1151" s="98"/>
      <c r="F1151" s="99"/>
      <c r="G1151" s="97"/>
      <c r="H1151" s="99"/>
      <c r="I1151" s="99"/>
      <c r="J1151" s="100"/>
      <c r="K1151" s="101"/>
      <c r="L1151" s="102"/>
      <c r="M1151" s="103"/>
      <c r="N1151" s="104"/>
      <c r="O1151" s="97"/>
      <c r="P1151" s="97"/>
      <c r="Q1151" s="97"/>
      <c r="R1151" s="105"/>
      <c r="S1151" s="97"/>
      <c r="T1151" s="97"/>
      <c r="U1151" s="97"/>
      <c r="V1151" s="97"/>
      <c r="W1151" s="97"/>
      <c r="X1151" s="97"/>
      <c r="Y1151" s="97"/>
      <c r="Z1151" s="97"/>
      <c r="AA1151" s="97"/>
      <c r="AB1151" s="97"/>
      <c r="AC1151" s="97"/>
      <c r="AD1151" s="97"/>
      <c r="AE1151" s="97"/>
      <c r="AF1151" s="97"/>
      <c r="AG1151" s="97"/>
      <c r="AH1151" s="97"/>
      <c r="AI1151" s="97"/>
      <c r="AJ1151" s="97"/>
      <c r="AK1151" s="97"/>
      <c r="AL1151" s="97"/>
      <c r="AM1151" s="97"/>
      <c r="AN1151" s="97"/>
      <c r="AO1151" s="97"/>
      <c r="AP1151" s="97"/>
      <c r="AQ1151" s="97"/>
      <c r="AR1151" s="97"/>
      <c r="AS1151" s="97"/>
      <c r="AT1151" s="97"/>
      <c r="AU1151" s="97"/>
      <c r="AV1151" s="97"/>
      <c r="AW1151" s="97"/>
      <c r="AX1151" s="97"/>
      <c r="AY1151" s="97"/>
      <c r="AZ1151" s="97"/>
      <c r="BA1151" s="97"/>
      <c r="BB1151" s="97"/>
      <c r="BC1151" s="97"/>
      <c r="BD1151" s="97"/>
      <c r="BE1151" s="97"/>
      <c r="BF1151" s="97"/>
      <c r="BG1151" s="97"/>
      <c r="BH1151" s="97"/>
    </row>
    <row r="1152" spans="1:60" x14ac:dyDescent="0.25">
      <c r="A1152" s="106"/>
      <c r="B1152" s="107"/>
      <c r="C1152" s="107"/>
      <c r="D1152" s="107"/>
      <c r="E1152" s="108"/>
      <c r="F1152" s="109"/>
      <c r="G1152" s="107"/>
      <c r="H1152" s="109"/>
      <c r="I1152" s="110"/>
      <c r="J1152" s="110"/>
      <c r="K1152" s="111"/>
      <c r="L1152" s="112"/>
      <c r="M1152" s="113"/>
      <c r="N1152" s="114"/>
      <c r="O1152" s="107"/>
      <c r="P1152" s="107"/>
      <c r="Q1152" s="115"/>
      <c r="R1152" s="116"/>
      <c r="S1152" s="107"/>
      <c r="T1152" s="107"/>
      <c r="U1152" s="107"/>
      <c r="V1152" s="107"/>
      <c r="W1152" s="107"/>
      <c r="X1152" s="107"/>
      <c r="Y1152" s="107"/>
      <c r="Z1152" s="107"/>
      <c r="AA1152" s="107"/>
      <c r="AB1152" s="107"/>
      <c r="AC1152" s="107"/>
      <c r="AD1152" s="107"/>
      <c r="AE1152" s="107"/>
      <c r="AF1152" s="107"/>
      <c r="AG1152" s="107"/>
      <c r="AH1152" s="107"/>
      <c r="AI1152" s="107"/>
      <c r="AJ1152" s="107"/>
      <c r="AK1152" s="107"/>
      <c r="AL1152" s="107"/>
      <c r="AM1152" s="107"/>
      <c r="AN1152" s="107"/>
      <c r="AO1152" s="107"/>
      <c r="AP1152" s="107"/>
      <c r="AQ1152" s="107"/>
      <c r="AR1152" s="107"/>
      <c r="AS1152" s="107"/>
      <c r="AT1152" s="107"/>
      <c r="AU1152" s="107"/>
      <c r="AV1152" s="107"/>
      <c r="AW1152" s="107"/>
      <c r="AX1152" s="107"/>
      <c r="AY1152" s="107"/>
      <c r="AZ1152" s="107"/>
      <c r="BA1152" s="107"/>
      <c r="BB1152" s="107"/>
      <c r="BC1152" s="107"/>
      <c r="BD1152" s="107"/>
      <c r="BE1152" s="107"/>
      <c r="BF1152" s="107"/>
      <c r="BG1152" s="107"/>
      <c r="BH1152" s="107"/>
    </row>
    <row r="1153" spans="1:60" x14ac:dyDescent="0.25">
      <c r="A1153" s="96"/>
      <c r="B1153" s="97"/>
      <c r="C1153" s="97"/>
      <c r="D1153" s="97"/>
      <c r="E1153" s="98"/>
      <c r="F1153" s="99"/>
      <c r="G1153" s="97"/>
      <c r="H1153" s="99"/>
      <c r="I1153" s="99"/>
      <c r="J1153" s="100"/>
      <c r="K1153" s="101"/>
      <c r="L1153" s="102"/>
      <c r="M1153" s="103"/>
      <c r="N1153" s="104"/>
      <c r="O1153" s="97"/>
      <c r="P1153" s="97"/>
      <c r="Q1153" s="97"/>
      <c r="R1153" s="105"/>
      <c r="S1153" s="97"/>
      <c r="T1153" s="97"/>
      <c r="U1153" s="97"/>
      <c r="V1153" s="97"/>
      <c r="W1153" s="97"/>
      <c r="X1153" s="97"/>
      <c r="Y1153" s="97"/>
      <c r="Z1153" s="97"/>
      <c r="AA1153" s="97"/>
      <c r="AB1153" s="97"/>
      <c r="AC1153" s="97"/>
      <c r="AD1153" s="97"/>
      <c r="AE1153" s="97"/>
      <c r="AF1153" s="97"/>
      <c r="AG1153" s="97"/>
      <c r="AH1153" s="97"/>
      <c r="AI1153" s="97"/>
      <c r="AJ1153" s="97"/>
      <c r="AK1153" s="97"/>
      <c r="AL1153" s="97"/>
      <c r="AM1153" s="97"/>
      <c r="AN1153" s="97"/>
      <c r="AO1153" s="97"/>
      <c r="AP1153" s="97"/>
      <c r="AQ1153" s="97"/>
      <c r="AR1153" s="97"/>
      <c r="AS1153" s="97"/>
      <c r="AT1153" s="97"/>
      <c r="AU1153" s="97"/>
      <c r="AV1153" s="97"/>
      <c r="AW1153" s="97"/>
      <c r="AX1153" s="97"/>
      <c r="AY1153" s="97"/>
      <c r="AZ1153" s="97"/>
      <c r="BA1153" s="97"/>
      <c r="BB1153" s="97"/>
      <c r="BC1153" s="97"/>
      <c r="BD1153" s="97"/>
      <c r="BE1153" s="97"/>
      <c r="BF1153" s="97"/>
      <c r="BG1153" s="97"/>
      <c r="BH1153" s="97"/>
    </row>
    <row r="1154" spans="1:60" x14ac:dyDescent="0.25">
      <c r="A1154" s="106"/>
      <c r="B1154" s="107"/>
      <c r="C1154" s="107"/>
      <c r="D1154" s="107"/>
      <c r="E1154" s="108"/>
      <c r="F1154" s="109"/>
      <c r="G1154" s="107"/>
      <c r="H1154" s="109"/>
      <c r="I1154" s="110"/>
      <c r="J1154" s="110"/>
      <c r="K1154" s="111"/>
      <c r="L1154" s="112"/>
      <c r="M1154" s="113"/>
      <c r="N1154" s="114"/>
      <c r="O1154" s="107"/>
      <c r="P1154" s="107"/>
      <c r="Q1154" s="115"/>
      <c r="R1154" s="116"/>
      <c r="S1154" s="107"/>
      <c r="T1154" s="107"/>
      <c r="U1154" s="107"/>
      <c r="V1154" s="107"/>
      <c r="W1154" s="107"/>
      <c r="X1154" s="107"/>
      <c r="Y1154" s="107"/>
      <c r="Z1154" s="107"/>
      <c r="AA1154" s="107"/>
      <c r="AB1154" s="107"/>
      <c r="AC1154" s="107"/>
      <c r="AD1154" s="107"/>
      <c r="AE1154" s="107"/>
      <c r="AF1154" s="107"/>
      <c r="AG1154" s="107"/>
      <c r="AH1154" s="107"/>
      <c r="AI1154" s="107"/>
      <c r="AJ1154" s="107"/>
      <c r="AK1154" s="107"/>
      <c r="AL1154" s="107"/>
      <c r="AM1154" s="107"/>
      <c r="AN1154" s="107"/>
      <c r="AO1154" s="107"/>
      <c r="AP1154" s="107"/>
      <c r="AQ1154" s="107"/>
      <c r="AR1154" s="107"/>
      <c r="AS1154" s="107"/>
      <c r="AT1154" s="107"/>
      <c r="AU1154" s="107"/>
      <c r="AV1154" s="107"/>
      <c r="AW1154" s="107"/>
      <c r="AX1154" s="107"/>
      <c r="AY1154" s="107"/>
      <c r="AZ1154" s="107"/>
      <c r="BA1154" s="107"/>
      <c r="BB1154" s="107"/>
      <c r="BC1154" s="107"/>
      <c r="BD1154" s="107"/>
      <c r="BE1154" s="107"/>
      <c r="BF1154" s="107"/>
      <c r="BG1154" s="107"/>
      <c r="BH1154" s="107"/>
    </row>
  </sheetData>
  <phoneticPr fontId="3" type="noConversion"/>
  <conditionalFormatting sqref="N1:R1 F1 N1155:N1048576">
    <cfRule type="iconSet" priority="27">
      <iconSet>
        <cfvo type="percent" val="0"/>
        <cfvo type="num" val="0"/>
        <cfvo type="formula" val="TRUE"/>
      </iconSet>
    </cfRule>
  </conditionalFormatting>
  <conditionalFormatting sqref="N1 N1155:N1048576">
    <cfRule type="iconSet" priority="22">
      <iconSet>
        <cfvo type="percent" val="0"/>
        <cfvo type="num" val="0.3"/>
        <cfvo type="num" val="0.8"/>
      </iconSet>
    </cfRule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N170:N1154 N2:N45 N47:N49 N51:N168">
    <cfRule type="iconSet" priority="15">
      <iconSet>
        <cfvo type="percent" val="0"/>
        <cfvo type="num" val="0"/>
        <cfvo type="formula" val="TRUE"/>
      </iconSet>
    </cfRule>
  </conditionalFormatting>
  <conditionalFormatting sqref="N170:N1154 N2:N45 N47:N49 N51:N168">
    <cfRule type="iconSet" priority="13">
      <iconSet>
        <cfvo type="percent" val="0"/>
        <cfvo type="num" val="0.3"/>
        <cfvo type="num" val="0.8"/>
      </iconSet>
    </cfRule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N46">
    <cfRule type="iconSet" priority="3">
      <iconSet>
        <cfvo type="percent" val="0"/>
        <cfvo type="num" val="0"/>
        <cfvo type="formula" val="TRUE"/>
      </iconSet>
    </cfRule>
  </conditionalFormatting>
  <conditionalFormatting sqref="N46">
    <cfRule type="iconSet" priority="1">
      <iconSet>
        <cfvo type="percent" val="0"/>
        <cfvo type="num" val="0.3"/>
        <cfvo type="num" val="0.8"/>
      </iconSet>
    </cfRule>
    <cfRule type="iconSet" priority="2">
      <iconSet iconSet="3Symbols">
        <cfvo type="percent" val="0"/>
        <cfvo type="percent" val="33"/>
        <cfvo type="percent" val="67"/>
      </iconSet>
    </cfRule>
  </conditionalFormatting>
  <printOptions horizontalCentered="1"/>
  <pageMargins left="0.7" right="0.7" top="0.75" bottom="0.75" header="0.3" footer="0.3"/>
  <pageSetup paperSize="9" orientation="portrait" r:id="rId1"/>
  <headerFooter>
    <oddHeader>&amp;LHeures de départ&amp;CLes Chronos de Corbas - 04/09/2022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4766AF-A991-4744-95C5-A353E7E182C8}">
          <x14:formula1>
            <xm:f>info_general!$F$3:$F$4</xm:f>
          </x14:formula1>
          <xm:sqref>D170:D1048576 D4 D165:D168 D102:D149 D151:D163</xm:sqref>
        </x14:dataValidation>
        <x14:dataValidation type="list" allowBlank="1" showInputMessage="1" showErrorMessage="1" xr:uid="{36E9DDE6-25B9-4550-91C7-A37A65FD9AE1}">
          <x14:formula1>
            <xm:f>info_general!$B$3:$B$6</xm:f>
          </x14:formula1>
          <xm:sqref>G212:G1048576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F9E8-791A-471A-9B13-8E5C21393851}">
  <sheetPr codeName="Feuil2"/>
  <dimension ref="A1:Q1011"/>
  <sheetViews>
    <sheetView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1.42578125" style="15"/>
    <col min="2" max="2" width="10.140625" style="25" customWidth="1"/>
    <col min="3" max="3" width="16.140625" style="11" customWidth="1"/>
    <col min="4" max="4" width="19.5703125" style="11" customWidth="1"/>
    <col min="5" max="5" width="19.7109375" style="29" customWidth="1"/>
    <col min="6" max="6" width="11.42578125" style="29"/>
    <col min="7" max="8" width="11.42578125" style="20"/>
    <col min="9" max="9" width="13.5703125" style="31" customWidth="1"/>
    <col min="13" max="13" width="28.85546875" customWidth="1"/>
    <col min="17" max="17" width="11.42578125" style="1"/>
  </cols>
  <sheetData>
    <row r="1" spans="1:17" ht="15.75" thickBot="1" x14ac:dyDescent="0.3">
      <c r="A1" s="16" t="s">
        <v>12</v>
      </c>
      <c r="B1" s="22" t="s">
        <v>10</v>
      </c>
      <c r="C1" s="17" t="s">
        <v>8</v>
      </c>
      <c r="D1" s="17" t="s">
        <v>9</v>
      </c>
      <c r="E1" s="30" t="s">
        <v>32</v>
      </c>
      <c r="F1" s="26" t="s">
        <v>3</v>
      </c>
      <c r="G1" s="17" t="s">
        <v>6</v>
      </c>
      <c r="H1" s="17" t="s">
        <v>35</v>
      </c>
      <c r="I1" s="30" t="s">
        <v>7</v>
      </c>
      <c r="J1" t="s">
        <v>94</v>
      </c>
      <c r="K1" t="s">
        <v>95</v>
      </c>
      <c r="L1" t="s">
        <v>96</v>
      </c>
      <c r="M1" t="s">
        <v>98</v>
      </c>
      <c r="Q1"/>
    </row>
    <row r="2" spans="1:17" ht="15.75" thickTop="1" x14ac:dyDescent="0.25">
      <c r="A2" s="13">
        <v>1</v>
      </c>
      <c r="B2" s="23"/>
      <c r="C2" s="12"/>
      <c r="D2" s="12"/>
      <c r="E2" s="27"/>
      <c r="G2" s="65"/>
      <c r="H2" s="21"/>
      <c r="I2" s="66"/>
      <c r="K2" s="117"/>
      <c r="Q2"/>
    </row>
    <row r="3" spans="1:17" x14ac:dyDescent="0.25">
      <c r="A3" s="14">
        <v>2</v>
      </c>
      <c r="B3" s="24"/>
      <c r="C3" s="10"/>
      <c r="D3" s="10"/>
      <c r="E3" s="28"/>
      <c r="F3" s="28"/>
      <c r="G3" s="63"/>
      <c r="H3" s="18"/>
      <c r="I3" s="67"/>
      <c r="K3" s="117"/>
      <c r="Q3"/>
    </row>
    <row r="4" spans="1:17" x14ac:dyDescent="0.25">
      <c r="A4" s="13"/>
      <c r="G4" s="65"/>
      <c r="H4" s="19"/>
      <c r="I4" s="68"/>
      <c r="K4" s="117"/>
      <c r="Q4"/>
    </row>
    <row r="5" spans="1:17" x14ac:dyDescent="0.25">
      <c r="A5" s="14"/>
      <c r="B5" s="24"/>
      <c r="C5" s="10"/>
      <c r="D5" s="10"/>
      <c r="E5" s="28"/>
      <c r="F5" s="28"/>
      <c r="G5" s="63"/>
      <c r="H5" s="18"/>
      <c r="I5" s="67"/>
      <c r="K5" s="117"/>
      <c r="Q5"/>
    </row>
    <row r="6" spans="1:17" x14ac:dyDescent="0.25">
      <c r="A6" s="13"/>
      <c r="G6" s="65"/>
      <c r="H6" s="19"/>
      <c r="I6" s="68"/>
      <c r="K6" s="117"/>
      <c r="Q6"/>
    </row>
    <row r="7" spans="1:17" x14ac:dyDescent="0.25">
      <c r="A7" s="14"/>
      <c r="B7" s="24"/>
      <c r="C7" s="10"/>
      <c r="D7" s="10"/>
      <c r="E7" s="28"/>
      <c r="F7" s="28"/>
      <c r="G7" s="63"/>
      <c r="H7" s="18"/>
      <c r="I7" s="67"/>
      <c r="K7" s="117"/>
      <c r="Q7"/>
    </row>
    <row r="8" spans="1:17" x14ac:dyDescent="0.25">
      <c r="A8" s="13"/>
      <c r="G8" s="65"/>
      <c r="H8" s="19"/>
      <c r="I8" s="68"/>
      <c r="K8" s="117"/>
      <c r="Q8"/>
    </row>
    <row r="9" spans="1:17" x14ac:dyDescent="0.25">
      <c r="A9" s="14"/>
      <c r="B9" s="24"/>
      <c r="C9" s="10"/>
      <c r="D9" s="10"/>
      <c r="E9" s="28"/>
      <c r="F9" s="28"/>
      <c r="G9" s="63"/>
      <c r="H9" s="18"/>
      <c r="I9" s="67"/>
      <c r="K9" s="117"/>
      <c r="Q9"/>
    </row>
    <row r="10" spans="1:17" x14ac:dyDescent="0.25">
      <c r="A10" s="13"/>
      <c r="G10" s="65"/>
      <c r="H10" s="19"/>
      <c r="I10" s="68"/>
      <c r="K10" s="117"/>
      <c r="Q10"/>
    </row>
    <row r="11" spans="1:17" x14ac:dyDescent="0.25">
      <c r="A11" s="14"/>
      <c r="B11" s="24"/>
      <c r="C11" s="10"/>
      <c r="D11" s="10"/>
      <c r="E11" s="28"/>
      <c r="F11" s="28"/>
      <c r="G11" s="63"/>
      <c r="H11" s="18"/>
      <c r="I11" s="67"/>
      <c r="K11" s="117"/>
      <c r="Q11"/>
    </row>
    <row r="12" spans="1:17" x14ac:dyDescent="0.25">
      <c r="A12" s="13"/>
      <c r="G12" s="65"/>
      <c r="H12" s="19"/>
      <c r="I12" s="68"/>
      <c r="K12" s="117"/>
      <c r="Q12"/>
    </row>
    <row r="13" spans="1:17" x14ac:dyDescent="0.25">
      <c r="A13" s="14"/>
      <c r="B13" s="24"/>
      <c r="C13" s="10"/>
      <c r="D13" s="10"/>
      <c r="E13" s="28"/>
      <c r="F13" s="28"/>
      <c r="G13" s="63"/>
      <c r="H13" s="18"/>
      <c r="I13" s="67"/>
      <c r="K13" s="117"/>
      <c r="Q13"/>
    </row>
    <row r="14" spans="1:17" x14ac:dyDescent="0.25">
      <c r="A14" s="13"/>
      <c r="G14" s="65"/>
      <c r="H14" s="19"/>
      <c r="I14" s="68"/>
      <c r="K14" s="117"/>
      <c r="Q14"/>
    </row>
    <row r="15" spans="1:17" x14ac:dyDescent="0.25">
      <c r="A15" s="14"/>
      <c r="B15" s="24"/>
      <c r="C15" s="10"/>
      <c r="D15" s="10"/>
      <c r="E15" s="28"/>
      <c r="F15" s="28"/>
      <c r="G15" s="63"/>
      <c r="H15" s="18"/>
      <c r="I15" s="67"/>
      <c r="K15" s="117"/>
      <c r="Q15"/>
    </row>
    <row r="16" spans="1:17" x14ac:dyDescent="0.25">
      <c r="A16" s="13"/>
      <c r="G16" s="65"/>
      <c r="H16" s="19"/>
      <c r="I16" s="68"/>
      <c r="K16" s="117"/>
      <c r="Q16"/>
    </row>
    <row r="17" spans="1:17" x14ac:dyDescent="0.25">
      <c r="A17" s="14"/>
      <c r="B17" s="24"/>
      <c r="C17" s="10"/>
      <c r="D17" s="10"/>
      <c r="E17" s="28"/>
      <c r="F17" s="28"/>
      <c r="G17" s="63"/>
      <c r="H17" s="18"/>
      <c r="I17" s="67"/>
      <c r="K17" s="117"/>
      <c r="Q17"/>
    </row>
    <row r="18" spans="1:17" x14ac:dyDescent="0.25">
      <c r="A18" s="13"/>
      <c r="G18" s="65"/>
      <c r="H18" s="19"/>
      <c r="I18" s="68"/>
      <c r="K18" s="117"/>
      <c r="Q18"/>
    </row>
    <row r="19" spans="1:17" x14ac:dyDescent="0.25">
      <c r="A19" s="14"/>
      <c r="B19" s="24"/>
      <c r="C19" s="10"/>
      <c r="D19" s="10"/>
      <c r="E19" s="28"/>
      <c r="F19" s="28"/>
      <c r="G19" s="63"/>
      <c r="H19" s="18"/>
      <c r="I19" s="67"/>
      <c r="K19" s="117"/>
      <c r="Q19"/>
    </row>
    <row r="20" spans="1:17" x14ac:dyDescent="0.25">
      <c r="A20" s="13"/>
      <c r="G20" s="65"/>
      <c r="H20" s="19"/>
      <c r="I20" s="68"/>
      <c r="K20" s="117"/>
      <c r="Q20"/>
    </row>
    <row r="21" spans="1:17" x14ac:dyDescent="0.25">
      <c r="A21" s="14"/>
      <c r="B21" s="24"/>
      <c r="C21" s="10"/>
      <c r="D21" s="10"/>
      <c r="E21" s="28"/>
      <c r="F21" s="28"/>
      <c r="G21" s="63"/>
      <c r="H21" s="18"/>
      <c r="I21" s="67"/>
      <c r="K21" s="117"/>
      <c r="Q21"/>
    </row>
    <row r="22" spans="1:17" x14ac:dyDescent="0.25">
      <c r="A22" s="13"/>
      <c r="G22" s="65"/>
      <c r="H22" s="19"/>
      <c r="I22" s="68"/>
      <c r="K22" s="117"/>
      <c r="Q22"/>
    </row>
    <row r="23" spans="1:17" x14ac:dyDescent="0.25">
      <c r="A23" s="14"/>
      <c r="B23" s="24"/>
      <c r="C23" s="10"/>
      <c r="D23" s="10"/>
      <c r="E23" s="28"/>
      <c r="F23" s="28"/>
      <c r="G23" s="63"/>
      <c r="H23" s="18"/>
      <c r="I23" s="67"/>
      <c r="K23" s="117"/>
      <c r="Q23"/>
    </row>
    <row r="24" spans="1:17" x14ac:dyDescent="0.25">
      <c r="A24" s="13"/>
      <c r="G24" s="65"/>
      <c r="H24" s="19"/>
      <c r="I24" s="68"/>
      <c r="K24" s="117"/>
      <c r="Q24"/>
    </row>
    <row r="25" spans="1:17" x14ac:dyDescent="0.25">
      <c r="A25" s="14"/>
      <c r="B25" s="24"/>
      <c r="C25" s="10"/>
      <c r="D25" s="10"/>
      <c r="E25" s="28"/>
      <c r="F25" s="28"/>
      <c r="G25" s="63"/>
      <c r="H25" s="18"/>
      <c r="I25" s="67"/>
      <c r="K25" s="117"/>
      <c r="Q25"/>
    </row>
    <row r="26" spans="1:17" x14ac:dyDescent="0.25">
      <c r="A26" s="13"/>
      <c r="G26" s="65"/>
      <c r="H26" s="19"/>
      <c r="I26" s="68"/>
      <c r="K26" s="117"/>
      <c r="Q26"/>
    </row>
    <row r="27" spans="1:17" x14ac:dyDescent="0.25">
      <c r="A27" s="14"/>
      <c r="B27" s="24"/>
      <c r="C27" s="10"/>
      <c r="D27" s="10"/>
      <c r="E27" s="28"/>
      <c r="F27" s="28"/>
      <c r="G27" s="63"/>
      <c r="H27" s="18"/>
      <c r="I27" s="67"/>
      <c r="K27" s="117"/>
      <c r="Q27"/>
    </row>
    <row r="28" spans="1:17" x14ac:dyDescent="0.25">
      <c r="A28" s="13"/>
      <c r="G28" s="65"/>
      <c r="H28" s="19"/>
      <c r="I28" s="68"/>
      <c r="K28" s="117"/>
      <c r="Q28"/>
    </row>
    <row r="29" spans="1:17" x14ac:dyDescent="0.25">
      <c r="A29" s="14"/>
      <c r="B29" s="24"/>
      <c r="C29" s="10"/>
      <c r="D29" s="10"/>
      <c r="E29" s="28"/>
      <c r="F29" s="28"/>
      <c r="G29" s="63"/>
      <c r="H29" s="18"/>
      <c r="I29" s="67"/>
      <c r="K29" s="117"/>
      <c r="Q29"/>
    </row>
    <row r="30" spans="1:17" x14ac:dyDescent="0.25">
      <c r="A30" s="13"/>
      <c r="G30" s="65"/>
      <c r="H30" s="19"/>
      <c r="I30" s="68"/>
      <c r="K30" s="117"/>
      <c r="Q30"/>
    </row>
    <row r="31" spans="1:17" x14ac:dyDescent="0.25">
      <c r="A31" s="14"/>
      <c r="B31" s="24"/>
      <c r="C31" s="10"/>
      <c r="D31" s="10"/>
      <c r="E31" s="28"/>
      <c r="F31" s="28"/>
      <c r="G31" s="63"/>
      <c r="H31" s="18"/>
      <c r="I31" s="67"/>
      <c r="K31" s="117"/>
      <c r="Q31"/>
    </row>
    <row r="32" spans="1:17" x14ac:dyDescent="0.25">
      <c r="A32" s="13"/>
      <c r="G32" s="65"/>
      <c r="H32" s="19"/>
      <c r="I32" s="68"/>
      <c r="K32" s="117"/>
      <c r="Q32"/>
    </row>
    <row r="33" spans="1:17" x14ac:dyDescent="0.25">
      <c r="A33" s="14"/>
      <c r="B33" s="24"/>
      <c r="C33" s="10"/>
      <c r="D33" s="10"/>
      <c r="E33" s="28"/>
      <c r="F33" s="28"/>
      <c r="G33" s="63"/>
      <c r="H33" s="18"/>
      <c r="I33" s="67"/>
      <c r="K33" s="117"/>
      <c r="Q33"/>
    </row>
    <row r="34" spans="1:17" x14ac:dyDescent="0.25">
      <c r="A34" s="13"/>
      <c r="G34" s="65"/>
      <c r="H34" s="19"/>
      <c r="I34" s="68"/>
      <c r="K34" s="117"/>
      <c r="Q34"/>
    </row>
    <row r="35" spans="1:17" x14ac:dyDescent="0.25">
      <c r="A35" s="14"/>
      <c r="B35" s="24"/>
      <c r="C35" s="10"/>
      <c r="D35" s="10"/>
      <c r="E35" s="28"/>
      <c r="F35" s="28"/>
      <c r="G35" s="63"/>
      <c r="H35" s="18"/>
      <c r="I35" s="67"/>
      <c r="K35" s="117"/>
      <c r="Q35"/>
    </row>
    <row r="36" spans="1:17" x14ac:dyDescent="0.25">
      <c r="A36" s="13"/>
      <c r="G36" s="65"/>
      <c r="H36" s="19"/>
      <c r="I36" s="68"/>
      <c r="K36" s="117"/>
      <c r="Q36"/>
    </row>
    <row r="37" spans="1:17" x14ac:dyDescent="0.25">
      <c r="A37" s="14"/>
      <c r="B37" s="24"/>
      <c r="C37" s="10"/>
      <c r="D37" s="10"/>
      <c r="E37" s="28"/>
      <c r="F37" s="28"/>
      <c r="G37" s="63"/>
      <c r="H37" s="18"/>
      <c r="I37" s="67"/>
      <c r="K37" s="117"/>
      <c r="Q37"/>
    </row>
    <row r="38" spans="1:17" x14ac:dyDescent="0.25">
      <c r="A38" s="13"/>
      <c r="G38" s="65"/>
      <c r="H38" s="19"/>
      <c r="I38" s="68"/>
      <c r="K38" s="117"/>
      <c r="Q38"/>
    </row>
    <row r="39" spans="1:17" x14ac:dyDescent="0.25">
      <c r="A39" s="14"/>
      <c r="B39" s="24"/>
      <c r="C39" s="10"/>
      <c r="D39" s="10"/>
      <c r="E39" s="28"/>
      <c r="F39" s="28"/>
      <c r="G39" s="63"/>
      <c r="H39" s="18"/>
      <c r="I39" s="67"/>
      <c r="K39" s="117"/>
      <c r="Q39"/>
    </row>
    <row r="40" spans="1:17" x14ac:dyDescent="0.25">
      <c r="A40" s="13"/>
      <c r="G40" s="65"/>
      <c r="H40" s="19"/>
      <c r="I40" s="68"/>
      <c r="K40" s="117"/>
      <c r="Q40"/>
    </row>
    <row r="41" spans="1:17" x14ac:dyDescent="0.25">
      <c r="A41" s="14"/>
      <c r="B41" s="24"/>
      <c r="C41" s="10"/>
      <c r="D41" s="10"/>
      <c r="E41" s="28"/>
      <c r="F41" s="28"/>
      <c r="G41" s="63"/>
      <c r="H41" s="18"/>
      <c r="I41" s="67"/>
      <c r="K41" s="117"/>
      <c r="Q41"/>
    </row>
    <row r="42" spans="1:17" x14ac:dyDescent="0.25">
      <c r="A42" s="13"/>
      <c r="G42" s="65"/>
      <c r="H42" s="19"/>
      <c r="I42" s="68"/>
      <c r="K42" s="117"/>
      <c r="Q42"/>
    </row>
    <row r="43" spans="1:17" x14ac:dyDescent="0.25">
      <c r="A43" s="14"/>
      <c r="B43" s="24"/>
      <c r="C43" s="10"/>
      <c r="D43" s="10"/>
      <c r="E43" s="28"/>
      <c r="F43" s="28"/>
      <c r="G43" s="63"/>
      <c r="H43" s="18"/>
      <c r="I43" s="67"/>
      <c r="K43" s="117"/>
      <c r="Q43"/>
    </row>
    <row r="44" spans="1:17" x14ac:dyDescent="0.25">
      <c r="A44" s="13"/>
      <c r="G44" s="65"/>
      <c r="H44" s="19"/>
      <c r="I44" s="68"/>
      <c r="K44" s="117"/>
      <c r="Q44"/>
    </row>
    <row r="45" spans="1:17" x14ac:dyDescent="0.25">
      <c r="A45" s="14"/>
      <c r="B45" s="24"/>
      <c r="C45" s="10"/>
      <c r="D45" s="10"/>
      <c r="E45" s="28"/>
      <c r="F45" s="28"/>
      <c r="G45" s="63"/>
      <c r="H45" s="18"/>
      <c r="I45" s="67"/>
      <c r="K45" s="117"/>
      <c r="Q45"/>
    </row>
    <row r="46" spans="1:17" x14ac:dyDescent="0.25">
      <c r="A46" s="13"/>
      <c r="G46" s="65"/>
      <c r="H46" s="19"/>
      <c r="I46" s="68"/>
      <c r="K46" s="117"/>
      <c r="Q46"/>
    </row>
    <row r="47" spans="1:17" x14ac:dyDescent="0.25">
      <c r="A47" s="14"/>
      <c r="B47" s="24"/>
      <c r="C47" s="10"/>
      <c r="D47" s="10"/>
      <c r="E47" s="28"/>
      <c r="F47" s="28"/>
      <c r="G47" s="63"/>
      <c r="H47" s="18"/>
      <c r="I47" s="67"/>
      <c r="K47" s="117"/>
      <c r="Q47"/>
    </row>
    <row r="48" spans="1:17" x14ac:dyDescent="0.25">
      <c r="A48" s="13"/>
      <c r="G48" s="65"/>
      <c r="H48" s="19"/>
      <c r="I48" s="68"/>
      <c r="K48" s="117"/>
      <c r="Q48"/>
    </row>
    <row r="49" spans="1:17" x14ac:dyDescent="0.25">
      <c r="A49" s="14"/>
      <c r="B49" s="24"/>
      <c r="C49" s="10"/>
      <c r="D49" s="10"/>
      <c r="E49" s="28"/>
      <c r="F49" s="28"/>
      <c r="G49" s="63"/>
      <c r="H49" s="18"/>
      <c r="I49" s="67"/>
      <c r="K49" s="117"/>
      <c r="Q49"/>
    </row>
    <row r="50" spans="1:17" x14ac:dyDescent="0.25">
      <c r="A50" s="13"/>
      <c r="G50" s="65"/>
      <c r="H50" s="19"/>
      <c r="I50" s="68"/>
      <c r="K50" s="117"/>
      <c r="Q50"/>
    </row>
    <row r="51" spans="1:17" x14ac:dyDescent="0.25">
      <c r="A51" s="14"/>
      <c r="B51" s="24"/>
      <c r="C51" s="10"/>
      <c r="D51" s="10"/>
      <c r="E51" s="28"/>
      <c r="F51" s="28"/>
      <c r="G51" s="63"/>
      <c r="H51" s="18"/>
      <c r="I51" s="67"/>
      <c r="K51" s="117"/>
      <c r="Q51"/>
    </row>
    <row r="52" spans="1:17" x14ac:dyDescent="0.25">
      <c r="A52" s="13"/>
      <c r="G52" s="65"/>
      <c r="H52" s="19"/>
      <c r="I52" s="68"/>
      <c r="K52" s="117"/>
      <c r="Q52"/>
    </row>
    <row r="53" spans="1:17" x14ac:dyDescent="0.25">
      <c r="A53" s="14"/>
      <c r="B53" s="24"/>
      <c r="C53" s="10"/>
      <c r="D53" s="10"/>
      <c r="E53" s="28"/>
      <c r="F53" s="28"/>
      <c r="G53" s="63"/>
      <c r="H53" s="18"/>
      <c r="I53" s="67"/>
      <c r="K53" s="117"/>
      <c r="Q53"/>
    </row>
    <row r="54" spans="1:17" x14ac:dyDescent="0.25">
      <c r="A54" s="13"/>
      <c r="G54" s="65"/>
      <c r="H54" s="19"/>
      <c r="I54" s="68"/>
      <c r="K54" s="117"/>
      <c r="Q54"/>
    </row>
    <row r="55" spans="1:17" x14ac:dyDescent="0.25">
      <c r="A55" s="14"/>
      <c r="B55" s="24"/>
      <c r="C55" s="10"/>
      <c r="D55" s="10"/>
      <c r="E55" s="28"/>
      <c r="F55" s="28"/>
      <c r="G55" s="63"/>
      <c r="H55" s="18"/>
      <c r="I55" s="67"/>
      <c r="K55" s="117"/>
      <c r="Q55"/>
    </row>
    <row r="56" spans="1:17" x14ac:dyDescent="0.25">
      <c r="A56" s="13"/>
      <c r="G56" s="65"/>
      <c r="H56" s="19"/>
      <c r="I56" s="68"/>
      <c r="K56" s="117"/>
      <c r="Q56"/>
    </row>
    <row r="57" spans="1:17" x14ac:dyDescent="0.25">
      <c r="A57" s="14"/>
      <c r="B57" s="24"/>
      <c r="C57" s="10"/>
      <c r="D57" s="10"/>
      <c r="E57" s="28"/>
      <c r="F57" s="28"/>
      <c r="G57" s="63"/>
      <c r="H57" s="18"/>
      <c r="I57" s="67"/>
      <c r="K57" s="117"/>
      <c r="Q57"/>
    </row>
    <row r="58" spans="1:17" x14ac:dyDescent="0.25">
      <c r="A58" s="13"/>
      <c r="G58" s="65"/>
      <c r="H58" s="19"/>
      <c r="I58" s="68"/>
      <c r="K58" s="117"/>
      <c r="Q58"/>
    </row>
    <row r="59" spans="1:17" x14ac:dyDescent="0.25">
      <c r="A59" s="14"/>
      <c r="B59" s="24"/>
      <c r="C59" s="10"/>
      <c r="D59" s="10"/>
      <c r="E59" s="28"/>
      <c r="F59" s="28"/>
      <c r="G59" s="63"/>
      <c r="H59" s="18"/>
      <c r="I59" s="67"/>
      <c r="K59" s="117"/>
      <c r="Q59"/>
    </row>
    <row r="60" spans="1:17" x14ac:dyDescent="0.25">
      <c r="A60" s="13"/>
      <c r="G60" s="65"/>
      <c r="H60" s="19"/>
      <c r="I60" s="68"/>
      <c r="K60" s="117"/>
      <c r="Q60"/>
    </row>
    <row r="61" spans="1:17" x14ac:dyDescent="0.25">
      <c r="A61" s="14"/>
      <c r="B61" s="24"/>
      <c r="C61" s="10"/>
      <c r="D61" s="10"/>
      <c r="E61" s="28"/>
      <c r="F61" s="28"/>
      <c r="G61" s="63"/>
      <c r="H61" s="18"/>
      <c r="I61" s="67"/>
      <c r="K61" s="117"/>
      <c r="Q61"/>
    </row>
    <row r="62" spans="1:17" x14ac:dyDescent="0.25">
      <c r="A62" s="13"/>
      <c r="G62" s="65"/>
      <c r="H62" s="19"/>
      <c r="I62" s="68"/>
      <c r="K62" s="117"/>
      <c r="Q62"/>
    </row>
    <row r="63" spans="1:17" x14ac:dyDescent="0.25">
      <c r="A63" s="14"/>
      <c r="B63" s="24"/>
      <c r="C63" s="10"/>
      <c r="D63" s="10"/>
      <c r="E63" s="28"/>
      <c r="F63" s="28"/>
      <c r="G63" s="63"/>
      <c r="H63" s="18"/>
      <c r="I63" s="67"/>
      <c r="K63" s="117"/>
      <c r="Q63"/>
    </row>
    <row r="64" spans="1:17" x14ac:dyDescent="0.25">
      <c r="A64" s="13"/>
      <c r="G64" s="65"/>
      <c r="H64" s="19"/>
      <c r="I64" s="68"/>
      <c r="K64" s="117"/>
      <c r="Q64"/>
    </row>
    <row r="65" spans="1:17" x14ac:dyDescent="0.25">
      <c r="A65" s="14"/>
      <c r="B65" s="24"/>
      <c r="C65" s="10"/>
      <c r="D65" s="10"/>
      <c r="E65" s="28"/>
      <c r="F65" s="28"/>
      <c r="G65" s="63"/>
      <c r="H65" s="18"/>
      <c r="I65" s="67"/>
      <c r="K65" s="117"/>
      <c r="Q65"/>
    </row>
    <row r="66" spans="1:17" x14ac:dyDescent="0.25">
      <c r="A66" s="13"/>
      <c r="G66" s="65"/>
      <c r="H66" s="19"/>
      <c r="I66" s="68"/>
      <c r="K66" s="117"/>
      <c r="Q66"/>
    </row>
    <row r="67" spans="1:17" x14ac:dyDescent="0.25">
      <c r="A67" s="14"/>
      <c r="B67" s="24"/>
      <c r="C67" s="10"/>
      <c r="D67" s="10"/>
      <c r="E67" s="28"/>
      <c r="F67" s="28"/>
      <c r="G67" s="63"/>
      <c r="H67" s="18"/>
      <c r="I67" s="67"/>
      <c r="K67" s="117"/>
      <c r="Q67"/>
    </row>
    <row r="68" spans="1:17" x14ac:dyDescent="0.25">
      <c r="A68" s="13"/>
      <c r="G68" s="65"/>
      <c r="H68" s="19"/>
      <c r="I68" s="68"/>
      <c r="K68" s="117"/>
      <c r="Q68"/>
    </row>
    <row r="69" spans="1:17" x14ac:dyDescent="0.25">
      <c r="A69" s="14"/>
      <c r="B69" s="24"/>
      <c r="C69" s="10"/>
      <c r="D69" s="10"/>
      <c r="E69" s="28"/>
      <c r="F69" s="28"/>
      <c r="G69" s="63"/>
      <c r="H69" s="18"/>
      <c r="I69" s="67"/>
      <c r="K69" s="117"/>
      <c r="Q69"/>
    </row>
    <row r="70" spans="1:17" x14ac:dyDescent="0.25">
      <c r="A70" s="13"/>
      <c r="G70" s="65"/>
      <c r="H70" s="19"/>
      <c r="I70" s="68"/>
      <c r="K70" s="117"/>
      <c r="Q70"/>
    </row>
    <row r="71" spans="1:17" x14ac:dyDescent="0.25">
      <c r="A71" s="14"/>
      <c r="B71" s="24"/>
      <c r="C71" s="10"/>
      <c r="D71" s="10"/>
      <c r="E71" s="28"/>
      <c r="F71" s="28"/>
      <c r="G71" s="63"/>
      <c r="H71" s="18"/>
      <c r="I71" s="67"/>
      <c r="K71" s="117"/>
      <c r="Q71"/>
    </row>
    <row r="72" spans="1:17" x14ac:dyDescent="0.25">
      <c r="A72" s="13"/>
      <c r="G72" s="65"/>
      <c r="H72" s="19"/>
      <c r="I72" s="68"/>
      <c r="K72" s="117"/>
      <c r="Q72"/>
    </row>
    <row r="73" spans="1:17" x14ac:dyDescent="0.25">
      <c r="A73" s="14"/>
      <c r="B73" s="24"/>
      <c r="C73" s="10"/>
      <c r="D73" s="10"/>
      <c r="E73" s="28"/>
      <c r="F73" s="28"/>
      <c r="G73" s="63"/>
      <c r="H73" s="18"/>
      <c r="I73" s="67"/>
      <c r="K73" s="117"/>
      <c r="Q73"/>
    </row>
    <row r="74" spans="1:17" x14ac:dyDescent="0.25">
      <c r="A74" s="13"/>
      <c r="G74" s="65"/>
      <c r="H74" s="19"/>
      <c r="I74" s="68"/>
      <c r="K74" s="117"/>
      <c r="Q74"/>
    </row>
    <row r="75" spans="1:17" x14ac:dyDescent="0.25">
      <c r="A75" s="14"/>
      <c r="B75" s="24"/>
      <c r="C75" s="10"/>
      <c r="D75" s="10"/>
      <c r="E75" s="28"/>
      <c r="F75" s="28"/>
      <c r="G75" s="63"/>
      <c r="H75" s="18"/>
      <c r="I75" s="67"/>
      <c r="K75" s="117"/>
      <c r="Q75"/>
    </row>
    <row r="76" spans="1:17" x14ac:dyDescent="0.25">
      <c r="A76" s="13"/>
      <c r="G76" s="65"/>
      <c r="H76" s="19"/>
      <c r="I76" s="68"/>
      <c r="K76" s="117"/>
      <c r="Q76"/>
    </row>
    <row r="77" spans="1:17" x14ac:dyDescent="0.25">
      <c r="A77" s="14"/>
      <c r="B77" s="24"/>
      <c r="C77" s="10"/>
      <c r="D77" s="10"/>
      <c r="E77" s="28"/>
      <c r="F77" s="28"/>
      <c r="G77" s="63"/>
      <c r="H77" s="18"/>
      <c r="I77" s="67"/>
      <c r="K77" s="117"/>
      <c r="Q77"/>
    </row>
    <row r="78" spans="1:17" x14ac:dyDescent="0.25">
      <c r="A78" s="13"/>
      <c r="G78" s="65"/>
      <c r="H78" s="19"/>
      <c r="I78" s="68"/>
      <c r="K78" s="117"/>
      <c r="Q78"/>
    </row>
    <row r="79" spans="1:17" x14ac:dyDescent="0.25">
      <c r="A79" s="14"/>
      <c r="B79" s="24"/>
      <c r="C79" s="10"/>
      <c r="D79" s="10"/>
      <c r="E79" s="28"/>
      <c r="F79" s="28"/>
      <c r="G79" s="63"/>
      <c r="H79" s="18"/>
      <c r="I79" s="67"/>
      <c r="K79" s="117"/>
      <c r="Q79"/>
    </row>
    <row r="80" spans="1:17" x14ac:dyDescent="0.25">
      <c r="A80" s="13"/>
      <c r="G80" s="65"/>
      <c r="H80" s="19"/>
      <c r="I80" s="68"/>
      <c r="K80" s="117"/>
      <c r="Q80"/>
    </row>
    <row r="81" spans="1:17" x14ac:dyDescent="0.25">
      <c r="A81" s="14"/>
      <c r="B81" s="24"/>
      <c r="C81" s="10"/>
      <c r="D81" s="10"/>
      <c r="E81" s="28"/>
      <c r="F81" s="28"/>
      <c r="G81" s="63"/>
      <c r="H81" s="18"/>
      <c r="I81" s="67"/>
      <c r="K81" s="117"/>
      <c r="Q81"/>
    </row>
    <row r="82" spans="1:17" x14ac:dyDescent="0.25">
      <c r="A82" s="13"/>
      <c r="G82" s="65"/>
      <c r="H82" s="19"/>
      <c r="I82" s="68"/>
      <c r="K82" s="117"/>
      <c r="Q82"/>
    </row>
    <row r="83" spans="1:17" x14ac:dyDescent="0.25">
      <c r="A83" s="14"/>
      <c r="B83" s="24"/>
      <c r="C83" s="10"/>
      <c r="D83" s="10"/>
      <c r="E83" s="28"/>
      <c r="F83" s="28"/>
      <c r="G83" s="63"/>
      <c r="H83" s="18"/>
      <c r="I83" s="67"/>
      <c r="K83" s="117"/>
      <c r="Q83"/>
    </row>
    <row r="84" spans="1:17" x14ac:dyDescent="0.25">
      <c r="A84" s="13"/>
      <c r="G84" s="65"/>
      <c r="H84" s="19"/>
      <c r="I84" s="68"/>
      <c r="K84" s="117"/>
      <c r="Q84"/>
    </row>
    <row r="85" spans="1:17" x14ac:dyDescent="0.25">
      <c r="A85" s="14"/>
      <c r="B85" s="24"/>
      <c r="C85" s="10"/>
      <c r="D85" s="10"/>
      <c r="E85" s="28"/>
      <c r="F85" s="28"/>
      <c r="G85" s="63"/>
      <c r="H85" s="18"/>
      <c r="I85" s="67"/>
      <c r="K85" s="117"/>
      <c r="Q85"/>
    </row>
    <row r="86" spans="1:17" x14ac:dyDescent="0.25">
      <c r="A86" s="13"/>
      <c r="G86" s="65"/>
      <c r="H86" s="19"/>
      <c r="I86" s="68"/>
      <c r="K86" s="117"/>
      <c r="Q86"/>
    </row>
    <row r="87" spans="1:17" x14ac:dyDescent="0.25">
      <c r="A87" s="14"/>
      <c r="B87" s="24"/>
      <c r="C87" s="10"/>
      <c r="D87" s="10"/>
      <c r="E87" s="28"/>
      <c r="F87" s="28"/>
      <c r="G87" s="63"/>
      <c r="H87" s="18"/>
      <c r="I87" s="67"/>
      <c r="K87" s="117"/>
      <c r="Q87"/>
    </row>
    <row r="88" spans="1:17" x14ac:dyDescent="0.25">
      <c r="A88" s="13"/>
      <c r="G88" s="65"/>
      <c r="H88" s="19"/>
      <c r="I88" s="68"/>
      <c r="K88" s="117"/>
      <c r="Q88"/>
    </row>
    <row r="89" spans="1:17" x14ac:dyDescent="0.25">
      <c r="A89" s="14"/>
      <c r="B89" s="24"/>
      <c r="C89" s="10"/>
      <c r="D89" s="10"/>
      <c r="E89" s="28"/>
      <c r="F89" s="28"/>
      <c r="G89" s="63"/>
      <c r="H89" s="18"/>
      <c r="I89" s="67"/>
      <c r="K89" s="117"/>
      <c r="Q89"/>
    </row>
    <row r="90" spans="1:17" x14ac:dyDescent="0.25">
      <c r="A90" s="13"/>
      <c r="G90" s="65"/>
      <c r="H90" s="19"/>
      <c r="I90" s="68"/>
      <c r="K90" s="117"/>
      <c r="Q90"/>
    </row>
    <row r="91" spans="1:17" x14ac:dyDescent="0.25">
      <c r="A91" s="14"/>
      <c r="B91" s="24"/>
      <c r="C91" s="10"/>
      <c r="D91" s="10"/>
      <c r="E91" s="28"/>
      <c r="F91" s="28"/>
      <c r="G91" s="63"/>
      <c r="H91" s="18"/>
      <c r="I91" s="67"/>
      <c r="K91" s="117"/>
      <c r="Q91"/>
    </row>
    <row r="92" spans="1:17" x14ac:dyDescent="0.25">
      <c r="A92" s="13"/>
      <c r="G92" s="65"/>
      <c r="H92" s="19"/>
      <c r="I92" s="68"/>
      <c r="K92" s="117"/>
      <c r="Q92"/>
    </row>
    <row r="93" spans="1:17" x14ac:dyDescent="0.25">
      <c r="A93" s="14"/>
      <c r="B93" s="24"/>
      <c r="C93" s="10"/>
      <c r="D93" s="10"/>
      <c r="E93" s="28"/>
      <c r="F93" s="28"/>
      <c r="G93" s="63"/>
      <c r="H93" s="18"/>
      <c r="I93" s="67"/>
      <c r="K93" s="117"/>
      <c r="Q93"/>
    </row>
    <row r="94" spans="1:17" x14ac:dyDescent="0.25">
      <c r="A94" s="13"/>
      <c r="G94" s="65"/>
      <c r="H94" s="19"/>
      <c r="I94" s="68"/>
      <c r="K94" s="117"/>
      <c r="Q94"/>
    </row>
    <row r="95" spans="1:17" x14ac:dyDescent="0.25">
      <c r="A95" s="14"/>
      <c r="B95" s="24"/>
      <c r="C95" s="10"/>
      <c r="D95" s="10"/>
      <c r="E95" s="28"/>
      <c r="F95" s="28"/>
      <c r="G95" s="63"/>
      <c r="H95" s="18"/>
      <c r="I95" s="67"/>
      <c r="K95" s="117"/>
      <c r="Q95"/>
    </row>
    <row r="96" spans="1:17" x14ac:dyDescent="0.25">
      <c r="A96" s="13"/>
      <c r="G96" s="65"/>
      <c r="H96" s="19"/>
      <c r="I96" s="68"/>
      <c r="K96" s="117"/>
      <c r="Q96"/>
    </row>
    <row r="97" spans="1:17" x14ac:dyDescent="0.25">
      <c r="A97" s="14"/>
      <c r="B97" s="24"/>
      <c r="C97" s="10"/>
      <c r="D97" s="10"/>
      <c r="E97" s="28"/>
      <c r="F97" s="28"/>
      <c r="G97" s="63"/>
      <c r="H97" s="18"/>
      <c r="I97" s="67"/>
      <c r="K97" s="117"/>
      <c r="Q97"/>
    </row>
    <row r="98" spans="1:17" x14ac:dyDescent="0.25">
      <c r="A98" s="13"/>
      <c r="G98" s="65"/>
      <c r="H98" s="19"/>
      <c r="I98" s="68"/>
      <c r="K98" s="117"/>
      <c r="Q98"/>
    </row>
    <row r="99" spans="1:17" x14ac:dyDescent="0.25">
      <c r="A99" s="14"/>
      <c r="B99" s="24"/>
      <c r="C99" s="10"/>
      <c r="D99" s="10"/>
      <c r="E99" s="28"/>
      <c r="F99" s="28"/>
      <c r="G99" s="63"/>
      <c r="H99" s="18"/>
      <c r="I99" s="67"/>
      <c r="K99" s="117"/>
      <c r="Q99"/>
    </row>
    <row r="100" spans="1:17" x14ac:dyDescent="0.25">
      <c r="A100" s="13"/>
      <c r="G100" s="65"/>
      <c r="H100" s="19"/>
      <c r="I100" s="68"/>
      <c r="K100" s="117"/>
      <c r="Q100"/>
    </row>
    <row r="101" spans="1:17" x14ac:dyDescent="0.25">
      <c r="A101" s="14"/>
      <c r="B101" s="24"/>
      <c r="C101" s="10"/>
      <c r="D101" s="10"/>
      <c r="E101" s="28"/>
      <c r="F101" s="28"/>
      <c r="G101" s="63"/>
      <c r="H101" s="18"/>
      <c r="I101" s="67"/>
      <c r="K101" s="117"/>
      <c r="Q101"/>
    </row>
    <row r="102" spans="1:17" x14ac:dyDescent="0.25">
      <c r="A102" s="13"/>
      <c r="G102" s="65"/>
      <c r="H102" s="19"/>
      <c r="I102" s="68"/>
      <c r="K102" s="117"/>
      <c r="Q102"/>
    </row>
    <row r="103" spans="1:17" x14ac:dyDescent="0.25">
      <c r="A103" s="14"/>
      <c r="B103" s="24"/>
      <c r="C103" s="10"/>
      <c r="D103" s="10"/>
      <c r="E103" s="28"/>
      <c r="F103" s="28"/>
      <c r="G103" s="63"/>
      <c r="H103" s="18"/>
      <c r="I103" s="67"/>
      <c r="K103" s="117"/>
      <c r="Q103"/>
    </row>
    <row r="104" spans="1:17" x14ac:dyDescent="0.25">
      <c r="A104" s="13"/>
      <c r="G104" s="65"/>
      <c r="H104" s="19"/>
      <c r="I104" s="68"/>
      <c r="K104" s="117"/>
      <c r="Q104"/>
    </row>
    <row r="105" spans="1:17" x14ac:dyDescent="0.25">
      <c r="A105" s="14"/>
      <c r="B105" s="24"/>
      <c r="C105" s="10"/>
      <c r="D105" s="10"/>
      <c r="E105" s="28"/>
      <c r="F105" s="28"/>
      <c r="G105" s="63"/>
      <c r="H105" s="18"/>
      <c r="I105" s="67"/>
      <c r="K105" s="117"/>
      <c r="Q105"/>
    </row>
    <row r="106" spans="1:17" x14ac:dyDescent="0.25">
      <c r="A106" s="13"/>
      <c r="G106" s="65"/>
      <c r="H106" s="19"/>
      <c r="I106" s="68"/>
      <c r="K106" s="117"/>
      <c r="Q106"/>
    </row>
    <row r="107" spans="1:17" x14ac:dyDescent="0.25">
      <c r="A107" s="14"/>
      <c r="B107" s="24"/>
      <c r="C107" s="10"/>
      <c r="D107" s="10"/>
      <c r="E107" s="28"/>
      <c r="F107" s="28"/>
      <c r="G107" s="63"/>
      <c r="H107" s="18"/>
      <c r="I107" s="67"/>
      <c r="K107" s="117"/>
      <c r="Q107"/>
    </row>
    <row r="108" spans="1:17" x14ac:dyDescent="0.25">
      <c r="A108" s="13"/>
      <c r="G108" s="65"/>
      <c r="H108" s="19"/>
      <c r="I108" s="68"/>
      <c r="K108" s="117"/>
      <c r="Q108"/>
    </row>
    <row r="109" spans="1:17" x14ac:dyDescent="0.25">
      <c r="A109" s="14"/>
      <c r="B109" s="24"/>
      <c r="C109" s="10"/>
      <c r="D109" s="10"/>
      <c r="E109" s="28"/>
      <c r="F109" s="28"/>
      <c r="G109" s="63"/>
      <c r="H109" s="18"/>
      <c r="I109" s="67"/>
      <c r="K109" s="117"/>
      <c r="Q109"/>
    </row>
    <row r="110" spans="1:17" x14ac:dyDescent="0.25">
      <c r="A110" s="13"/>
      <c r="G110" s="65"/>
      <c r="H110" s="19"/>
      <c r="I110" s="68"/>
      <c r="K110" s="117"/>
      <c r="Q110"/>
    </row>
    <row r="111" spans="1:17" x14ac:dyDescent="0.25">
      <c r="A111" s="14"/>
      <c r="B111" s="24"/>
      <c r="C111" s="10"/>
      <c r="D111" s="10"/>
      <c r="E111" s="28"/>
      <c r="F111" s="28"/>
      <c r="G111" s="63"/>
      <c r="H111" s="18"/>
      <c r="I111" s="67"/>
      <c r="K111" s="117"/>
      <c r="Q111"/>
    </row>
    <row r="112" spans="1:17" x14ac:dyDescent="0.25">
      <c r="A112" s="13"/>
      <c r="G112" s="65"/>
      <c r="H112" s="19"/>
      <c r="I112" s="68"/>
      <c r="K112" s="117"/>
      <c r="Q112"/>
    </row>
    <row r="113" spans="1:17" x14ac:dyDescent="0.25">
      <c r="A113" s="14"/>
      <c r="B113" s="24"/>
      <c r="C113" s="10"/>
      <c r="D113" s="10"/>
      <c r="E113" s="28"/>
      <c r="F113" s="28"/>
      <c r="G113" s="63"/>
      <c r="H113" s="18"/>
      <c r="I113" s="67"/>
      <c r="K113" s="117"/>
      <c r="Q113"/>
    </row>
    <row r="114" spans="1:17" x14ac:dyDescent="0.25">
      <c r="A114" s="13"/>
      <c r="G114" s="65"/>
      <c r="H114" s="19"/>
      <c r="I114" s="68"/>
      <c r="K114" s="117"/>
      <c r="Q114"/>
    </row>
    <row r="115" spans="1:17" x14ac:dyDescent="0.25">
      <c r="A115" s="14"/>
      <c r="B115" s="24"/>
      <c r="C115" s="10"/>
      <c r="D115" s="10"/>
      <c r="E115" s="28"/>
      <c r="F115" s="28"/>
      <c r="G115" s="63"/>
      <c r="H115" s="18"/>
      <c r="I115" s="67"/>
      <c r="K115" s="117"/>
      <c r="Q115"/>
    </row>
    <row r="116" spans="1:17" x14ac:dyDescent="0.25">
      <c r="A116" s="13"/>
      <c r="G116" s="65"/>
      <c r="H116" s="19"/>
      <c r="I116" s="68"/>
      <c r="K116" s="117"/>
      <c r="Q116"/>
    </row>
    <row r="117" spans="1:17" x14ac:dyDescent="0.25">
      <c r="A117" s="14"/>
      <c r="B117" s="24"/>
      <c r="C117" s="10"/>
      <c r="D117" s="10"/>
      <c r="E117" s="28"/>
      <c r="F117" s="28"/>
      <c r="G117" s="63"/>
      <c r="H117" s="18"/>
      <c r="I117" s="67"/>
      <c r="K117" s="117"/>
      <c r="Q117"/>
    </row>
    <row r="118" spans="1:17" x14ac:dyDescent="0.25">
      <c r="A118" s="13"/>
      <c r="G118" s="65"/>
      <c r="H118" s="19"/>
      <c r="I118" s="68"/>
      <c r="K118" s="117"/>
      <c r="Q118"/>
    </row>
    <row r="119" spans="1:17" x14ac:dyDescent="0.25">
      <c r="A119" s="14"/>
      <c r="B119" s="24"/>
      <c r="C119" s="10"/>
      <c r="D119" s="10"/>
      <c r="E119" s="28"/>
      <c r="F119" s="28"/>
      <c r="G119" s="63"/>
      <c r="H119" s="18"/>
      <c r="I119" s="67"/>
      <c r="K119" s="117"/>
      <c r="Q119"/>
    </row>
    <row r="120" spans="1:17" x14ac:dyDescent="0.25">
      <c r="A120" s="13"/>
      <c r="G120" s="65"/>
      <c r="H120" s="19"/>
      <c r="I120" s="68"/>
      <c r="K120" s="117"/>
      <c r="Q120"/>
    </row>
    <row r="121" spans="1:17" x14ac:dyDescent="0.25">
      <c r="A121" s="14"/>
      <c r="B121" s="24"/>
      <c r="C121" s="10"/>
      <c r="D121" s="10"/>
      <c r="E121" s="28"/>
      <c r="F121" s="28"/>
      <c r="G121" s="63"/>
      <c r="H121" s="18"/>
      <c r="I121" s="67"/>
      <c r="K121" s="117"/>
      <c r="Q121"/>
    </row>
    <row r="122" spans="1:17" x14ac:dyDescent="0.25">
      <c r="A122" s="13"/>
      <c r="G122" s="65"/>
      <c r="H122" s="19"/>
      <c r="I122" s="68"/>
      <c r="K122" s="117"/>
      <c r="Q122"/>
    </row>
    <row r="123" spans="1:17" x14ac:dyDescent="0.25">
      <c r="A123" s="14"/>
      <c r="B123" s="24"/>
      <c r="C123" s="10"/>
      <c r="D123" s="10"/>
      <c r="E123" s="28"/>
      <c r="F123" s="28"/>
      <c r="G123" s="63"/>
      <c r="H123" s="18"/>
      <c r="I123" s="67"/>
      <c r="K123" s="117"/>
      <c r="Q123"/>
    </row>
    <row r="124" spans="1:17" x14ac:dyDescent="0.25">
      <c r="A124" s="13"/>
      <c r="G124" s="65"/>
      <c r="H124" s="19"/>
      <c r="I124" s="68"/>
      <c r="K124" s="117"/>
      <c r="Q124"/>
    </row>
    <row r="125" spans="1:17" x14ac:dyDescent="0.25">
      <c r="A125" s="14"/>
      <c r="B125" s="24"/>
      <c r="C125" s="10"/>
      <c r="D125" s="10"/>
      <c r="E125" s="28"/>
      <c r="F125" s="28"/>
      <c r="G125" s="63"/>
      <c r="H125" s="18"/>
      <c r="I125" s="67"/>
      <c r="K125" s="117"/>
      <c r="Q125"/>
    </row>
    <row r="126" spans="1:17" x14ac:dyDescent="0.25">
      <c r="A126" s="13"/>
      <c r="G126" s="65"/>
      <c r="H126" s="19"/>
      <c r="I126" s="68"/>
      <c r="K126" s="117"/>
      <c r="Q126"/>
    </row>
    <row r="127" spans="1:17" x14ac:dyDescent="0.25">
      <c r="A127" s="14"/>
      <c r="B127" s="24"/>
      <c r="C127" s="10"/>
      <c r="D127" s="10"/>
      <c r="E127" s="28"/>
      <c r="F127" s="28"/>
      <c r="G127" s="63"/>
      <c r="H127" s="18"/>
      <c r="I127" s="67"/>
      <c r="K127" s="117"/>
      <c r="Q127"/>
    </row>
    <row r="128" spans="1:17" x14ac:dyDescent="0.25">
      <c r="A128" s="13"/>
      <c r="G128" s="65"/>
      <c r="H128" s="19"/>
      <c r="I128" s="68"/>
      <c r="K128" s="117"/>
      <c r="Q128"/>
    </row>
    <row r="129" spans="1:17" x14ac:dyDescent="0.25">
      <c r="A129" s="14"/>
      <c r="B129" s="24"/>
      <c r="C129" s="10"/>
      <c r="D129" s="10"/>
      <c r="E129" s="28"/>
      <c r="F129" s="28"/>
      <c r="G129" s="63"/>
      <c r="H129" s="18"/>
      <c r="I129" s="67"/>
      <c r="K129" s="117"/>
      <c r="Q129"/>
    </row>
    <row r="130" spans="1:17" x14ac:dyDescent="0.25">
      <c r="A130" s="13"/>
      <c r="G130" s="65"/>
      <c r="H130" s="19"/>
      <c r="I130" s="68"/>
      <c r="Q130"/>
    </row>
    <row r="131" spans="1:17" x14ac:dyDescent="0.25">
      <c r="A131" s="14"/>
      <c r="B131" s="24"/>
      <c r="C131" s="10"/>
      <c r="D131" s="10"/>
      <c r="E131" s="28"/>
      <c r="F131" s="28"/>
      <c r="G131" s="63"/>
      <c r="H131" s="18"/>
      <c r="I131" s="67"/>
      <c r="Q131"/>
    </row>
    <row r="132" spans="1:17" x14ac:dyDescent="0.25">
      <c r="A132" s="13"/>
      <c r="G132" s="65"/>
      <c r="H132" s="19"/>
      <c r="I132" s="68"/>
      <c r="Q132"/>
    </row>
    <row r="133" spans="1:17" x14ac:dyDescent="0.25">
      <c r="A133" s="14"/>
      <c r="B133" s="24"/>
      <c r="C133" s="10"/>
      <c r="D133" s="10"/>
      <c r="E133" s="28"/>
      <c r="F133" s="28"/>
      <c r="G133" s="63"/>
      <c r="H133" s="18"/>
      <c r="I133" s="67"/>
      <c r="Q133"/>
    </row>
    <row r="134" spans="1:17" x14ac:dyDescent="0.25">
      <c r="A134" s="13"/>
      <c r="G134" s="65"/>
      <c r="H134" s="19"/>
      <c r="I134" s="68"/>
      <c r="Q134"/>
    </row>
    <row r="135" spans="1:17" x14ac:dyDescent="0.25">
      <c r="A135" s="14"/>
      <c r="B135" s="24"/>
      <c r="C135" s="10"/>
      <c r="D135" s="10"/>
      <c r="E135" s="28"/>
      <c r="F135" s="28"/>
      <c r="G135" s="63"/>
      <c r="H135" s="18"/>
      <c r="I135" s="67"/>
      <c r="Q135"/>
    </row>
    <row r="136" spans="1:17" x14ac:dyDescent="0.25">
      <c r="A136" s="13"/>
      <c r="G136" s="65"/>
      <c r="H136" s="19"/>
      <c r="I136" s="68"/>
      <c r="Q136"/>
    </row>
    <row r="137" spans="1:17" x14ac:dyDescent="0.25">
      <c r="A137" s="14"/>
      <c r="B137" s="24"/>
      <c r="C137" s="10"/>
      <c r="D137" s="10"/>
      <c r="E137" s="28"/>
      <c r="F137" s="28"/>
      <c r="G137" s="63"/>
      <c r="H137" s="18"/>
      <c r="I137" s="67"/>
      <c r="Q137"/>
    </row>
    <row r="138" spans="1:17" x14ac:dyDescent="0.25">
      <c r="A138" s="13"/>
      <c r="G138" s="65"/>
      <c r="H138" s="19"/>
      <c r="I138" s="68"/>
      <c r="Q138"/>
    </row>
    <row r="139" spans="1:17" x14ac:dyDescent="0.25">
      <c r="A139" s="14"/>
      <c r="B139" s="24"/>
      <c r="C139" s="10"/>
      <c r="D139" s="10"/>
      <c r="E139" s="28"/>
      <c r="F139" s="28"/>
      <c r="G139" s="63"/>
      <c r="H139" s="18"/>
      <c r="I139" s="67"/>
      <c r="Q139"/>
    </row>
    <row r="140" spans="1:17" x14ac:dyDescent="0.25">
      <c r="A140" s="13"/>
      <c r="G140" s="65"/>
      <c r="H140" s="19"/>
      <c r="I140" s="68"/>
      <c r="Q140"/>
    </row>
    <row r="141" spans="1:17" x14ac:dyDescent="0.25">
      <c r="A141" s="14"/>
      <c r="B141" s="24"/>
      <c r="C141" s="10"/>
      <c r="D141" s="10"/>
      <c r="E141" s="28"/>
      <c r="F141" s="28"/>
      <c r="G141" s="63"/>
      <c r="H141" s="18"/>
      <c r="I141" s="67"/>
      <c r="Q141"/>
    </row>
    <row r="142" spans="1:17" x14ac:dyDescent="0.25">
      <c r="A142" s="13"/>
      <c r="G142" s="65"/>
      <c r="H142" s="19"/>
      <c r="I142" s="68"/>
      <c r="Q142"/>
    </row>
    <row r="143" spans="1:17" x14ac:dyDescent="0.25">
      <c r="A143" s="14"/>
      <c r="B143" s="24"/>
      <c r="C143" s="10"/>
      <c r="D143" s="10"/>
      <c r="E143" s="28"/>
      <c r="F143" s="28"/>
      <c r="G143" s="63"/>
      <c r="H143" s="18"/>
      <c r="I143" s="67"/>
      <c r="Q143"/>
    </row>
    <row r="144" spans="1:17" x14ac:dyDescent="0.25">
      <c r="A144" s="13"/>
      <c r="G144" s="65"/>
      <c r="H144" s="19"/>
      <c r="I144" s="68"/>
      <c r="Q144"/>
    </row>
    <row r="145" spans="1:17" x14ac:dyDescent="0.25">
      <c r="A145" s="14"/>
      <c r="B145" s="24"/>
      <c r="C145" s="10"/>
      <c r="D145" s="10"/>
      <c r="E145" s="28"/>
      <c r="F145" s="28"/>
      <c r="G145" s="63"/>
      <c r="H145" s="18"/>
      <c r="I145" s="67"/>
      <c r="Q145"/>
    </row>
    <row r="146" spans="1:17" x14ac:dyDescent="0.25">
      <c r="A146" s="13"/>
      <c r="G146" s="65"/>
      <c r="H146" s="19"/>
      <c r="I146" s="68"/>
      <c r="Q146"/>
    </row>
    <row r="147" spans="1:17" x14ac:dyDescent="0.25">
      <c r="A147" s="14"/>
      <c r="B147" s="24"/>
      <c r="C147" s="10"/>
      <c r="D147" s="10"/>
      <c r="E147" s="28"/>
      <c r="F147" s="28"/>
      <c r="G147" s="63"/>
      <c r="H147" s="18"/>
      <c r="I147" s="67"/>
      <c r="Q147"/>
    </row>
    <row r="148" spans="1:17" x14ac:dyDescent="0.25">
      <c r="A148" s="13"/>
      <c r="G148" s="65"/>
      <c r="H148" s="19"/>
      <c r="I148" s="68"/>
      <c r="Q148"/>
    </row>
    <row r="149" spans="1:17" x14ac:dyDescent="0.25">
      <c r="A149" s="14"/>
      <c r="B149" s="24"/>
      <c r="C149" s="10"/>
      <c r="D149" s="10"/>
      <c r="E149" s="28"/>
      <c r="F149" s="28"/>
      <c r="G149" s="63"/>
      <c r="H149" s="18"/>
      <c r="I149" s="67"/>
      <c r="Q149"/>
    </row>
    <row r="150" spans="1:17" x14ac:dyDescent="0.25">
      <c r="A150" s="13"/>
      <c r="G150" s="65"/>
      <c r="H150" s="19"/>
      <c r="I150" s="68"/>
      <c r="Q150"/>
    </row>
    <row r="151" spans="1:17" x14ac:dyDescent="0.25">
      <c r="A151" s="14"/>
      <c r="B151" s="24"/>
      <c r="C151" s="10"/>
      <c r="D151" s="10"/>
      <c r="E151" s="28"/>
      <c r="F151" s="28"/>
      <c r="G151" s="63"/>
      <c r="H151" s="18"/>
      <c r="I151" s="67"/>
      <c r="Q151"/>
    </row>
    <row r="152" spans="1:17" x14ac:dyDescent="0.25">
      <c r="A152" s="13"/>
      <c r="G152" s="65"/>
      <c r="H152" s="19"/>
      <c r="I152" s="68"/>
      <c r="Q152"/>
    </row>
    <row r="153" spans="1:17" x14ac:dyDescent="0.25">
      <c r="A153" s="14"/>
      <c r="B153" s="24"/>
      <c r="C153" s="10"/>
      <c r="D153" s="10"/>
      <c r="E153" s="28"/>
      <c r="F153" s="28"/>
      <c r="G153" s="63"/>
      <c r="H153" s="18"/>
      <c r="I153" s="67"/>
      <c r="Q153"/>
    </row>
    <row r="154" spans="1:17" x14ac:dyDescent="0.25">
      <c r="A154" s="13"/>
      <c r="G154" s="65"/>
      <c r="H154" s="19"/>
      <c r="I154" s="68"/>
      <c r="Q154"/>
    </row>
    <row r="155" spans="1:17" x14ac:dyDescent="0.25">
      <c r="A155" s="14"/>
      <c r="B155" s="24"/>
      <c r="C155" s="10"/>
      <c r="D155" s="10"/>
      <c r="E155" s="28"/>
      <c r="F155" s="28"/>
      <c r="G155" s="63"/>
      <c r="H155" s="18"/>
      <c r="I155" s="67"/>
      <c r="Q155"/>
    </row>
    <row r="156" spans="1:17" x14ac:dyDescent="0.25">
      <c r="A156" s="13"/>
      <c r="G156" s="65"/>
      <c r="H156" s="19"/>
      <c r="I156" s="68"/>
      <c r="Q156"/>
    </row>
    <row r="157" spans="1:17" x14ac:dyDescent="0.25">
      <c r="A157" s="14"/>
      <c r="B157" s="24"/>
      <c r="C157" s="10"/>
      <c r="D157" s="10"/>
      <c r="E157" s="28"/>
      <c r="F157" s="28"/>
      <c r="G157" s="63"/>
      <c r="H157" s="18"/>
      <c r="I157" s="67"/>
      <c r="Q157"/>
    </row>
    <row r="158" spans="1:17" x14ac:dyDescent="0.25">
      <c r="A158" s="13"/>
      <c r="G158" s="65"/>
      <c r="H158" s="19"/>
      <c r="I158" s="68"/>
      <c r="Q158"/>
    </row>
    <row r="159" spans="1:17" x14ac:dyDescent="0.25">
      <c r="A159" s="14"/>
      <c r="B159" s="24"/>
      <c r="C159" s="10"/>
      <c r="D159" s="10"/>
      <c r="E159" s="28"/>
      <c r="F159" s="28"/>
      <c r="G159" s="63"/>
      <c r="H159" s="18"/>
      <c r="I159" s="67"/>
      <c r="Q159"/>
    </row>
    <row r="160" spans="1:17" x14ac:dyDescent="0.25">
      <c r="A160" s="13"/>
      <c r="G160" s="65"/>
      <c r="H160" s="19"/>
      <c r="I160" s="68"/>
      <c r="Q160"/>
    </row>
    <row r="161" spans="1:17" x14ac:dyDescent="0.25">
      <c r="A161" s="14"/>
      <c r="B161" s="24"/>
      <c r="C161" s="10"/>
      <c r="D161" s="10"/>
      <c r="E161" s="28"/>
      <c r="F161" s="28"/>
      <c r="G161" s="63"/>
      <c r="H161" s="18"/>
      <c r="I161" s="67"/>
      <c r="Q161"/>
    </row>
    <row r="162" spans="1:17" x14ac:dyDescent="0.25">
      <c r="A162" s="13"/>
      <c r="G162" s="65"/>
      <c r="H162" s="19"/>
      <c r="I162" s="68"/>
      <c r="Q162"/>
    </row>
    <row r="163" spans="1:17" x14ac:dyDescent="0.25">
      <c r="A163" s="14"/>
      <c r="B163" s="24"/>
      <c r="C163" s="10"/>
      <c r="D163" s="10"/>
      <c r="E163" s="28"/>
      <c r="F163" s="28"/>
      <c r="G163" s="63"/>
      <c r="H163" s="18"/>
      <c r="I163" s="67"/>
      <c r="Q163"/>
    </row>
    <row r="164" spans="1:17" x14ac:dyDescent="0.25">
      <c r="A164" s="13"/>
      <c r="G164" s="65"/>
      <c r="H164" s="19"/>
      <c r="I164" s="68"/>
      <c r="Q164"/>
    </row>
    <row r="165" spans="1:17" x14ac:dyDescent="0.25">
      <c r="A165" s="14"/>
      <c r="B165" s="24"/>
      <c r="C165" s="10"/>
      <c r="D165" s="10"/>
      <c r="E165" s="28"/>
      <c r="F165" s="28"/>
      <c r="G165" s="63"/>
      <c r="H165" s="18"/>
      <c r="I165" s="67"/>
      <c r="Q165"/>
    </row>
    <row r="166" spans="1:17" x14ac:dyDescent="0.25">
      <c r="A166" s="13"/>
      <c r="G166" s="65"/>
      <c r="H166" s="19"/>
      <c r="I166" s="68"/>
      <c r="Q166"/>
    </row>
    <row r="167" spans="1:17" x14ac:dyDescent="0.25">
      <c r="A167" s="14"/>
      <c r="B167" s="24"/>
      <c r="C167" s="10"/>
      <c r="D167" s="10"/>
      <c r="E167" s="28"/>
      <c r="F167" s="28"/>
      <c r="G167" s="63"/>
      <c r="H167" s="18"/>
      <c r="I167" s="67"/>
      <c r="Q167"/>
    </row>
    <row r="168" spans="1:17" x14ac:dyDescent="0.25">
      <c r="A168" s="13"/>
      <c r="G168" s="65"/>
      <c r="H168" s="19"/>
      <c r="I168" s="68"/>
      <c r="Q168"/>
    </row>
    <row r="169" spans="1:17" x14ac:dyDescent="0.25">
      <c r="A169" s="14"/>
      <c r="B169" s="24"/>
      <c r="C169" s="10"/>
      <c r="D169" s="10"/>
      <c r="E169" s="28"/>
      <c r="F169" s="28"/>
      <c r="G169" s="63"/>
      <c r="H169" s="18"/>
      <c r="I169" s="67"/>
      <c r="Q169"/>
    </row>
    <row r="170" spans="1:17" x14ac:dyDescent="0.25">
      <c r="A170" s="13"/>
      <c r="G170" s="65"/>
      <c r="H170" s="19"/>
      <c r="I170" s="68"/>
      <c r="Q170"/>
    </row>
    <row r="171" spans="1:17" x14ac:dyDescent="0.25">
      <c r="A171" s="14"/>
      <c r="B171" s="24"/>
      <c r="C171" s="10"/>
      <c r="D171" s="10"/>
      <c r="E171" s="28"/>
      <c r="F171" s="28"/>
      <c r="G171" s="63"/>
      <c r="H171" s="18"/>
      <c r="I171" s="67"/>
      <c r="Q171"/>
    </row>
    <row r="172" spans="1:17" x14ac:dyDescent="0.25">
      <c r="A172" s="13"/>
      <c r="G172" s="65"/>
      <c r="H172" s="19"/>
      <c r="I172" s="68"/>
      <c r="Q172"/>
    </row>
    <row r="173" spans="1:17" x14ac:dyDescent="0.25">
      <c r="A173" s="14"/>
      <c r="B173" s="24"/>
      <c r="C173" s="10"/>
      <c r="D173" s="10"/>
      <c r="E173" s="28"/>
      <c r="F173" s="28"/>
      <c r="G173" s="63"/>
      <c r="H173" s="18"/>
      <c r="I173" s="67"/>
      <c r="Q173"/>
    </row>
    <row r="174" spans="1:17" x14ac:dyDescent="0.25">
      <c r="A174" s="13"/>
      <c r="G174" s="65"/>
      <c r="H174" s="19"/>
      <c r="I174" s="68"/>
      <c r="Q174"/>
    </row>
    <row r="175" spans="1:17" x14ac:dyDescent="0.25">
      <c r="A175" s="14"/>
      <c r="B175" s="24"/>
      <c r="C175" s="10"/>
      <c r="D175" s="10"/>
      <c r="E175" s="28"/>
      <c r="F175" s="28"/>
      <c r="G175" s="63"/>
      <c r="H175" s="18"/>
      <c r="I175" s="67"/>
      <c r="Q175"/>
    </row>
    <row r="176" spans="1:17" x14ac:dyDescent="0.25">
      <c r="A176" s="13"/>
      <c r="G176" s="65"/>
      <c r="H176" s="19"/>
      <c r="I176" s="68"/>
      <c r="Q176"/>
    </row>
    <row r="177" spans="1:17" x14ac:dyDescent="0.25">
      <c r="A177" s="14"/>
      <c r="B177" s="24"/>
      <c r="C177" s="10"/>
      <c r="D177" s="10"/>
      <c r="E177" s="28"/>
      <c r="F177" s="28"/>
      <c r="G177" s="63"/>
      <c r="H177" s="18"/>
      <c r="I177" s="67"/>
      <c r="Q177"/>
    </row>
    <row r="178" spans="1:17" x14ac:dyDescent="0.25">
      <c r="A178" s="13"/>
      <c r="G178" s="65"/>
      <c r="H178" s="19"/>
      <c r="I178" s="68"/>
      <c r="Q178"/>
    </row>
    <row r="179" spans="1:17" x14ac:dyDescent="0.25">
      <c r="A179" s="14"/>
      <c r="B179" s="24"/>
      <c r="C179" s="10"/>
      <c r="D179" s="10"/>
      <c r="E179" s="28"/>
      <c r="F179" s="28"/>
      <c r="G179" s="63"/>
      <c r="H179" s="18"/>
      <c r="I179" s="67"/>
      <c r="Q179"/>
    </row>
    <row r="180" spans="1:17" x14ac:dyDescent="0.25">
      <c r="A180" s="13"/>
      <c r="G180" s="65"/>
      <c r="H180" s="19"/>
      <c r="I180" s="68"/>
      <c r="Q180"/>
    </row>
    <row r="181" spans="1:17" x14ac:dyDescent="0.25">
      <c r="A181" s="14"/>
      <c r="B181" s="24"/>
      <c r="C181" s="10"/>
      <c r="D181" s="10"/>
      <c r="E181" s="28"/>
      <c r="F181" s="28"/>
      <c r="G181" s="63"/>
      <c r="H181" s="18"/>
      <c r="I181" s="67"/>
      <c r="Q181"/>
    </row>
    <row r="182" spans="1:17" x14ac:dyDescent="0.25">
      <c r="A182" s="13"/>
      <c r="G182" s="65"/>
      <c r="H182" s="19"/>
      <c r="I182" s="68"/>
      <c r="Q182"/>
    </row>
    <row r="183" spans="1:17" x14ac:dyDescent="0.25">
      <c r="A183" s="14"/>
      <c r="B183" s="24"/>
      <c r="C183" s="10"/>
      <c r="D183" s="10"/>
      <c r="E183" s="28"/>
      <c r="F183" s="28"/>
      <c r="G183" s="63"/>
      <c r="H183" s="18"/>
      <c r="I183" s="67"/>
      <c r="Q183"/>
    </row>
    <row r="184" spans="1:17" x14ac:dyDescent="0.25">
      <c r="A184" s="13"/>
      <c r="G184" s="65"/>
      <c r="H184" s="19"/>
      <c r="I184" s="68"/>
      <c r="Q184"/>
    </row>
    <row r="185" spans="1:17" x14ac:dyDescent="0.25">
      <c r="A185" s="14"/>
      <c r="B185" s="24"/>
      <c r="C185" s="10"/>
      <c r="D185" s="10"/>
      <c r="E185" s="28"/>
      <c r="F185" s="28"/>
      <c r="G185" s="63"/>
      <c r="H185" s="18"/>
      <c r="I185" s="67"/>
      <c r="Q185"/>
    </row>
    <row r="186" spans="1:17" x14ac:dyDescent="0.25">
      <c r="A186" s="13"/>
      <c r="G186" s="65"/>
      <c r="H186" s="19"/>
      <c r="I186" s="68"/>
      <c r="Q186"/>
    </row>
    <row r="187" spans="1:17" x14ac:dyDescent="0.25">
      <c r="A187" s="14"/>
      <c r="B187" s="24"/>
      <c r="C187" s="10"/>
      <c r="D187" s="10"/>
      <c r="E187" s="28"/>
      <c r="F187" s="28"/>
      <c r="G187" s="63"/>
      <c r="H187" s="18"/>
      <c r="I187" s="67"/>
      <c r="Q187"/>
    </row>
    <row r="188" spans="1:17" x14ac:dyDescent="0.25">
      <c r="A188" s="13"/>
      <c r="G188" s="65"/>
      <c r="H188" s="19"/>
      <c r="I188" s="68"/>
      <c r="Q188"/>
    </row>
    <row r="189" spans="1:17" x14ac:dyDescent="0.25">
      <c r="A189" s="14"/>
      <c r="B189" s="24"/>
      <c r="C189" s="10"/>
      <c r="D189" s="10"/>
      <c r="E189" s="28"/>
      <c r="F189" s="28"/>
      <c r="G189" s="63"/>
      <c r="H189" s="18"/>
      <c r="I189" s="67"/>
      <c r="Q189"/>
    </row>
    <row r="190" spans="1:17" x14ac:dyDescent="0.25">
      <c r="A190" s="13"/>
      <c r="G190" s="65"/>
      <c r="H190" s="19"/>
      <c r="I190" s="68"/>
      <c r="Q190"/>
    </row>
    <row r="191" spans="1:17" x14ac:dyDescent="0.25">
      <c r="A191" s="14"/>
      <c r="B191" s="24"/>
      <c r="C191" s="10"/>
      <c r="D191" s="10"/>
      <c r="E191" s="28"/>
      <c r="F191" s="28"/>
      <c r="G191" s="63"/>
      <c r="H191" s="18"/>
      <c r="I191" s="67"/>
      <c r="Q191"/>
    </row>
    <row r="192" spans="1:17" x14ac:dyDescent="0.25">
      <c r="A192" s="13"/>
      <c r="G192" s="65"/>
      <c r="H192" s="19"/>
      <c r="I192" s="68"/>
      <c r="Q192"/>
    </row>
    <row r="193" spans="1:9" x14ac:dyDescent="0.25">
      <c r="A193" s="14"/>
      <c r="B193" s="24"/>
      <c r="C193" s="10"/>
      <c r="D193" s="10"/>
      <c r="E193" s="28"/>
      <c r="F193" s="28"/>
      <c r="G193" s="63"/>
      <c r="H193" s="18"/>
      <c r="I193" s="67"/>
    </row>
    <row r="194" spans="1:9" x14ac:dyDescent="0.25">
      <c r="A194" s="13"/>
      <c r="G194" s="65"/>
      <c r="H194" s="19"/>
      <c r="I194" s="68"/>
    </row>
    <row r="195" spans="1:9" x14ac:dyDescent="0.25">
      <c r="A195" s="14"/>
      <c r="B195" s="24"/>
      <c r="C195" s="10"/>
      <c r="D195" s="10"/>
      <c r="E195" s="28"/>
      <c r="F195" s="28"/>
      <c r="G195" s="63"/>
      <c r="H195" s="18"/>
      <c r="I195" s="67"/>
    </row>
    <row r="196" spans="1:9" x14ac:dyDescent="0.25">
      <c r="A196" s="13"/>
      <c r="G196" s="65"/>
      <c r="H196" s="19"/>
      <c r="I196" s="68"/>
    </row>
    <row r="197" spans="1:9" x14ac:dyDescent="0.25">
      <c r="A197" s="14"/>
      <c r="B197" s="24"/>
      <c r="C197" s="10"/>
      <c r="D197" s="10"/>
      <c r="E197" s="28"/>
      <c r="F197" s="28"/>
      <c r="G197" s="63"/>
      <c r="H197" s="18"/>
      <c r="I197" s="67"/>
    </row>
    <row r="198" spans="1:9" x14ac:dyDescent="0.25">
      <c r="A198" s="13"/>
      <c r="G198" s="65"/>
      <c r="H198" s="19"/>
      <c r="I198" s="68"/>
    </row>
    <row r="199" spans="1:9" x14ac:dyDescent="0.25">
      <c r="A199" s="14"/>
      <c r="B199" s="24"/>
      <c r="C199" s="10"/>
      <c r="D199" s="10"/>
      <c r="E199" s="28"/>
      <c r="F199" s="28"/>
      <c r="G199" s="63"/>
      <c r="H199" s="18"/>
      <c r="I199" s="67"/>
    </row>
    <row r="200" spans="1:9" x14ac:dyDescent="0.25">
      <c r="A200" s="13"/>
      <c r="G200" s="65"/>
      <c r="H200" s="19"/>
      <c r="I200" s="68"/>
    </row>
    <row r="201" spans="1:9" x14ac:dyDescent="0.25">
      <c r="A201" s="14"/>
      <c r="B201" s="24"/>
      <c r="C201" s="10"/>
      <c r="D201" s="10"/>
      <c r="E201" s="28"/>
      <c r="F201" s="28"/>
      <c r="G201" s="63"/>
      <c r="H201" s="18"/>
      <c r="I201" s="67"/>
    </row>
    <row r="202" spans="1:9" x14ac:dyDescent="0.25">
      <c r="A202" s="13"/>
      <c r="G202" s="65"/>
      <c r="H202" s="19"/>
      <c r="I202" s="68"/>
    </row>
    <row r="203" spans="1:9" x14ac:dyDescent="0.25">
      <c r="A203" s="14"/>
      <c r="B203" s="24"/>
      <c r="C203" s="10"/>
      <c r="D203" s="10"/>
      <c r="E203" s="28"/>
      <c r="F203" s="28"/>
      <c r="G203" s="63"/>
      <c r="H203" s="18"/>
      <c r="I203" s="67"/>
    </row>
    <row r="204" spans="1:9" x14ac:dyDescent="0.25">
      <c r="A204" s="13"/>
      <c r="G204" s="65"/>
      <c r="H204" s="19"/>
      <c r="I204" s="68"/>
    </row>
    <row r="205" spans="1:9" x14ac:dyDescent="0.25">
      <c r="A205" s="14"/>
      <c r="B205" s="24"/>
      <c r="C205" s="10"/>
      <c r="D205" s="10"/>
      <c r="E205" s="28"/>
      <c r="F205" s="28"/>
      <c r="G205" s="63"/>
      <c r="H205" s="18"/>
      <c r="I205" s="67"/>
    </row>
    <row r="206" spans="1:9" x14ac:dyDescent="0.25">
      <c r="A206" s="13"/>
      <c r="G206" s="65"/>
      <c r="H206" s="19"/>
      <c r="I206" s="68"/>
    </row>
    <row r="207" spans="1:9" x14ac:dyDescent="0.25">
      <c r="A207" s="14"/>
      <c r="B207" s="24"/>
      <c r="C207" s="10"/>
      <c r="D207" s="10"/>
      <c r="E207" s="28"/>
      <c r="F207" s="28"/>
      <c r="G207" s="63"/>
      <c r="H207" s="18"/>
      <c r="I207" s="67"/>
    </row>
    <row r="208" spans="1:9" x14ac:dyDescent="0.25">
      <c r="A208" s="13"/>
      <c r="G208" s="65"/>
      <c r="H208" s="19"/>
      <c r="I208" s="68"/>
    </row>
    <row r="209" spans="1:9" x14ac:dyDescent="0.25">
      <c r="A209" s="14"/>
      <c r="B209" s="24"/>
      <c r="C209" s="10"/>
      <c r="D209" s="10"/>
      <c r="E209" s="28"/>
      <c r="F209" s="28"/>
      <c r="G209" s="63"/>
      <c r="H209" s="18"/>
      <c r="I209" s="67"/>
    </row>
    <row r="210" spans="1:9" x14ac:dyDescent="0.25">
      <c r="A210" s="13"/>
      <c r="G210" s="65"/>
      <c r="H210" s="19"/>
      <c r="I210" s="68"/>
    </row>
    <row r="211" spans="1:9" x14ac:dyDescent="0.25">
      <c r="A211" s="14"/>
      <c r="B211" s="24"/>
      <c r="C211" s="10"/>
      <c r="D211" s="10"/>
      <c r="E211" s="28"/>
      <c r="F211" s="28"/>
      <c r="G211" s="63"/>
      <c r="H211" s="18"/>
      <c r="I211" s="67"/>
    </row>
    <row r="212" spans="1:9" x14ac:dyDescent="0.25">
      <c r="A212" s="13"/>
      <c r="G212" s="65"/>
      <c r="H212" s="19"/>
      <c r="I212" s="68"/>
    </row>
    <row r="213" spans="1:9" x14ac:dyDescent="0.25">
      <c r="A213" s="14"/>
      <c r="B213" s="24"/>
      <c r="C213" s="10"/>
      <c r="D213" s="10"/>
      <c r="E213" s="28"/>
      <c r="F213" s="28"/>
      <c r="G213" s="63"/>
      <c r="H213" s="18"/>
      <c r="I213" s="67"/>
    </row>
    <row r="214" spans="1:9" x14ac:dyDescent="0.25">
      <c r="A214" s="13"/>
      <c r="G214" s="65"/>
      <c r="H214" s="19"/>
      <c r="I214" s="68"/>
    </row>
    <row r="215" spans="1:9" x14ac:dyDescent="0.25">
      <c r="A215" s="14"/>
      <c r="B215" s="24"/>
      <c r="C215" s="10"/>
      <c r="D215" s="10"/>
      <c r="E215" s="28"/>
      <c r="F215" s="28"/>
      <c r="G215" s="63"/>
      <c r="H215" s="18"/>
      <c r="I215" s="67"/>
    </row>
    <row r="216" spans="1:9" x14ac:dyDescent="0.25">
      <c r="A216" s="13"/>
      <c r="G216" s="65"/>
      <c r="H216" s="19"/>
      <c r="I216" s="68"/>
    </row>
    <row r="217" spans="1:9" x14ac:dyDescent="0.25">
      <c r="A217" s="14"/>
      <c r="B217" s="24"/>
      <c r="C217" s="10"/>
      <c r="D217" s="10"/>
      <c r="E217" s="28"/>
      <c r="F217" s="28"/>
      <c r="G217" s="63"/>
      <c r="H217" s="18"/>
      <c r="I217" s="67"/>
    </row>
    <row r="218" spans="1:9" x14ac:dyDescent="0.25">
      <c r="A218" s="13"/>
      <c r="G218" s="65"/>
      <c r="H218" s="19"/>
      <c r="I218" s="68"/>
    </row>
    <row r="219" spans="1:9" x14ac:dyDescent="0.25">
      <c r="A219" s="14"/>
      <c r="B219" s="24"/>
      <c r="C219" s="10"/>
      <c r="D219" s="10"/>
      <c r="E219" s="28"/>
      <c r="F219" s="28"/>
      <c r="G219" s="63"/>
      <c r="H219" s="18"/>
      <c r="I219" s="67"/>
    </row>
    <row r="220" spans="1:9" x14ac:dyDescent="0.25">
      <c r="A220" s="13"/>
      <c r="G220" s="65"/>
      <c r="H220" s="19"/>
      <c r="I220" s="68"/>
    </row>
    <row r="221" spans="1:9" x14ac:dyDescent="0.25">
      <c r="A221" s="14"/>
      <c r="B221" s="24"/>
      <c r="C221" s="10"/>
      <c r="D221" s="10"/>
      <c r="E221" s="28"/>
      <c r="F221" s="28"/>
      <c r="G221" s="63"/>
      <c r="H221" s="18"/>
      <c r="I221" s="67"/>
    </row>
    <row r="222" spans="1:9" x14ac:dyDescent="0.25">
      <c r="A222" s="13"/>
      <c r="G222" s="65"/>
      <c r="H222" s="19"/>
      <c r="I222" s="68"/>
    </row>
    <row r="223" spans="1:9" x14ac:dyDescent="0.25">
      <c r="A223" s="14"/>
      <c r="B223" s="24"/>
      <c r="C223" s="10"/>
      <c r="D223" s="10"/>
      <c r="E223" s="28"/>
      <c r="F223" s="28"/>
      <c r="G223" s="63"/>
      <c r="H223" s="18"/>
      <c r="I223" s="67"/>
    </row>
    <row r="224" spans="1:9" x14ac:dyDescent="0.25">
      <c r="A224" s="13"/>
      <c r="G224" s="65"/>
      <c r="H224" s="19"/>
      <c r="I224" s="68"/>
    </row>
    <row r="225" spans="1:9" x14ac:dyDescent="0.25">
      <c r="A225" s="14"/>
      <c r="B225" s="24"/>
      <c r="C225" s="10"/>
      <c r="D225" s="10"/>
      <c r="E225" s="28"/>
      <c r="F225" s="28"/>
      <c r="G225" s="63"/>
      <c r="H225" s="18"/>
      <c r="I225" s="67"/>
    </row>
    <row r="226" spans="1:9" x14ac:dyDescent="0.25">
      <c r="A226" s="13"/>
      <c r="G226" s="65"/>
      <c r="H226" s="19"/>
      <c r="I226" s="68"/>
    </row>
    <row r="227" spans="1:9" x14ac:dyDescent="0.25">
      <c r="A227" s="14"/>
      <c r="B227" s="24"/>
      <c r="C227" s="10"/>
      <c r="D227" s="10"/>
      <c r="E227" s="28"/>
      <c r="F227" s="28"/>
      <c r="G227" s="63"/>
      <c r="H227" s="18"/>
      <c r="I227" s="67"/>
    </row>
    <row r="228" spans="1:9" x14ac:dyDescent="0.25">
      <c r="A228" s="13"/>
      <c r="G228" s="65"/>
      <c r="H228" s="19"/>
      <c r="I228" s="68"/>
    </row>
    <row r="229" spans="1:9" x14ac:dyDescent="0.25">
      <c r="A229" s="14"/>
      <c r="B229" s="24"/>
      <c r="C229" s="10"/>
      <c r="D229" s="10"/>
      <c r="E229" s="28"/>
      <c r="F229" s="28"/>
      <c r="G229" s="63"/>
      <c r="H229" s="18"/>
      <c r="I229" s="67"/>
    </row>
    <row r="230" spans="1:9" x14ac:dyDescent="0.25">
      <c r="A230" s="13"/>
      <c r="G230" s="65"/>
      <c r="H230" s="19"/>
      <c r="I230" s="68"/>
    </row>
    <row r="231" spans="1:9" x14ac:dyDescent="0.25">
      <c r="A231" s="14"/>
      <c r="B231" s="24"/>
      <c r="C231" s="10"/>
      <c r="D231" s="10"/>
      <c r="E231" s="28"/>
      <c r="F231" s="28"/>
      <c r="G231" s="63"/>
      <c r="H231" s="18"/>
      <c r="I231" s="67"/>
    </row>
    <row r="232" spans="1:9" x14ac:dyDescent="0.25">
      <c r="A232" s="13"/>
      <c r="G232" s="65"/>
      <c r="H232" s="19"/>
      <c r="I232" s="68"/>
    </row>
    <row r="233" spans="1:9" x14ac:dyDescent="0.25">
      <c r="A233" s="14"/>
      <c r="B233" s="24"/>
      <c r="C233" s="10"/>
      <c r="D233" s="10"/>
      <c r="E233" s="28"/>
      <c r="F233" s="28"/>
      <c r="G233" s="63"/>
      <c r="H233" s="18"/>
      <c r="I233" s="67"/>
    </row>
    <row r="234" spans="1:9" x14ac:dyDescent="0.25">
      <c r="A234" s="13"/>
      <c r="G234" s="65"/>
      <c r="H234" s="19"/>
      <c r="I234" s="68"/>
    </row>
    <row r="235" spans="1:9" x14ac:dyDescent="0.25">
      <c r="A235" s="14"/>
      <c r="B235" s="24"/>
      <c r="C235" s="10"/>
      <c r="D235" s="10"/>
      <c r="E235" s="28"/>
      <c r="F235" s="28"/>
      <c r="G235" s="63"/>
      <c r="H235" s="18"/>
      <c r="I235" s="67"/>
    </row>
    <row r="236" spans="1:9" x14ac:dyDescent="0.25">
      <c r="A236" s="13"/>
      <c r="G236" s="65"/>
      <c r="H236" s="19"/>
      <c r="I236" s="68"/>
    </row>
    <row r="237" spans="1:9" x14ac:dyDescent="0.25">
      <c r="A237" s="14"/>
      <c r="B237" s="24"/>
      <c r="C237" s="10"/>
      <c r="D237" s="10"/>
      <c r="E237" s="28"/>
      <c r="F237" s="28"/>
      <c r="G237" s="63"/>
      <c r="H237" s="18"/>
      <c r="I237" s="67"/>
    </row>
    <row r="238" spans="1:9" x14ac:dyDescent="0.25">
      <c r="A238" s="13"/>
      <c r="G238" s="65"/>
      <c r="H238" s="19"/>
      <c r="I238" s="68"/>
    </row>
    <row r="239" spans="1:9" x14ac:dyDescent="0.25">
      <c r="A239" s="14"/>
      <c r="B239" s="24"/>
      <c r="C239" s="10"/>
      <c r="D239" s="10"/>
      <c r="E239" s="28"/>
      <c r="F239" s="28"/>
      <c r="G239" s="63"/>
      <c r="H239" s="18"/>
      <c r="I239" s="67"/>
    </row>
    <row r="240" spans="1:9" x14ac:dyDescent="0.25">
      <c r="A240" s="13"/>
      <c r="G240" s="65"/>
      <c r="H240" s="19"/>
      <c r="I240" s="68"/>
    </row>
    <row r="241" spans="1:9" x14ac:dyDescent="0.25">
      <c r="A241" s="14"/>
      <c r="B241" s="24"/>
      <c r="C241" s="10"/>
      <c r="D241" s="10"/>
      <c r="E241" s="28"/>
      <c r="F241" s="28"/>
      <c r="G241" s="63"/>
      <c r="H241" s="18"/>
      <c r="I241" s="67"/>
    </row>
    <row r="242" spans="1:9" x14ac:dyDescent="0.25">
      <c r="A242" s="13"/>
      <c r="G242" s="65"/>
      <c r="H242" s="19"/>
      <c r="I242" s="68"/>
    </row>
    <row r="243" spans="1:9" x14ac:dyDescent="0.25">
      <c r="A243" s="14"/>
      <c r="B243" s="24"/>
      <c r="C243" s="10"/>
      <c r="D243" s="10"/>
      <c r="E243" s="28"/>
      <c r="F243" s="28"/>
      <c r="G243" s="63"/>
      <c r="H243" s="18"/>
      <c r="I243" s="67"/>
    </row>
    <row r="244" spans="1:9" x14ac:dyDescent="0.25">
      <c r="A244" s="13"/>
      <c r="G244" s="65"/>
      <c r="H244" s="19"/>
      <c r="I244" s="68"/>
    </row>
    <row r="245" spans="1:9" x14ac:dyDescent="0.25">
      <c r="A245" s="14"/>
      <c r="B245" s="24"/>
      <c r="C245" s="10"/>
      <c r="D245" s="10"/>
      <c r="E245" s="28"/>
      <c r="F245" s="28"/>
      <c r="G245" s="63"/>
      <c r="H245" s="18"/>
      <c r="I245" s="67"/>
    </row>
    <row r="246" spans="1:9" x14ac:dyDescent="0.25">
      <c r="A246" s="13"/>
      <c r="G246" s="65"/>
      <c r="H246" s="19"/>
      <c r="I246" s="68"/>
    </row>
    <row r="247" spans="1:9" x14ac:dyDescent="0.25">
      <c r="A247" s="14"/>
      <c r="B247" s="24"/>
      <c r="C247" s="10"/>
      <c r="D247" s="10"/>
      <c r="E247" s="28"/>
      <c r="F247" s="28"/>
      <c r="G247" s="63"/>
      <c r="H247" s="18"/>
      <c r="I247" s="67"/>
    </row>
    <row r="248" spans="1:9" x14ac:dyDescent="0.25">
      <c r="A248" s="13"/>
      <c r="G248" s="65"/>
      <c r="H248" s="19"/>
      <c r="I248" s="68"/>
    </row>
    <row r="249" spans="1:9" x14ac:dyDescent="0.25">
      <c r="A249" s="14"/>
      <c r="B249" s="24"/>
      <c r="C249" s="10"/>
      <c r="D249" s="10"/>
      <c r="E249" s="28"/>
      <c r="F249" s="28"/>
      <c r="G249" s="63"/>
      <c r="H249" s="18"/>
      <c r="I249" s="67"/>
    </row>
    <row r="250" spans="1:9" x14ac:dyDescent="0.25">
      <c r="A250" s="13"/>
      <c r="G250" s="65"/>
      <c r="H250" s="19"/>
      <c r="I250" s="68"/>
    </row>
    <row r="251" spans="1:9" x14ac:dyDescent="0.25">
      <c r="A251" s="14"/>
      <c r="B251" s="24"/>
      <c r="C251" s="10"/>
      <c r="D251" s="10"/>
      <c r="E251" s="28"/>
      <c r="F251" s="28"/>
      <c r="G251" s="63"/>
      <c r="H251" s="18"/>
      <c r="I251" s="67"/>
    </row>
    <row r="252" spans="1:9" x14ac:dyDescent="0.25">
      <c r="A252" s="13"/>
      <c r="G252" s="65"/>
      <c r="H252" s="19"/>
      <c r="I252" s="68"/>
    </row>
    <row r="253" spans="1:9" x14ac:dyDescent="0.25">
      <c r="A253" s="14"/>
      <c r="B253" s="24"/>
      <c r="C253" s="10"/>
      <c r="D253" s="10"/>
      <c r="E253" s="28"/>
      <c r="F253" s="28"/>
      <c r="G253" s="63"/>
      <c r="H253" s="18"/>
      <c r="I253" s="67"/>
    </row>
    <row r="254" spans="1:9" x14ac:dyDescent="0.25">
      <c r="A254" s="13"/>
      <c r="G254" s="65"/>
      <c r="H254" s="19"/>
      <c r="I254" s="68"/>
    </row>
    <row r="255" spans="1:9" x14ac:dyDescent="0.25">
      <c r="A255" s="14"/>
      <c r="B255" s="24"/>
      <c r="C255" s="10"/>
      <c r="D255" s="10"/>
      <c r="E255" s="28"/>
      <c r="F255" s="28"/>
      <c r="G255" s="63"/>
      <c r="H255" s="18"/>
      <c r="I255" s="67"/>
    </row>
    <row r="256" spans="1:9" x14ac:dyDescent="0.25">
      <c r="A256" s="13"/>
      <c r="G256" s="65"/>
      <c r="H256" s="19"/>
      <c r="I256" s="68"/>
    </row>
    <row r="257" spans="1:9" x14ac:dyDescent="0.25">
      <c r="A257" s="14"/>
      <c r="B257" s="24"/>
      <c r="C257" s="10"/>
      <c r="D257" s="10"/>
      <c r="E257" s="28"/>
      <c r="F257" s="28"/>
      <c r="G257" s="63"/>
      <c r="H257" s="18"/>
      <c r="I257" s="67"/>
    </row>
    <row r="258" spans="1:9" x14ac:dyDescent="0.25">
      <c r="A258" s="13"/>
      <c r="G258" s="65"/>
      <c r="H258" s="19"/>
      <c r="I258" s="68"/>
    </row>
    <row r="259" spans="1:9" x14ac:dyDescent="0.25">
      <c r="A259" s="14"/>
      <c r="B259" s="24"/>
      <c r="C259" s="10"/>
      <c r="D259" s="10"/>
      <c r="E259" s="28"/>
      <c r="F259" s="28"/>
      <c r="G259" s="63"/>
      <c r="H259" s="18"/>
      <c r="I259" s="67"/>
    </row>
    <row r="260" spans="1:9" x14ac:dyDescent="0.25">
      <c r="A260" s="13"/>
      <c r="G260" s="65"/>
      <c r="H260" s="19"/>
      <c r="I260" s="68"/>
    </row>
    <row r="261" spans="1:9" x14ac:dyDescent="0.25">
      <c r="A261" s="14"/>
      <c r="B261" s="24"/>
      <c r="C261" s="10"/>
      <c r="D261" s="10"/>
      <c r="E261" s="28"/>
      <c r="F261" s="28"/>
      <c r="G261" s="63"/>
      <c r="H261" s="18"/>
      <c r="I261" s="67"/>
    </row>
    <row r="262" spans="1:9" x14ac:dyDescent="0.25">
      <c r="A262" s="13"/>
      <c r="G262" s="65"/>
      <c r="H262" s="19"/>
      <c r="I262" s="68"/>
    </row>
    <row r="263" spans="1:9" x14ac:dyDescent="0.25">
      <c r="A263" s="14"/>
      <c r="B263" s="24"/>
      <c r="C263" s="10"/>
      <c r="D263" s="10"/>
      <c r="E263" s="28"/>
      <c r="F263" s="28"/>
      <c r="G263" s="63"/>
      <c r="H263" s="18"/>
      <c r="I263" s="67"/>
    </row>
    <row r="264" spans="1:9" x14ac:dyDescent="0.25">
      <c r="A264" s="13"/>
      <c r="G264" s="65"/>
      <c r="H264" s="19"/>
      <c r="I264" s="68"/>
    </row>
    <row r="265" spans="1:9" x14ac:dyDescent="0.25">
      <c r="A265" s="14"/>
      <c r="B265" s="24"/>
      <c r="C265" s="10"/>
      <c r="D265" s="10"/>
      <c r="E265" s="28"/>
      <c r="F265" s="28"/>
      <c r="G265" s="63"/>
      <c r="H265" s="18"/>
      <c r="I265" s="67"/>
    </row>
    <row r="266" spans="1:9" x14ac:dyDescent="0.25">
      <c r="A266" s="13"/>
      <c r="G266" s="65"/>
      <c r="H266" s="19"/>
      <c r="I266" s="68"/>
    </row>
    <row r="267" spans="1:9" x14ac:dyDescent="0.25">
      <c r="A267" s="14"/>
      <c r="B267" s="24"/>
      <c r="C267" s="10"/>
      <c r="D267" s="10"/>
      <c r="E267" s="28"/>
      <c r="F267" s="28"/>
      <c r="G267" s="63"/>
      <c r="H267" s="18"/>
      <c r="I267" s="67"/>
    </row>
    <row r="268" spans="1:9" x14ac:dyDescent="0.25">
      <c r="A268" s="13"/>
      <c r="G268" s="65"/>
      <c r="H268" s="19"/>
      <c r="I268" s="68"/>
    </row>
    <row r="269" spans="1:9" x14ac:dyDescent="0.25">
      <c r="A269" s="14"/>
      <c r="B269" s="24"/>
      <c r="C269" s="10"/>
      <c r="D269" s="10"/>
      <c r="E269" s="28"/>
      <c r="F269" s="28"/>
      <c r="G269" s="63"/>
      <c r="H269" s="18"/>
      <c r="I269" s="67"/>
    </row>
    <row r="270" spans="1:9" x14ac:dyDescent="0.25">
      <c r="A270" s="13"/>
      <c r="G270" s="65"/>
      <c r="H270" s="19"/>
      <c r="I270" s="68"/>
    </row>
    <row r="271" spans="1:9" x14ac:dyDescent="0.25">
      <c r="A271" s="14"/>
      <c r="B271" s="24"/>
      <c r="C271" s="10"/>
      <c r="D271" s="10"/>
      <c r="E271" s="28"/>
      <c r="F271" s="28"/>
      <c r="G271" s="63"/>
      <c r="H271" s="18"/>
      <c r="I271" s="67"/>
    </row>
    <row r="272" spans="1:9" x14ac:dyDescent="0.25">
      <c r="A272" s="13"/>
      <c r="G272" s="65"/>
      <c r="H272" s="19"/>
      <c r="I272" s="68"/>
    </row>
    <row r="273" spans="1:9" x14ac:dyDescent="0.25">
      <c r="A273" s="14"/>
      <c r="B273" s="24"/>
      <c r="C273" s="10"/>
      <c r="D273" s="10"/>
      <c r="E273" s="28"/>
      <c r="F273" s="28"/>
      <c r="G273" s="63"/>
      <c r="H273" s="18"/>
      <c r="I273" s="67"/>
    </row>
    <row r="274" spans="1:9" x14ac:dyDescent="0.25">
      <c r="A274" s="13"/>
      <c r="G274" s="65"/>
      <c r="H274" s="19"/>
      <c r="I274" s="68"/>
    </row>
    <row r="275" spans="1:9" x14ac:dyDescent="0.25">
      <c r="A275" s="14"/>
      <c r="B275" s="24"/>
      <c r="C275" s="10"/>
      <c r="D275" s="10"/>
      <c r="E275" s="28"/>
      <c r="F275" s="28"/>
      <c r="G275" s="63"/>
      <c r="H275" s="18"/>
      <c r="I275" s="67"/>
    </row>
    <row r="276" spans="1:9" x14ac:dyDescent="0.25">
      <c r="A276" s="13"/>
      <c r="G276" s="65"/>
      <c r="H276" s="19"/>
      <c r="I276" s="68"/>
    </row>
    <row r="277" spans="1:9" x14ac:dyDescent="0.25">
      <c r="A277" s="14"/>
      <c r="B277" s="24"/>
      <c r="C277" s="10"/>
      <c r="D277" s="10"/>
      <c r="E277" s="28"/>
      <c r="F277" s="28"/>
      <c r="G277" s="63"/>
      <c r="H277" s="18"/>
      <c r="I277" s="67"/>
    </row>
    <row r="278" spans="1:9" x14ac:dyDescent="0.25">
      <c r="A278" s="13"/>
      <c r="G278" s="65"/>
      <c r="H278" s="19"/>
      <c r="I278" s="68"/>
    </row>
    <row r="279" spans="1:9" x14ac:dyDescent="0.25">
      <c r="A279" s="14"/>
      <c r="B279" s="24"/>
      <c r="C279" s="10"/>
      <c r="D279" s="10"/>
      <c r="E279" s="28"/>
      <c r="F279" s="28"/>
      <c r="G279" s="63"/>
      <c r="H279" s="18"/>
      <c r="I279" s="67"/>
    </row>
    <row r="280" spans="1:9" x14ac:dyDescent="0.25">
      <c r="A280" s="13"/>
      <c r="G280" s="65"/>
      <c r="H280" s="19"/>
      <c r="I280" s="68"/>
    </row>
    <row r="281" spans="1:9" x14ac:dyDescent="0.25">
      <c r="A281" s="14"/>
      <c r="B281" s="24"/>
      <c r="C281" s="10"/>
      <c r="D281" s="10"/>
      <c r="E281" s="28"/>
      <c r="F281" s="28"/>
      <c r="G281" s="63"/>
      <c r="H281" s="18"/>
      <c r="I281" s="67"/>
    </row>
    <row r="282" spans="1:9" x14ac:dyDescent="0.25">
      <c r="A282" s="13"/>
      <c r="G282" s="65"/>
      <c r="H282" s="19"/>
      <c r="I282" s="68"/>
    </row>
    <row r="283" spans="1:9" x14ac:dyDescent="0.25">
      <c r="A283" s="14"/>
      <c r="B283" s="24"/>
      <c r="C283" s="10"/>
      <c r="D283" s="10"/>
      <c r="E283" s="28"/>
      <c r="F283" s="28"/>
      <c r="G283" s="63"/>
      <c r="H283" s="18"/>
      <c r="I283" s="67"/>
    </row>
    <row r="284" spans="1:9" x14ac:dyDescent="0.25">
      <c r="A284" s="13"/>
      <c r="G284" s="65"/>
      <c r="H284" s="19"/>
      <c r="I284" s="68"/>
    </row>
    <row r="285" spans="1:9" x14ac:dyDescent="0.25">
      <c r="A285" s="14"/>
      <c r="B285" s="24"/>
      <c r="C285" s="10"/>
      <c r="D285" s="10"/>
      <c r="E285" s="28"/>
      <c r="F285" s="28"/>
      <c r="G285" s="63"/>
      <c r="H285" s="18"/>
      <c r="I285" s="67"/>
    </row>
    <row r="286" spans="1:9" x14ac:dyDescent="0.25">
      <c r="A286" s="13"/>
      <c r="G286" s="65"/>
      <c r="H286" s="19"/>
      <c r="I286" s="68"/>
    </row>
    <row r="287" spans="1:9" x14ac:dyDescent="0.25">
      <c r="A287" s="14"/>
      <c r="B287" s="24"/>
      <c r="C287" s="10"/>
      <c r="D287" s="10"/>
      <c r="E287" s="28"/>
      <c r="F287" s="28"/>
      <c r="G287" s="63"/>
      <c r="H287" s="18"/>
      <c r="I287" s="67"/>
    </row>
    <row r="288" spans="1:9" x14ac:dyDescent="0.25">
      <c r="A288" s="13"/>
      <c r="G288" s="65"/>
      <c r="H288" s="19"/>
      <c r="I288" s="68"/>
    </row>
    <row r="289" spans="1:9" x14ac:dyDescent="0.25">
      <c r="A289" s="14"/>
      <c r="B289" s="24"/>
      <c r="C289" s="10"/>
      <c r="D289" s="10"/>
      <c r="E289" s="28"/>
      <c r="F289" s="28"/>
      <c r="G289" s="63"/>
      <c r="H289" s="18"/>
      <c r="I289" s="67"/>
    </row>
    <row r="290" spans="1:9" x14ac:dyDescent="0.25">
      <c r="A290" s="13"/>
      <c r="G290" s="65"/>
      <c r="H290" s="19"/>
      <c r="I290" s="68"/>
    </row>
    <row r="291" spans="1:9" x14ac:dyDescent="0.25">
      <c r="A291" s="14"/>
      <c r="B291" s="24"/>
      <c r="C291" s="10"/>
      <c r="D291" s="10"/>
      <c r="E291" s="28"/>
      <c r="F291" s="28"/>
      <c r="G291" s="63"/>
      <c r="H291" s="18"/>
      <c r="I291" s="67"/>
    </row>
    <row r="292" spans="1:9" x14ac:dyDescent="0.25">
      <c r="A292" s="13"/>
      <c r="G292" s="65"/>
      <c r="H292" s="19"/>
      <c r="I292" s="68"/>
    </row>
    <row r="293" spans="1:9" x14ac:dyDescent="0.25">
      <c r="A293" s="14"/>
      <c r="B293" s="24"/>
      <c r="C293" s="10"/>
      <c r="D293" s="10"/>
      <c r="E293" s="28"/>
      <c r="F293" s="28"/>
      <c r="G293" s="63"/>
      <c r="H293" s="18"/>
      <c r="I293" s="67"/>
    </row>
    <row r="294" spans="1:9" x14ac:dyDescent="0.25">
      <c r="A294" s="13"/>
      <c r="G294" s="65"/>
      <c r="H294" s="19"/>
      <c r="I294" s="68"/>
    </row>
    <row r="295" spans="1:9" x14ac:dyDescent="0.25">
      <c r="A295" s="14"/>
      <c r="B295" s="24"/>
      <c r="C295" s="10"/>
      <c r="D295" s="10"/>
      <c r="E295" s="28"/>
      <c r="F295" s="28"/>
      <c r="G295" s="63"/>
      <c r="H295" s="18"/>
      <c r="I295" s="67"/>
    </row>
    <row r="296" spans="1:9" x14ac:dyDescent="0.25">
      <c r="A296" s="13"/>
      <c r="G296" s="65"/>
      <c r="H296" s="19"/>
      <c r="I296" s="68"/>
    </row>
    <row r="297" spans="1:9" x14ac:dyDescent="0.25">
      <c r="A297" s="14"/>
      <c r="B297" s="24"/>
      <c r="C297" s="10"/>
      <c r="D297" s="10"/>
      <c r="E297" s="28"/>
      <c r="F297" s="28"/>
      <c r="G297" s="63"/>
      <c r="H297" s="18"/>
      <c r="I297" s="67"/>
    </row>
    <row r="298" spans="1:9" x14ac:dyDescent="0.25">
      <c r="A298" s="13"/>
      <c r="G298" s="65"/>
      <c r="H298" s="19"/>
      <c r="I298" s="68"/>
    </row>
    <row r="299" spans="1:9" x14ac:dyDescent="0.25">
      <c r="A299" s="14"/>
      <c r="B299" s="24"/>
      <c r="C299" s="10"/>
      <c r="D299" s="10"/>
      <c r="E299" s="28"/>
      <c r="F299" s="28"/>
      <c r="G299" s="63"/>
      <c r="H299" s="18"/>
      <c r="I299" s="67"/>
    </row>
    <row r="300" spans="1:9" x14ac:dyDescent="0.25">
      <c r="A300" s="13"/>
      <c r="G300" s="65"/>
      <c r="H300" s="19"/>
      <c r="I300" s="68"/>
    </row>
    <row r="301" spans="1:9" x14ac:dyDescent="0.25">
      <c r="A301" s="14"/>
      <c r="B301" s="24"/>
      <c r="C301" s="10"/>
      <c r="D301" s="10"/>
      <c r="E301" s="28"/>
      <c r="F301" s="28"/>
      <c r="G301" s="63"/>
      <c r="H301" s="18"/>
      <c r="I301" s="67"/>
    </row>
    <row r="302" spans="1:9" x14ac:dyDescent="0.25">
      <c r="A302" s="13"/>
      <c r="G302" s="65"/>
      <c r="H302" s="19"/>
      <c r="I302" s="68"/>
    </row>
    <row r="303" spans="1:9" x14ac:dyDescent="0.25">
      <c r="A303" s="14"/>
      <c r="B303" s="24"/>
      <c r="C303" s="10"/>
      <c r="D303" s="10"/>
      <c r="E303" s="28"/>
      <c r="F303" s="28"/>
      <c r="G303" s="63"/>
      <c r="H303" s="18"/>
      <c r="I303" s="67"/>
    </row>
    <row r="304" spans="1:9" x14ac:dyDescent="0.25">
      <c r="A304" s="13"/>
      <c r="G304" s="65"/>
      <c r="H304" s="19"/>
      <c r="I304" s="68"/>
    </row>
    <row r="305" spans="1:9" x14ac:dyDescent="0.25">
      <c r="A305" s="14"/>
      <c r="B305" s="24"/>
      <c r="C305" s="10"/>
      <c r="D305" s="10"/>
      <c r="E305" s="28"/>
      <c r="F305" s="28"/>
      <c r="G305" s="63"/>
      <c r="H305" s="18"/>
      <c r="I305" s="67"/>
    </row>
    <row r="306" spans="1:9" x14ac:dyDescent="0.25">
      <c r="A306" s="13"/>
      <c r="G306" s="65"/>
      <c r="H306" s="19"/>
      <c r="I306" s="68"/>
    </row>
    <row r="307" spans="1:9" x14ac:dyDescent="0.25">
      <c r="A307" s="14"/>
      <c r="B307" s="24"/>
      <c r="C307" s="10"/>
      <c r="D307" s="10"/>
      <c r="E307" s="28"/>
      <c r="F307" s="28"/>
      <c r="G307" s="63"/>
      <c r="H307" s="18"/>
      <c r="I307" s="67"/>
    </row>
    <row r="308" spans="1:9" x14ac:dyDescent="0.25">
      <c r="A308" s="13"/>
      <c r="G308" s="65"/>
      <c r="H308" s="19"/>
      <c r="I308" s="68"/>
    </row>
    <row r="309" spans="1:9" x14ac:dyDescent="0.25">
      <c r="A309" s="14"/>
      <c r="B309" s="24"/>
      <c r="C309" s="10"/>
      <c r="D309" s="10"/>
      <c r="E309" s="28"/>
      <c r="F309" s="28"/>
      <c r="G309" s="63"/>
      <c r="H309" s="18"/>
      <c r="I309" s="67"/>
    </row>
    <row r="310" spans="1:9" x14ac:dyDescent="0.25">
      <c r="A310" s="13"/>
      <c r="G310" s="65"/>
      <c r="H310" s="19"/>
      <c r="I310" s="68"/>
    </row>
    <row r="311" spans="1:9" x14ac:dyDescent="0.25">
      <c r="A311" s="14"/>
      <c r="B311" s="24"/>
      <c r="C311" s="10"/>
      <c r="D311" s="10"/>
      <c r="E311" s="28"/>
      <c r="F311" s="28"/>
      <c r="G311" s="63"/>
      <c r="H311" s="18"/>
      <c r="I311" s="67"/>
    </row>
    <row r="312" spans="1:9" x14ac:dyDescent="0.25">
      <c r="A312" s="13"/>
      <c r="G312" s="65"/>
      <c r="H312" s="19"/>
      <c r="I312" s="68"/>
    </row>
    <row r="313" spans="1:9" x14ac:dyDescent="0.25">
      <c r="A313" s="14"/>
      <c r="B313" s="24"/>
      <c r="C313" s="10"/>
      <c r="D313" s="10"/>
      <c r="E313" s="28"/>
      <c r="F313" s="28"/>
      <c r="G313" s="63"/>
      <c r="H313" s="18"/>
      <c r="I313" s="67"/>
    </row>
    <row r="314" spans="1:9" x14ac:dyDescent="0.25">
      <c r="A314" s="13"/>
      <c r="G314" s="65"/>
      <c r="H314" s="19"/>
      <c r="I314" s="68"/>
    </row>
    <row r="315" spans="1:9" x14ac:dyDescent="0.25">
      <c r="A315" s="14"/>
      <c r="B315" s="24"/>
      <c r="C315" s="10"/>
      <c r="D315" s="10"/>
      <c r="E315" s="28"/>
      <c r="F315" s="28"/>
      <c r="G315" s="63"/>
      <c r="H315" s="18"/>
      <c r="I315" s="67"/>
    </row>
    <row r="316" spans="1:9" x14ac:dyDescent="0.25">
      <c r="A316" s="13"/>
      <c r="G316" s="65"/>
      <c r="H316" s="19"/>
      <c r="I316" s="68"/>
    </row>
    <row r="317" spans="1:9" x14ac:dyDescent="0.25">
      <c r="A317" s="14"/>
      <c r="B317" s="24"/>
      <c r="C317" s="10"/>
      <c r="D317" s="10"/>
      <c r="E317" s="28"/>
      <c r="F317" s="28"/>
      <c r="G317" s="63"/>
      <c r="H317" s="18"/>
      <c r="I317" s="67"/>
    </row>
    <row r="318" spans="1:9" x14ac:dyDescent="0.25">
      <c r="A318" s="13"/>
      <c r="G318" s="65"/>
      <c r="H318" s="19"/>
      <c r="I318" s="68"/>
    </row>
    <row r="319" spans="1:9" x14ac:dyDescent="0.25">
      <c r="A319" s="14"/>
      <c r="B319" s="24"/>
      <c r="C319" s="10"/>
      <c r="D319" s="10"/>
      <c r="E319" s="28"/>
      <c r="F319" s="28"/>
      <c r="G319" s="63"/>
      <c r="H319" s="18"/>
      <c r="I319" s="67"/>
    </row>
    <row r="320" spans="1:9" x14ac:dyDescent="0.25">
      <c r="A320" s="13"/>
      <c r="G320" s="65"/>
      <c r="H320" s="19"/>
      <c r="I320" s="68"/>
    </row>
    <row r="321" spans="1:9" x14ac:dyDescent="0.25">
      <c r="A321" s="14"/>
      <c r="B321" s="24"/>
      <c r="C321" s="10"/>
      <c r="D321" s="10"/>
      <c r="E321" s="28"/>
      <c r="F321" s="28"/>
      <c r="G321" s="63"/>
      <c r="H321" s="18"/>
      <c r="I321" s="67"/>
    </row>
    <row r="322" spans="1:9" x14ac:dyDescent="0.25">
      <c r="A322" s="13"/>
      <c r="G322" s="65"/>
      <c r="H322" s="19"/>
      <c r="I322" s="68"/>
    </row>
    <row r="323" spans="1:9" x14ac:dyDescent="0.25">
      <c r="A323" s="14"/>
      <c r="B323" s="24"/>
      <c r="C323" s="10"/>
      <c r="D323" s="10"/>
      <c r="E323" s="28"/>
      <c r="F323" s="28"/>
      <c r="G323" s="63"/>
      <c r="H323" s="18"/>
      <c r="I323" s="67"/>
    </row>
    <row r="324" spans="1:9" x14ac:dyDescent="0.25">
      <c r="A324" s="13"/>
      <c r="G324" s="65"/>
      <c r="H324" s="19"/>
      <c r="I324" s="68"/>
    </row>
    <row r="325" spans="1:9" x14ac:dyDescent="0.25">
      <c r="A325" s="14"/>
      <c r="B325" s="24"/>
      <c r="C325" s="10"/>
      <c r="D325" s="10"/>
      <c r="E325" s="28"/>
      <c r="F325" s="28"/>
      <c r="G325" s="63"/>
      <c r="H325" s="18"/>
      <c r="I325" s="67"/>
    </row>
    <row r="326" spans="1:9" x14ac:dyDescent="0.25">
      <c r="A326" s="13"/>
      <c r="G326" s="65"/>
      <c r="H326" s="19"/>
      <c r="I326" s="68"/>
    </row>
    <row r="327" spans="1:9" x14ac:dyDescent="0.25">
      <c r="A327" s="14"/>
      <c r="B327" s="24"/>
      <c r="C327" s="10"/>
      <c r="D327" s="10"/>
      <c r="E327" s="28"/>
      <c r="F327" s="28"/>
      <c r="G327" s="63"/>
      <c r="H327" s="18"/>
      <c r="I327" s="67"/>
    </row>
    <row r="328" spans="1:9" x14ac:dyDescent="0.25">
      <c r="A328" s="13"/>
      <c r="G328" s="65"/>
      <c r="H328" s="19"/>
      <c r="I328" s="68"/>
    </row>
    <row r="329" spans="1:9" x14ac:dyDescent="0.25">
      <c r="A329" s="14"/>
      <c r="B329" s="24"/>
      <c r="C329" s="10"/>
      <c r="D329" s="10"/>
      <c r="E329" s="28"/>
      <c r="F329" s="28"/>
      <c r="G329" s="63"/>
      <c r="H329" s="18"/>
      <c r="I329" s="67"/>
    </row>
    <row r="330" spans="1:9" x14ac:dyDescent="0.25">
      <c r="A330" s="13"/>
      <c r="G330" s="65"/>
      <c r="H330" s="19"/>
      <c r="I330" s="68"/>
    </row>
    <row r="331" spans="1:9" x14ac:dyDescent="0.25">
      <c r="A331" s="14"/>
      <c r="B331" s="24"/>
      <c r="C331" s="10"/>
      <c r="D331" s="10"/>
      <c r="E331" s="28"/>
      <c r="F331" s="28"/>
      <c r="G331" s="63"/>
      <c r="H331" s="18"/>
      <c r="I331" s="67"/>
    </row>
    <row r="332" spans="1:9" x14ac:dyDescent="0.25">
      <c r="A332" s="13"/>
      <c r="G332" s="65"/>
      <c r="H332" s="19"/>
      <c r="I332" s="68"/>
    </row>
    <row r="333" spans="1:9" x14ac:dyDescent="0.25">
      <c r="A333" s="14"/>
      <c r="B333" s="24"/>
      <c r="C333" s="10"/>
      <c r="D333" s="10"/>
      <c r="E333" s="28"/>
      <c r="F333" s="28"/>
      <c r="G333" s="63"/>
      <c r="H333" s="18"/>
      <c r="I333" s="67"/>
    </row>
    <row r="334" spans="1:9" x14ac:dyDescent="0.25">
      <c r="A334" s="13"/>
      <c r="G334" s="65"/>
      <c r="H334" s="19"/>
      <c r="I334" s="68"/>
    </row>
    <row r="335" spans="1:9" x14ac:dyDescent="0.25">
      <c r="A335" s="14"/>
      <c r="B335" s="24"/>
      <c r="C335" s="10"/>
      <c r="D335" s="10"/>
      <c r="E335" s="28"/>
      <c r="F335" s="28"/>
      <c r="G335" s="63"/>
      <c r="H335" s="18"/>
      <c r="I335" s="67"/>
    </row>
    <row r="336" spans="1:9" x14ac:dyDescent="0.25">
      <c r="A336" s="13"/>
      <c r="G336" s="65"/>
      <c r="H336" s="19"/>
      <c r="I336" s="68"/>
    </row>
    <row r="337" spans="1:9" x14ac:dyDescent="0.25">
      <c r="A337" s="14"/>
      <c r="B337" s="24"/>
      <c r="C337" s="10"/>
      <c r="D337" s="10"/>
      <c r="E337" s="28"/>
      <c r="F337" s="28"/>
      <c r="G337" s="63"/>
      <c r="H337" s="18"/>
      <c r="I337" s="67"/>
    </row>
    <row r="338" spans="1:9" x14ac:dyDescent="0.25">
      <c r="A338" s="13"/>
      <c r="G338" s="65"/>
      <c r="H338" s="19"/>
      <c r="I338" s="68"/>
    </row>
    <row r="339" spans="1:9" x14ac:dyDescent="0.25">
      <c r="A339" s="14"/>
      <c r="B339" s="24"/>
      <c r="C339" s="10"/>
      <c r="D339" s="10"/>
      <c r="E339" s="28"/>
      <c r="F339" s="28"/>
      <c r="G339" s="63"/>
      <c r="H339" s="18"/>
      <c r="I339" s="67"/>
    </row>
    <row r="340" spans="1:9" x14ac:dyDescent="0.25">
      <c r="A340" s="13"/>
      <c r="G340" s="65"/>
      <c r="H340" s="19"/>
      <c r="I340" s="68"/>
    </row>
    <row r="341" spans="1:9" x14ac:dyDescent="0.25">
      <c r="A341" s="14"/>
      <c r="B341" s="24"/>
      <c r="C341" s="10"/>
      <c r="D341" s="10"/>
      <c r="E341" s="28"/>
      <c r="F341" s="28"/>
      <c r="G341" s="63"/>
      <c r="H341" s="18"/>
      <c r="I341" s="67"/>
    </row>
    <row r="342" spans="1:9" x14ac:dyDescent="0.25">
      <c r="A342" s="13"/>
      <c r="G342" s="65"/>
      <c r="H342" s="19"/>
      <c r="I342" s="68"/>
    </row>
    <row r="343" spans="1:9" x14ac:dyDescent="0.25">
      <c r="A343" s="14"/>
      <c r="B343" s="24"/>
      <c r="C343" s="10"/>
      <c r="D343" s="10"/>
      <c r="E343" s="28"/>
      <c r="F343" s="28"/>
      <c r="G343" s="63"/>
      <c r="H343" s="18"/>
      <c r="I343" s="67"/>
    </row>
    <row r="344" spans="1:9" x14ac:dyDescent="0.25">
      <c r="A344" s="13"/>
      <c r="G344" s="65"/>
      <c r="H344" s="19"/>
      <c r="I344" s="68"/>
    </row>
    <row r="345" spans="1:9" x14ac:dyDescent="0.25">
      <c r="A345" s="14"/>
      <c r="B345" s="24"/>
      <c r="C345" s="10"/>
      <c r="D345" s="10"/>
      <c r="E345" s="28"/>
      <c r="F345" s="28"/>
      <c r="G345" s="63"/>
      <c r="H345" s="18"/>
      <c r="I345" s="67"/>
    </row>
    <row r="346" spans="1:9" x14ac:dyDescent="0.25">
      <c r="A346" s="13"/>
      <c r="G346" s="65"/>
      <c r="H346" s="19"/>
      <c r="I346" s="68"/>
    </row>
    <row r="347" spans="1:9" x14ac:dyDescent="0.25">
      <c r="A347" s="14"/>
      <c r="B347" s="24"/>
      <c r="C347" s="10"/>
      <c r="D347" s="10"/>
      <c r="E347" s="28"/>
      <c r="F347" s="28"/>
      <c r="G347" s="63"/>
      <c r="H347" s="18"/>
      <c r="I347" s="67"/>
    </row>
    <row r="348" spans="1:9" x14ac:dyDescent="0.25">
      <c r="A348" s="13"/>
      <c r="G348" s="65"/>
      <c r="H348" s="19"/>
      <c r="I348" s="68"/>
    </row>
    <row r="349" spans="1:9" x14ac:dyDescent="0.25">
      <c r="A349" s="14"/>
      <c r="B349" s="24"/>
      <c r="C349" s="10"/>
      <c r="D349" s="10"/>
      <c r="E349" s="28"/>
      <c r="F349" s="28"/>
      <c r="G349" s="63"/>
      <c r="H349" s="18"/>
      <c r="I349" s="67"/>
    </row>
    <row r="350" spans="1:9" x14ac:dyDescent="0.25">
      <c r="A350" s="13"/>
      <c r="G350" s="65"/>
      <c r="H350" s="19"/>
      <c r="I350" s="68"/>
    </row>
    <row r="351" spans="1:9" x14ac:dyDescent="0.25">
      <c r="A351" s="14"/>
      <c r="B351" s="24"/>
      <c r="C351" s="10"/>
      <c r="D351" s="10"/>
      <c r="E351" s="28"/>
      <c r="F351" s="28"/>
      <c r="G351" s="63"/>
      <c r="H351" s="18"/>
      <c r="I351" s="67"/>
    </row>
    <row r="352" spans="1:9" x14ac:dyDescent="0.25">
      <c r="A352" s="13"/>
      <c r="G352" s="65"/>
      <c r="H352" s="19"/>
      <c r="I352" s="68"/>
    </row>
    <row r="353" spans="1:9" x14ac:dyDescent="0.25">
      <c r="A353" s="14"/>
      <c r="B353" s="24"/>
      <c r="C353" s="10"/>
      <c r="D353" s="10"/>
      <c r="E353" s="28"/>
      <c r="F353" s="28"/>
      <c r="G353" s="63"/>
      <c r="H353" s="18"/>
      <c r="I353" s="67"/>
    </row>
    <row r="354" spans="1:9" x14ac:dyDescent="0.25">
      <c r="A354" s="13"/>
      <c r="G354" s="65"/>
      <c r="H354" s="19"/>
      <c r="I354" s="68"/>
    </row>
    <row r="355" spans="1:9" x14ac:dyDescent="0.25">
      <c r="A355" s="14"/>
      <c r="B355" s="24"/>
      <c r="C355" s="10"/>
      <c r="D355" s="10"/>
      <c r="E355" s="28"/>
      <c r="F355" s="28"/>
      <c r="G355" s="63"/>
      <c r="H355" s="18"/>
      <c r="I355" s="67"/>
    </row>
    <row r="356" spans="1:9" x14ac:dyDescent="0.25">
      <c r="A356" s="13"/>
      <c r="G356" s="65"/>
      <c r="H356" s="19"/>
      <c r="I356" s="68"/>
    </row>
    <row r="357" spans="1:9" x14ac:dyDescent="0.25">
      <c r="A357" s="14"/>
      <c r="B357" s="24"/>
      <c r="C357" s="10"/>
      <c r="D357" s="10"/>
      <c r="E357" s="28"/>
      <c r="F357" s="28"/>
      <c r="G357" s="63"/>
      <c r="H357" s="18"/>
      <c r="I357" s="67"/>
    </row>
    <row r="358" spans="1:9" x14ac:dyDescent="0.25">
      <c r="A358" s="13"/>
      <c r="G358" s="65"/>
      <c r="H358" s="19"/>
      <c r="I358" s="68"/>
    </row>
    <row r="359" spans="1:9" x14ac:dyDescent="0.25">
      <c r="A359" s="14"/>
      <c r="B359" s="24"/>
      <c r="C359" s="10"/>
      <c r="D359" s="10"/>
      <c r="E359" s="28"/>
      <c r="F359" s="28"/>
      <c r="G359" s="63"/>
      <c r="H359" s="18"/>
      <c r="I359" s="67"/>
    </row>
    <row r="360" spans="1:9" x14ac:dyDescent="0.25">
      <c r="A360" s="13"/>
      <c r="G360" s="65"/>
      <c r="H360" s="19"/>
      <c r="I360" s="68"/>
    </row>
    <row r="361" spans="1:9" x14ac:dyDescent="0.25">
      <c r="A361" s="14"/>
      <c r="B361" s="24"/>
      <c r="C361" s="10"/>
      <c r="D361" s="10"/>
      <c r="E361" s="28"/>
      <c r="F361" s="28"/>
      <c r="G361" s="63"/>
      <c r="H361" s="18"/>
      <c r="I361" s="67"/>
    </row>
    <row r="362" spans="1:9" x14ac:dyDescent="0.25">
      <c r="A362" s="13"/>
      <c r="G362" s="65"/>
      <c r="H362" s="19"/>
      <c r="I362" s="68"/>
    </row>
    <row r="363" spans="1:9" x14ac:dyDescent="0.25">
      <c r="A363" s="14"/>
      <c r="B363" s="24"/>
      <c r="C363" s="10"/>
      <c r="D363" s="10"/>
      <c r="E363" s="28"/>
      <c r="F363" s="28"/>
      <c r="G363" s="63"/>
      <c r="H363" s="18"/>
      <c r="I363" s="67"/>
    </row>
    <row r="364" spans="1:9" x14ac:dyDescent="0.25">
      <c r="A364" s="13"/>
      <c r="G364" s="65"/>
      <c r="H364" s="19"/>
      <c r="I364" s="68"/>
    </row>
    <row r="365" spans="1:9" x14ac:dyDescent="0.25">
      <c r="A365" s="14"/>
      <c r="B365" s="24"/>
      <c r="C365" s="10"/>
      <c r="D365" s="10"/>
      <c r="E365" s="28"/>
      <c r="F365" s="28"/>
      <c r="G365" s="63"/>
      <c r="H365" s="18"/>
      <c r="I365" s="67"/>
    </row>
    <row r="366" spans="1:9" x14ac:dyDescent="0.25">
      <c r="A366" s="13"/>
      <c r="G366" s="65"/>
      <c r="H366" s="19"/>
      <c r="I366" s="68"/>
    </row>
    <row r="367" spans="1:9" x14ac:dyDescent="0.25">
      <c r="A367" s="14"/>
      <c r="B367" s="24"/>
      <c r="C367" s="10"/>
      <c r="D367" s="10"/>
      <c r="E367" s="28"/>
      <c r="F367" s="28"/>
      <c r="G367" s="63"/>
      <c r="H367" s="18"/>
      <c r="I367" s="67"/>
    </row>
    <row r="368" spans="1:9" x14ac:dyDescent="0.25">
      <c r="A368" s="13"/>
      <c r="G368" s="65"/>
      <c r="H368" s="19"/>
      <c r="I368" s="68"/>
    </row>
    <row r="369" spans="1:9" x14ac:dyDescent="0.25">
      <c r="A369" s="14"/>
      <c r="B369" s="24"/>
      <c r="C369" s="10"/>
      <c r="D369" s="10"/>
      <c r="E369" s="28"/>
      <c r="F369" s="28"/>
      <c r="G369" s="63"/>
      <c r="H369" s="18"/>
      <c r="I369" s="67"/>
    </row>
    <row r="370" spans="1:9" x14ac:dyDescent="0.25">
      <c r="A370" s="13"/>
      <c r="G370" s="65"/>
      <c r="H370" s="19"/>
      <c r="I370" s="68"/>
    </row>
    <row r="371" spans="1:9" x14ac:dyDescent="0.25">
      <c r="A371" s="14"/>
      <c r="B371" s="24"/>
      <c r="C371" s="10"/>
      <c r="D371" s="10"/>
      <c r="E371" s="28"/>
      <c r="F371" s="28"/>
      <c r="G371" s="63"/>
      <c r="H371" s="18"/>
      <c r="I371" s="67"/>
    </row>
    <row r="372" spans="1:9" x14ac:dyDescent="0.25">
      <c r="A372" s="13"/>
      <c r="G372" s="65"/>
      <c r="H372" s="19"/>
      <c r="I372" s="68"/>
    </row>
    <row r="373" spans="1:9" x14ac:dyDescent="0.25">
      <c r="A373" s="14"/>
      <c r="B373" s="24"/>
      <c r="C373" s="10"/>
      <c r="D373" s="10"/>
      <c r="E373" s="28"/>
      <c r="F373" s="28"/>
      <c r="G373" s="63"/>
      <c r="H373" s="18"/>
      <c r="I373" s="67"/>
    </row>
    <row r="374" spans="1:9" x14ac:dyDescent="0.25">
      <c r="A374" s="13"/>
      <c r="G374" s="65"/>
      <c r="H374" s="19"/>
      <c r="I374" s="68"/>
    </row>
    <row r="375" spans="1:9" x14ac:dyDescent="0.25">
      <c r="A375" s="14"/>
      <c r="B375" s="24"/>
      <c r="C375" s="10"/>
      <c r="D375" s="10"/>
      <c r="E375" s="28"/>
      <c r="F375" s="28"/>
      <c r="G375" s="63"/>
      <c r="H375" s="18"/>
      <c r="I375" s="67"/>
    </row>
    <row r="376" spans="1:9" x14ac:dyDescent="0.25">
      <c r="A376" s="13"/>
      <c r="G376" s="65"/>
      <c r="H376" s="19"/>
      <c r="I376" s="68"/>
    </row>
    <row r="377" spans="1:9" x14ac:dyDescent="0.25">
      <c r="A377" s="14"/>
      <c r="B377" s="24"/>
      <c r="C377" s="10"/>
      <c r="D377" s="10"/>
      <c r="E377" s="28"/>
      <c r="F377" s="28"/>
      <c r="G377" s="63"/>
      <c r="H377" s="18"/>
      <c r="I377" s="67"/>
    </row>
    <row r="378" spans="1:9" x14ac:dyDescent="0.25">
      <c r="A378" s="13"/>
      <c r="G378" s="65"/>
      <c r="H378" s="19"/>
      <c r="I378" s="68"/>
    </row>
    <row r="379" spans="1:9" x14ac:dyDescent="0.25">
      <c r="A379" s="14"/>
      <c r="B379" s="24"/>
      <c r="C379" s="10"/>
      <c r="D379" s="10"/>
      <c r="E379" s="28"/>
      <c r="F379" s="28"/>
      <c r="G379" s="63"/>
      <c r="H379" s="18"/>
      <c r="I379" s="67"/>
    </row>
    <row r="380" spans="1:9" x14ac:dyDescent="0.25">
      <c r="A380" s="13"/>
      <c r="G380" s="65"/>
      <c r="H380" s="19"/>
      <c r="I380" s="68"/>
    </row>
    <row r="381" spans="1:9" x14ac:dyDescent="0.25">
      <c r="A381" s="14"/>
      <c r="B381" s="24"/>
      <c r="C381" s="10"/>
      <c r="D381" s="10"/>
      <c r="E381" s="28"/>
      <c r="F381" s="28"/>
      <c r="G381" s="63"/>
      <c r="H381" s="18"/>
      <c r="I381" s="67"/>
    </row>
    <row r="382" spans="1:9" x14ac:dyDescent="0.25">
      <c r="A382" s="13"/>
      <c r="G382" s="65"/>
      <c r="H382" s="19"/>
      <c r="I382" s="68"/>
    </row>
    <row r="383" spans="1:9" x14ac:dyDescent="0.25">
      <c r="A383" s="14"/>
      <c r="B383" s="24"/>
      <c r="C383" s="10"/>
      <c r="D383" s="10"/>
      <c r="E383" s="28"/>
      <c r="F383" s="28"/>
      <c r="G383" s="63"/>
      <c r="H383" s="18"/>
      <c r="I383" s="67"/>
    </row>
    <row r="384" spans="1:9" x14ac:dyDescent="0.25">
      <c r="A384" s="13"/>
      <c r="G384" s="65"/>
      <c r="H384" s="19"/>
      <c r="I384" s="68"/>
    </row>
    <row r="385" spans="1:9" x14ac:dyDescent="0.25">
      <c r="A385" s="14"/>
      <c r="B385" s="24"/>
      <c r="C385" s="10"/>
      <c r="D385" s="10"/>
      <c r="E385" s="28"/>
      <c r="F385" s="28"/>
      <c r="G385" s="63"/>
      <c r="H385" s="18"/>
      <c r="I385" s="67"/>
    </row>
    <row r="386" spans="1:9" x14ac:dyDescent="0.25">
      <c r="A386" s="13"/>
      <c r="G386" s="65"/>
      <c r="H386" s="19"/>
      <c r="I386" s="68"/>
    </row>
    <row r="387" spans="1:9" x14ac:dyDescent="0.25">
      <c r="A387" s="14"/>
      <c r="B387" s="24"/>
      <c r="C387" s="10"/>
      <c r="D387" s="10"/>
      <c r="E387" s="28"/>
      <c r="F387" s="28"/>
      <c r="G387" s="63"/>
      <c r="H387" s="18"/>
      <c r="I387" s="67"/>
    </row>
    <row r="388" spans="1:9" x14ac:dyDescent="0.25">
      <c r="A388" s="13"/>
      <c r="G388" s="65"/>
      <c r="H388" s="19"/>
      <c r="I388" s="68"/>
    </row>
    <row r="389" spans="1:9" x14ac:dyDescent="0.25">
      <c r="A389" s="14"/>
      <c r="B389" s="24"/>
      <c r="C389" s="10"/>
      <c r="D389" s="10"/>
      <c r="E389" s="28"/>
      <c r="F389" s="28"/>
      <c r="G389" s="63"/>
      <c r="H389" s="18"/>
      <c r="I389" s="67"/>
    </row>
    <row r="390" spans="1:9" x14ac:dyDescent="0.25">
      <c r="A390" s="13"/>
      <c r="G390" s="65"/>
      <c r="H390" s="19"/>
      <c r="I390" s="68"/>
    </row>
    <row r="391" spans="1:9" x14ac:dyDescent="0.25">
      <c r="A391" s="14"/>
      <c r="B391" s="24"/>
      <c r="C391" s="10"/>
      <c r="D391" s="10"/>
      <c r="E391" s="28"/>
      <c r="F391" s="28"/>
      <c r="G391" s="63"/>
      <c r="H391" s="18"/>
      <c r="I391" s="67"/>
    </row>
    <row r="392" spans="1:9" x14ac:dyDescent="0.25">
      <c r="A392" s="13"/>
      <c r="G392" s="65"/>
      <c r="H392" s="19"/>
      <c r="I392" s="68"/>
    </row>
    <row r="393" spans="1:9" x14ac:dyDescent="0.25">
      <c r="A393" s="14"/>
      <c r="B393" s="24"/>
      <c r="C393" s="10"/>
      <c r="D393" s="10"/>
      <c r="E393" s="28"/>
      <c r="F393" s="28"/>
      <c r="G393" s="63"/>
      <c r="H393" s="18"/>
      <c r="I393" s="67"/>
    </row>
    <row r="394" spans="1:9" x14ac:dyDescent="0.25">
      <c r="A394" s="13"/>
      <c r="G394" s="65"/>
      <c r="H394" s="19"/>
      <c r="I394" s="68"/>
    </row>
    <row r="395" spans="1:9" x14ac:dyDescent="0.25">
      <c r="A395" s="14"/>
      <c r="B395" s="24"/>
      <c r="C395" s="10"/>
      <c r="D395" s="10"/>
      <c r="E395" s="28"/>
      <c r="F395" s="28"/>
      <c r="G395" s="63"/>
      <c r="H395" s="18"/>
      <c r="I395" s="67"/>
    </row>
    <row r="396" spans="1:9" x14ac:dyDescent="0.25">
      <c r="A396" s="13"/>
      <c r="G396" s="65"/>
      <c r="H396" s="19"/>
      <c r="I396" s="68"/>
    </row>
    <row r="397" spans="1:9" x14ac:dyDescent="0.25">
      <c r="A397" s="14"/>
      <c r="B397" s="24"/>
      <c r="C397" s="10"/>
      <c r="D397" s="10"/>
      <c r="E397" s="28"/>
      <c r="F397" s="28"/>
      <c r="G397" s="63"/>
      <c r="H397" s="18"/>
      <c r="I397" s="67"/>
    </row>
    <row r="398" spans="1:9" x14ac:dyDescent="0.25">
      <c r="A398" s="13"/>
      <c r="G398" s="65"/>
      <c r="H398" s="19"/>
      <c r="I398" s="68"/>
    </row>
    <row r="399" spans="1:9" x14ac:dyDescent="0.25">
      <c r="A399" s="14"/>
      <c r="B399" s="24"/>
      <c r="C399" s="10"/>
      <c r="D399" s="10"/>
      <c r="E399" s="28"/>
      <c r="F399" s="28"/>
      <c r="G399" s="63"/>
      <c r="H399" s="18"/>
      <c r="I399" s="67"/>
    </row>
    <row r="400" spans="1:9" x14ac:dyDescent="0.25">
      <c r="A400" s="13"/>
      <c r="G400" s="65"/>
      <c r="H400" s="19"/>
      <c r="I400" s="68"/>
    </row>
    <row r="401" spans="1:9" x14ac:dyDescent="0.25">
      <c r="A401" s="14"/>
      <c r="B401" s="24"/>
      <c r="C401" s="10"/>
      <c r="D401" s="10"/>
      <c r="E401" s="28"/>
      <c r="F401" s="28"/>
      <c r="G401" s="63"/>
      <c r="H401" s="18"/>
      <c r="I401" s="67"/>
    </row>
    <row r="402" spans="1:9" x14ac:dyDescent="0.25">
      <c r="A402" s="13"/>
      <c r="G402" s="65"/>
      <c r="H402" s="19"/>
      <c r="I402" s="68"/>
    </row>
    <row r="403" spans="1:9" x14ac:dyDescent="0.25">
      <c r="A403" s="14"/>
      <c r="B403" s="24"/>
      <c r="C403" s="10"/>
      <c r="D403" s="10"/>
      <c r="E403" s="28"/>
      <c r="F403" s="28"/>
      <c r="G403" s="63"/>
      <c r="H403" s="18"/>
      <c r="I403" s="67"/>
    </row>
    <row r="404" spans="1:9" x14ac:dyDescent="0.25">
      <c r="A404" s="13"/>
      <c r="G404" s="65"/>
      <c r="H404" s="19"/>
      <c r="I404" s="68"/>
    </row>
    <row r="405" spans="1:9" x14ac:dyDescent="0.25">
      <c r="A405" s="14"/>
      <c r="B405" s="24"/>
      <c r="C405" s="10"/>
      <c r="D405" s="10"/>
      <c r="E405" s="28"/>
      <c r="F405" s="28"/>
      <c r="G405" s="63"/>
      <c r="H405" s="18"/>
      <c r="I405" s="67"/>
    </row>
    <row r="406" spans="1:9" x14ac:dyDescent="0.25">
      <c r="A406" s="13"/>
      <c r="G406" s="65"/>
      <c r="H406" s="19"/>
      <c r="I406" s="68"/>
    </row>
    <row r="407" spans="1:9" x14ac:dyDescent="0.25">
      <c r="A407" s="14"/>
      <c r="B407" s="24"/>
      <c r="C407" s="10"/>
      <c r="D407" s="10"/>
      <c r="E407" s="28"/>
      <c r="F407" s="28"/>
      <c r="G407" s="63"/>
      <c r="H407" s="18"/>
      <c r="I407" s="67"/>
    </row>
    <row r="408" spans="1:9" x14ac:dyDescent="0.25">
      <c r="A408" s="13"/>
      <c r="G408" s="65"/>
      <c r="H408" s="19"/>
      <c r="I408" s="68"/>
    </row>
    <row r="409" spans="1:9" x14ac:dyDescent="0.25">
      <c r="A409" s="14"/>
      <c r="B409" s="24"/>
      <c r="C409" s="10"/>
      <c r="D409" s="10"/>
      <c r="E409" s="28"/>
      <c r="F409" s="28"/>
      <c r="G409" s="63"/>
      <c r="H409" s="18"/>
      <c r="I409" s="67"/>
    </row>
    <row r="410" spans="1:9" x14ac:dyDescent="0.25">
      <c r="A410" s="13"/>
      <c r="G410" s="65"/>
      <c r="H410" s="19"/>
      <c r="I410" s="68"/>
    </row>
    <row r="411" spans="1:9" x14ac:dyDescent="0.25">
      <c r="A411" s="14"/>
      <c r="B411" s="24"/>
      <c r="C411" s="10"/>
      <c r="D411" s="10"/>
      <c r="E411" s="28"/>
      <c r="F411" s="28"/>
      <c r="G411" s="63"/>
      <c r="H411" s="18"/>
      <c r="I411" s="67"/>
    </row>
    <row r="412" spans="1:9" x14ac:dyDescent="0.25">
      <c r="A412" s="13"/>
      <c r="G412" s="65"/>
      <c r="H412" s="19"/>
      <c r="I412" s="68"/>
    </row>
    <row r="413" spans="1:9" x14ac:dyDescent="0.25">
      <c r="A413" s="14"/>
      <c r="B413" s="24"/>
      <c r="C413" s="10"/>
      <c r="D413" s="10"/>
      <c r="E413" s="28"/>
      <c r="F413" s="28"/>
      <c r="G413" s="63"/>
      <c r="H413" s="18"/>
      <c r="I413" s="67"/>
    </row>
    <row r="414" spans="1:9" x14ac:dyDescent="0.25">
      <c r="A414" s="13"/>
      <c r="G414" s="65"/>
      <c r="H414" s="19"/>
      <c r="I414" s="68"/>
    </row>
    <row r="415" spans="1:9" x14ac:dyDescent="0.25">
      <c r="A415" s="14"/>
      <c r="B415" s="24"/>
      <c r="C415" s="10"/>
      <c r="D415" s="10"/>
      <c r="E415" s="28"/>
      <c r="F415" s="28"/>
      <c r="G415" s="63"/>
      <c r="H415" s="18"/>
      <c r="I415" s="67"/>
    </row>
    <row r="416" spans="1:9" x14ac:dyDescent="0.25">
      <c r="A416" s="13"/>
      <c r="G416" s="65"/>
      <c r="H416" s="19"/>
      <c r="I416" s="68"/>
    </row>
    <row r="417" spans="1:9" x14ac:dyDescent="0.25">
      <c r="A417" s="14"/>
      <c r="B417" s="24"/>
      <c r="C417" s="10"/>
      <c r="D417" s="10"/>
      <c r="E417" s="28"/>
      <c r="F417" s="28"/>
      <c r="G417" s="63"/>
      <c r="H417" s="18"/>
      <c r="I417" s="67"/>
    </row>
    <row r="418" spans="1:9" x14ac:dyDescent="0.25">
      <c r="A418" s="13"/>
      <c r="G418" s="65"/>
      <c r="H418" s="19"/>
      <c r="I418" s="68"/>
    </row>
    <row r="419" spans="1:9" x14ac:dyDescent="0.25">
      <c r="A419" s="14"/>
      <c r="B419" s="24"/>
      <c r="C419" s="10"/>
      <c r="D419" s="10"/>
      <c r="E419" s="28"/>
      <c r="F419" s="28"/>
      <c r="G419" s="63"/>
      <c r="H419" s="18"/>
      <c r="I419" s="67"/>
    </row>
    <row r="420" spans="1:9" x14ac:dyDescent="0.25">
      <c r="A420" s="13"/>
      <c r="G420" s="65"/>
      <c r="H420" s="19"/>
      <c r="I420" s="68"/>
    </row>
    <row r="421" spans="1:9" x14ac:dyDescent="0.25">
      <c r="A421" s="14"/>
      <c r="B421" s="24"/>
      <c r="C421" s="10"/>
      <c r="D421" s="10"/>
      <c r="E421" s="28"/>
      <c r="F421" s="28"/>
      <c r="G421" s="63"/>
      <c r="H421" s="18"/>
      <c r="I421" s="67"/>
    </row>
    <row r="422" spans="1:9" x14ac:dyDescent="0.25">
      <c r="A422" s="13"/>
      <c r="G422" s="65"/>
      <c r="H422" s="19"/>
      <c r="I422" s="68"/>
    </row>
    <row r="423" spans="1:9" x14ac:dyDescent="0.25">
      <c r="A423" s="14"/>
      <c r="B423" s="24"/>
      <c r="C423" s="10"/>
      <c r="D423" s="10"/>
      <c r="E423" s="28"/>
      <c r="F423" s="28"/>
      <c r="G423" s="63"/>
      <c r="H423" s="18"/>
      <c r="I423" s="67"/>
    </row>
    <row r="424" spans="1:9" x14ac:dyDescent="0.25">
      <c r="A424" s="13"/>
      <c r="G424" s="65"/>
      <c r="H424" s="19"/>
      <c r="I424" s="68"/>
    </row>
    <row r="425" spans="1:9" x14ac:dyDescent="0.25">
      <c r="A425" s="14"/>
      <c r="B425" s="24"/>
      <c r="C425" s="10"/>
      <c r="D425" s="10"/>
      <c r="E425" s="28"/>
      <c r="F425" s="28"/>
      <c r="G425" s="63"/>
      <c r="H425" s="18"/>
      <c r="I425" s="67"/>
    </row>
    <row r="426" spans="1:9" x14ac:dyDescent="0.25">
      <c r="A426" s="13"/>
      <c r="G426" s="65"/>
      <c r="H426" s="19"/>
      <c r="I426" s="68"/>
    </row>
    <row r="427" spans="1:9" x14ac:dyDescent="0.25">
      <c r="A427" s="14"/>
      <c r="B427" s="24"/>
      <c r="C427" s="10"/>
      <c r="D427" s="10"/>
      <c r="E427" s="28"/>
      <c r="F427" s="28"/>
      <c r="G427" s="63"/>
      <c r="H427" s="18"/>
      <c r="I427" s="67"/>
    </row>
    <row r="428" spans="1:9" x14ac:dyDescent="0.25">
      <c r="A428" s="13"/>
      <c r="G428" s="65"/>
      <c r="H428" s="19"/>
      <c r="I428" s="68"/>
    </row>
    <row r="429" spans="1:9" x14ac:dyDescent="0.25">
      <c r="A429" s="14"/>
      <c r="B429" s="24"/>
      <c r="C429" s="10"/>
      <c r="D429" s="10"/>
      <c r="E429" s="28"/>
      <c r="F429" s="28"/>
      <c r="G429" s="63"/>
      <c r="H429" s="18"/>
      <c r="I429" s="67"/>
    </row>
    <row r="430" spans="1:9" x14ac:dyDescent="0.25">
      <c r="A430" s="13"/>
      <c r="G430" s="65"/>
      <c r="H430" s="19"/>
      <c r="I430" s="68"/>
    </row>
    <row r="431" spans="1:9" x14ac:dyDescent="0.25">
      <c r="A431" s="14"/>
      <c r="B431" s="24"/>
      <c r="C431" s="10"/>
      <c r="D431" s="10"/>
      <c r="E431" s="28"/>
      <c r="F431" s="28"/>
      <c r="G431" s="63"/>
      <c r="H431" s="18"/>
      <c r="I431" s="67"/>
    </row>
    <row r="432" spans="1:9" x14ac:dyDescent="0.25">
      <c r="A432" s="13"/>
      <c r="G432" s="65"/>
      <c r="H432" s="19"/>
      <c r="I432" s="68"/>
    </row>
    <row r="433" spans="1:9" x14ac:dyDescent="0.25">
      <c r="A433" s="14"/>
      <c r="B433" s="24"/>
      <c r="C433" s="10"/>
      <c r="D433" s="10"/>
      <c r="E433" s="28"/>
      <c r="F433" s="28"/>
      <c r="G433" s="63"/>
      <c r="H433" s="18"/>
      <c r="I433" s="67"/>
    </row>
    <row r="434" spans="1:9" x14ac:dyDescent="0.25">
      <c r="A434" s="13"/>
      <c r="G434" s="65"/>
      <c r="H434" s="19"/>
      <c r="I434" s="68"/>
    </row>
    <row r="435" spans="1:9" x14ac:dyDescent="0.25">
      <c r="A435" s="14"/>
      <c r="B435" s="24"/>
      <c r="C435" s="10"/>
      <c r="D435" s="10"/>
      <c r="E435" s="28"/>
      <c r="F435" s="28"/>
      <c r="G435" s="63"/>
      <c r="H435" s="18"/>
      <c r="I435" s="67"/>
    </row>
    <row r="436" spans="1:9" x14ac:dyDescent="0.25">
      <c r="A436" s="13"/>
      <c r="G436" s="65"/>
      <c r="H436" s="19"/>
      <c r="I436" s="68"/>
    </row>
    <row r="437" spans="1:9" x14ac:dyDescent="0.25">
      <c r="A437" s="14"/>
      <c r="B437" s="24"/>
      <c r="C437" s="10"/>
      <c r="D437" s="10"/>
      <c r="E437" s="28"/>
      <c r="F437" s="28"/>
      <c r="G437" s="63"/>
      <c r="H437" s="18"/>
      <c r="I437" s="67"/>
    </row>
    <row r="438" spans="1:9" x14ac:dyDescent="0.25">
      <c r="A438" s="13"/>
      <c r="G438" s="65"/>
      <c r="H438" s="19"/>
      <c r="I438" s="68"/>
    </row>
    <row r="439" spans="1:9" x14ac:dyDescent="0.25">
      <c r="A439" s="14"/>
      <c r="B439" s="24"/>
      <c r="C439" s="10"/>
      <c r="D439" s="10"/>
      <c r="E439" s="28"/>
      <c r="F439" s="28"/>
      <c r="G439" s="63"/>
      <c r="H439" s="18"/>
      <c r="I439" s="67"/>
    </row>
    <row r="440" spans="1:9" x14ac:dyDescent="0.25">
      <c r="A440" s="13"/>
      <c r="G440" s="65"/>
      <c r="H440" s="19"/>
      <c r="I440" s="68"/>
    </row>
    <row r="441" spans="1:9" x14ac:dyDescent="0.25">
      <c r="A441" s="14"/>
      <c r="B441" s="24"/>
      <c r="C441" s="10"/>
      <c r="D441" s="10"/>
      <c r="E441" s="28"/>
      <c r="F441" s="28"/>
      <c r="G441" s="63"/>
      <c r="H441" s="18"/>
      <c r="I441" s="67"/>
    </row>
    <row r="442" spans="1:9" x14ac:dyDescent="0.25">
      <c r="A442" s="13"/>
      <c r="G442" s="65"/>
      <c r="H442" s="19"/>
      <c r="I442" s="68"/>
    </row>
    <row r="443" spans="1:9" x14ac:dyDescent="0.25">
      <c r="A443" s="14"/>
      <c r="B443" s="24"/>
      <c r="C443" s="10"/>
      <c r="D443" s="10"/>
      <c r="E443" s="28"/>
      <c r="F443" s="28"/>
      <c r="G443" s="63"/>
      <c r="H443" s="18"/>
      <c r="I443" s="67"/>
    </row>
    <row r="444" spans="1:9" x14ac:dyDescent="0.25">
      <c r="A444" s="13"/>
      <c r="G444" s="65"/>
      <c r="H444" s="19"/>
      <c r="I444" s="68"/>
    </row>
    <row r="445" spans="1:9" x14ac:dyDescent="0.25">
      <c r="A445" s="14"/>
      <c r="B445" s="24"/>
      <c r="C445" s="10"/>
      <c r="D445" s="10"/>
      <c r="E445" s="28"/>
      <c r="F445" s="28"/>
      <c r="G445" s="63"/>
      <c r="H445" s="18"/>
      <c r="I445" s="67"/>
    </row>
    <row r="446" spans="1:9" x14ac:dyDescent="0.25">
      <c r="A446" s="13"/>
      <c r="G446" s="65"/>
      <c r="H446" s="19"/>
      <c r="I446" s="68"/>
    </row>
    <row r="447" spans="1:9" x14ac:dyDescent="0.25">
      <c r="A447" s="14"/>
      <c r="B447" s="24"/>
      <c r="C447" s="10"/>
      <c r="D447" s="10"/>
      <c r="E447" s="28"/>
      <c r="F447" s="28"/>
      <c r="G447" s="63"/>
      <c r="H447" s="18"/>
      <c r="I447" s="67"/>
    </row>
    <row r="448" spans="1:9" x14ac:dyDescent="0.25">
      <c r="A448" s="13"/>
      <c r="G448" s="65"/>
      <c r="H448" s="19"/>
      <c r="I448" s="68"/>
    </row>
    <row r="449" spans="1:9" x14ac:dyDescent="0.25">
      <c r="A449" s="14"/>
      <c r="B449" s="24"/>
      <c r="C449" s="10"/>
      <c r="D449" s="10"/>
      <c r="E449" s="28"/>
      <c r="F449" s="28"/>
      <c r="G449" s="63"/>
      <c r="H449" s="18"/>
      <c r="I449" s="67"/>
    </row>
    <row r="450" spans="1:9" x14ac:dyDescent="0.25">
      <c r="A450" s="13"/>
      <c r="G450" s="65"/>
      <c r="H450" s="19"/>
      <c r="I450" s="68"/>
    </row>
    <row r="451" spans="1:9" x14ac:dyDescent="0.25">
      <c r="A451" s="14"/>
      <c r="B451" s="24"/>
      <c r="C451" s="10"/>
      <c r="D451" s="10"/>
      <c r="E451" s="28"/>
      <c r="F451" s="28"/>
      <c r="G451" s="63"/>
      <c r="H451" s="18"/>
      <c r="I451" s="67"/>
    </row>
    <row r="452" spans="1:9" x14ac:dyDescent="0.25">
      <c r="A452" s="13"/>
      <c r="G452" s="65"/>
      <c r="H452" s="19"/>
      <c r="I452" s="68"/>
    </row>
    <row r="453" spans="1:9" x14ac:dyDescent="0.25">
      <c r="A453" s="14"/>
      <c r="B453" s="24"/>
      <c r="C453" s="10"/>
      <c r="D453" s="10"/>
      <c r="E453" s="28"/>
      <c r="F453" s="28"/>
      <c r="G453" s="63"/>
      <c r="H453" s="18"/>
      <c r="I453" s="67"/>
    </row>
    <row r="454" spans="1:9" x14ac:dyDescent="0.25">
      <c r="A454" s="13"/>
      <c r="G454" s="65"/>
      <c r="H454" s="19"/>
      <c r="I454" s="68"/>
    </row>
    <row r="455" spans="1:9" x14ac:dyDescent="0.25">
      <c r="A455" s="14"/>
      <c r="B455" s="24"/>
      <c r="C455" s="10"/>
      <c r="D455" s="10"/>
      <c r="E455" s="28"/>
      <c r="F455" s="28"/>
      <c r="G455" s="63"/>
      <c r="H455" s="18"/>
      <c r="I455" s="67"/>
    </row>
    <row r="456" spans="1:9" x14ac:dyDescent="0.25">
      <c r="A456" s="13"/>
      <c r="G456" s="65"/>
      <c r="H456" s="19"/>
      <c r="I456" s="68"/>
    </row>
    <row r="457" spans="1:9" x14ac:dyDescent="0.25">
      <c r="A457" s="14"/>
      <c r="B457" s="24"/>
      <c r="C457" s="10"/>
      <c r="D457" s="10"/>
      <c r="E457" s="28"/>
      <c r="F457" s="28"/>
      <c r="G457" s="63"/>
      <c r="H457" s="18"/>
      <c r="I457" s="67"/>
    </row>
    <row r="458" spans="1:9" x14ac:dyDescent="0.25">
      <c r="A458" s="13"/>
      <c r="G458" s="65"/>
      <c r="H458" s="19"/>
      <c r="I458" s="68"/>
    </row>
    <row r="459" spans="1:9" x14ac:dyDescent="0.25">
      <c r="A459" s="14"/>
      <c r="B459" s="24"/>
      <c r="C459" s="10"/>
      <c r="D459" s="10"/>
      <c r="E459" s="28"/>
      <c r="F459" s="28"/>
      <c r="G459" s="63"/>
      <c r="H459" s="18"/>
      <c r="I459" s="67"/>
    </row>
    <row r="460" spans="1:9" x14ac:dyDescent="0.25">
      <c r="A460" s="13"/>
      <c r="G460" s="65"/>
      <c r="H460" s="19"/>
      <c r="I460" s="68"/>
    </row>
    <row r="461" spans="1:9" x14ac:dyDescent="0.25">
      <c r="A461" s="14"/>
      <c r="B461" s="24"/>
      <c r="C461" s="10"/>
      <c r="D461" s="10"/>
      <c r="E461" s="28"/>
      <c r="F461" s="28"/>
      <c r="G461" s="63"/>
      <c r="H461" s="18"/>
      <c r="I461" s="67"/>
    </row>
    <row r="462" spans="1:9" x14ac:dyDescent="0.25">
      <c r="A462" s="13"/>
      <c r="G462" s="65"/>
      <c r="H462" s="19"/>
      <c r="I462" s="68"/>
    </row>
    <row r="463" spans="1:9" x14ac:dyDescent="0.25">
      <c r="A463" s="14"/>
      <c r="B463" s="24"/>
      <c r="C463" s="10"/>
      <c r="D463" s="10"/>
      <c r="E463" s="28"/>
      <c r="F463" s="28"/>
      <c r="G463" s="63"/>
      <c r="H463" s="18"/>
      <c r="I463" s="67"/>
    </row>
    <row r="464" spans="1:9" x14ac:dyDescent="0.25">
      <c r="A464" s="13"/>
      <c r="G464" s="65"/>
      <c r="H464" s="19"/>
      <c r="I464" s="68"/>
    </row>
    <row r="465" spans="1:9" x14ac:dyDescent="0.25">
      <c r="A465" s="14"/>
      <c r="B465" s="24"/>
      <c r="C465" s="10"/>
      <c r="D465" s="10"/>
      <c r="E465" s="28"/>
      <c r="F465" s="28"/>
      <c r="G465" s="63"/>
      <c r="H465" s="18"/>
      <c r="I465" s="67"/>
    </row>
    <row r="466" spans="1:9" x14ac:dyDescent="0.25">
      <c r="A466" s="13"/>
      <c r="G466" s="65"/>
      <c r="H466" s="19"/>
      <c r="I466" s="68"/>
    </row>
    <row r="467" spans="1:9" x14ac:dyDescent="0.25">
      <c r="A467" s="14"/>
      <c r="B467" s="24"/>
      <c r="C467" s="10"/>
      <c r="D467" s="10"/>
      <c r="E467" s="28"/>
      <c r="F467" s="28"/>
      <c r="G467" s="63"/>
      <c r="H467" s="18"/>
      <c r="I467" s="67"/>
    </row>
    <row r="468" spans="1:9" x14ac:dyDescent="0.25">
      <c r="A468" s="13"/>
      <c r="G468" s="65"/>
      <c r="H468" s="19"/>
      <c r="I468" s="68"/>
    </row>
    <row r="469" spans="1:9" x14ac:dyDescent="0.25">
      <c r="A469" s="14"/>
      <c r="B469" s="24"/>
      <c r="C469" s="10"/>
      <c r="D469" s="10"/>
      <c r="E469" s="28"/>
      <c r="F469" s="28"/>
      <c r="G469" s="63"/>
      <c r="H469" s="18"/>
      <c r="I469" s="67"/>
    </row>
    <row r="470" spans="1:9" x14ac:dyDescent="0.25">
      <c r="A470" s="13"/>
      <c r="G470" s="65"/>
      <c r="H470" s="19"/>
      <c r="I470" s="68"/>
    </row>
    <row r="471" spans="1:9" x14ac:dyDescent="0.25">
      <c r="A471" s="14"/>
      <c r="B471" s="24"/>
      <c r="C471" s="10"/>
      <c r="D471" s="10"/>
      <c r="E471" s="28"/>
      <c r="F471" s="28"/>
      <c r="G471" s="63"/>
      <c r="H471" s="18"/>
      <c r="I471" s="67"/>
    </row>
    <row r="472" spans="1:9" x14ac:dyDescent="0.25">
      <c r="A472" s="13"/>
      <c r="G472" s="65"/>
      <c r="H472" s="19"/>
      <c r="I472" s="68"/>
    </row>
    <row r="473" spans="1:9" x14ac:dyDescent="0.25">
      <c r="A473" s="14"/>
      <c r="B473" s="24"/>
      <c r="C473" s="10"/>
      <c r="D473" s="10"/>
      <c r="E473" s="28"/>
      <c r="F473" s="28"/>
      <c r="G473" s="63"/>
      <c r="H473" s="18"/>
      <c r="I473" s="67"/>
    </row>
    <row r="474" spans="1:9" x14ac:dyDescent="0.25">
      <c r="A474" s="13"/>
      <c r="G474" s="65"/>
      <c r="H474" s="19"/>
      <c r="I474" s="68"/>
    </row>
    <row r="475" spans="1:9" x14ac:dyDescent="0.25">
      <c r="A475" s="14"/>
      <c r="B475" s="24"/>
      <c r="C475" s="10"/>
      <c r="D475" s="10"/>
      <c r="E475" s="28"/>
      <c r="F475" s="28"/>
      <c r="G475" s="63"/>
      <c r="H475" s="18"/>
      <c r="I475" s="67"/>
    </row>
    <row r="476" spans="1:9" x14ac:dyDescent="0.25">
      <c r="A476" s="13"/>
      <c r="G476" s="65"/>
      <c r="H476" s="19"/>
      <c r="I476" s="68"/>
    </row>
    <row r="477" spans="1:9" x14ac:dyDescent="0.25">
      <c r="A477" s="14"/>
      <c r="B477" s="24"/>
      <c r="C477" s="10"/>
      <c r="D477" s="10"/>
      <c r="E477" s="28"/>
      <c r="F477" s="28"/>
      <c r="G477" s="63"/>
      <c r="H477" s="18"/>
      <c r="I477" s="67"/>
    </row>
    <row r="478" spans="1:9" x14ac:dyDescent="0.25">
      <c r="A478" s="13"/>
      <c r="G478" s="65"/>
      <c r="H478" s="19"/>
      <c r="I478" s="68"/>
    </row>
    <row r="479" spans="1:9" x14ac:dyDescent="0.25">
      <c r="A479" s="14"/>
      <c r="B479" s="24"/>
      <c r="C479" s="10"/>
      <c r="D479" s="10"/>
      <c r="E479" s="28"/>
      <c r="F479" s="28"/>
      <c r="G479" s="63"/>
      <c r="H479" s="18"/>
      <c r="I479" s="67"/>
    </row>
    <row r="480" spans="1:9" x14ac:dyDescent="0.25">
      <c r="A480" s="13"/>
      <c r="G480" s="65"/>
      <c r="H480" s="19"/>
      <c r="I480" s="68"/>
    </row>
    <row r="481" spans="1:9" x14ac:dyDescent="0.25">
      <c r="A481" s="14"/>
      <c r="B481" s="24"/>
      <c r="C481" s="10"/>
      <c r="D481" s="10"/>
      <c r="E481" s="28"/>
      <c r="F481" s="28"/>
      <c r="G481" s="63"/>
      <c r="H481" s="18"/>
      <c r="I481" s="67"/>
    </row>
    <row r="482" spans="1:9" x14ac:dyDescent="0.25">
      <c r="A482" s="13"/>
      <c r="G482" s="65"/>
      <c r="H482" s="19"/>
      <c r="I482" s="68"/>
    </row>
    <row r="483" spans="1:9" x14ac:dyDescent="0.25">
      <c r="A483" s="14"/>
      <c r="B483" s="24"/>
      <c r="C483" s="10"/>
      <c r="D483" s="10"/>
      <c r="E483" s="28"/>
      <c r="F483" s="28"/>
      <c r="G483" s="63"/>
      <c r="H483" s="18"/>
      <c r="I483" s="67"/>
    </row>
    <row r="484" spans="1:9" x14ac:dyDescent="0.25">
      <c r="A484" s="13"/>
      <c r="G484" s="65"/>
      <c r="H484" s="19"/>
      <c r="I484" s="68"/>
    </row>
    <row r="485" spans="1:9" x14ac:dyDescent="0.25">
      <c r="A485" s="14"/>
      <c r="B485" s="24"/>
      <c r="C485" s="10"/>
      <c r="D485" s="10"/>
      <c r="E485" s="28"/>
      <c r="F485" s="28"/>
      <c r="G485" s="63"/>
      <c r="H485" s="18"/>
      <c r="I485" s="67"/>
    </row>
    <row r="486" spans="1:9" x14ac:dyDescent="0.25">
      <c r="A486" s="13"/>
      <c r="G486" s="65"/>
      <c r="H486" s="19"/>
      <c r="I486" s="68"/>
    </row>
    <row r="487" spans="1:9" x14ac:dyDescent="0.25">
      <c r="A487" s="14"/>
      <c r="B487" s="24"/>
      <c r="C487" s="10"/>
      <c r="D487" s="10"/>
      <c r="E487" s="28"/>
      <c r="F487" s="28"/>
      <c r="G487" s="63"/>
      <c r="H487" s="18"/>
      <c r="I487" s="67"/>
    </row>
    <row r="488" spans="1:9" x14ac:dyDescent="0.25">
      <c r="A488" s="13"/>
      <c r="G488" s="65"/>
      <c r="H488" s="19"/>
      <c r="I488" s="68"/>
    </row>
    <row r="489" spans="1:9" x14ac:dyDescent="0.25">
      <c r="A489" s="14"/>
      <c r="B489" s="24"/>
      <c r="C489" s="10"/>
      <c r="D489" s="10"/>
      <c r="E489" s="28"/>
      <c r="F489" s="28"/>
      <c r="G489" s="63"/>
      <c r="H489" s="18"/>
      <c r="I489" s="67"/>
    </row>
    <row r="490" spans="1:9" x14ac:dyDescent="0.25">
      <c r="A490" s="13"/>
      <c r="G490" s="65"/>
      <c r="H490" s="19"/>
      <c r="I490" s="68"/>
    </row>
    <row r="491" spans="1:9" x14ac:dyDescent="0.25">
      <c r="A491" s="14"/>
      <c r="B491" s="24"/>
      <c r="C491" s="10"/>
      <c r="D491" s="10"/>
      <c r="E491" s="28"/>
      <c r="F491" s="28"/>
      <c r="G491" s="63"/>
      <c r="H491" s="18"/>
      <c r="I491" s="67"/>
    </row>
    <row r="492" spans="1:9" x14ac:dyDescent="0.25">
      <c r="A492" s="13"/>
      <c r="G492" s="65"/>
      <c r="H492" s="19"/>
      <c r="I492" s="68"/>
    </row>
    <row r="493" spans="1:9" x14ac:dyDescent="0.25">
      <c r="A493" s="14"/>
      <c r="B493" s="24"/>
      <c r="C493" s="10"/>
      <c r="D493" s="10"/>
      <c r="E493" s="28"/>
      <c r="F493" s="28"/>
      <c r="G493" s="63"/>
      <c r="H493" s="18"/>
      <c r="I493" s="67"/>
    </row>
    <row r="494" spans="1:9" x14ac:dyDescent="0.25">
      <c r="A494" s="13"/>
      <c r="G494" s="65"/>
      <c r="H494" s="19"/>
      <c r="I494" s="68"/>
    </row>
    <row r="495" spans="1:9" x14ac:dyDescent="0.25">
      <c r="A495" s="14"/>
      <c r="B495" s="24"/>
      <c r="C495" s="10"/>
      <c r="D495" s="10"/>
      <c r="E495" s="28"/>
      <c r="F495" s="28"/>
      <c r="G495" s="63"/>
      <c r="H495" s="18"/>
      <c r="I495" s="67"/>
    </row>
    <row r="496" spans="1:9" x14ac:dyDescent="0.25">
      <c r="A496" s="13"/>
      <c r="G496" s="65"/>
      <c r="H496" s="19"/>
      <c r="I496" s="68"/>
    </row>
    <row r="497" spans="1:9" x14ac:dyDescent="0.25">
      <c r="A497" s="14"/>
      <c r="B497" s="24"/>
      <c r="C497" s="10"/>
      <c r="D497" s="10"/>
      <c r="E497" s="28"/>
      <c r="F497" s="28"/>
      <c r="G497" s="63"/>
      <c r="H497" s="18"/>
      <c r="I497" s="67"/>
    </row>
    <row r="498" spans="1:9" x14ac:dyDescent="0.25">
      <c r="A498" s="13"/>
      <c r="G498" s="65"/>
      <c r="H498" s="19"/>
      <c r="I498" s="68"/>
    </row>
    <row r="499" spans="1:9" x14ac:dyDescent="0.25">
      <c r="A499" s="14"/>
      <c r="B499" s="24"/>
      <c r="C499" s="10"/>
      <c r="D499" s="10"/>
      <c r="E499" s="28"/>
      <c r="F499" s="28"/>
      <c r="G499" s="63"/>
      <c r="H499" s="18"/>
      <c r="I499" s="67"/>
    </row>
    <row r="500" spans="1:9" x14ac:dyDescent="0.25">
      <c r="A500" s="13"/>
      <c r="G500" s="65"/>
      <c r="H500" s="19"/>
      <c r="I500" s="68"/>
    </row>
    <row r="501" spans="1:9" x14ac:dyDescent="0.25">
      <c r="A501" s="14"/>
      <c r="B501" s="24"/>
      <c r="C501" s="10"/>
      <c r="D501" s="10"/>
      <c r="E501" s="28"/>
      <c r="F501" s="28"/>
      <c r="G501" s="63"/>
      <c r="H501" s="18"/>
      <c r="I501" s="67"/>
    </row>
    <row r="502" spans="1:9" x14ac:dyDescent="0.25">
      <c r="A502" s="13"/>
      <c r="G502" s="65"/>
      <c r="H502" s="19"/>
      <c r="I502" s="68"/>
    </row>
    <row r="503" spans="1:9" x14ac:dyDescent="0.25">
      <c r="A503" s="14"/>
      <c r="B503" s="24"/>
      <c r="C503" s="10"/>
      <c r="D503" s="10"/>
      <c r="E503" s="28"/>
      <c r="F503" s="28"/>
      <c r="G503" s="63"/>
      <c r="H503" s="18"/>
      <c r="I503" s="67"/>
    </row>
    <row r="504" spans="1:9" x14ac:dyDescent="0.25">
      <c r="A504" s="13"/>
      <c r="G504" s="65"/>
      <c r="H504" s="19"/>
      <c r="I504" s="68"/>
    </row>
    <row r="505" spans="1:9" x14ac:dyDescent="0.25">
      <c r="A505" s="14"/>
      <c r="B505" s="24"/>
      <c r="C505" s="10"/>
      <c r="D505" s="10"/>
      <c r="E505" s="28"/>
      <c r="F505" s="28"/>
      <c r="G505" s="63"/>
      <c r="H505" s="18"/>
      <c r="I505" s="67"/>
    </row>
    <row r="506" spans="1:9" x14ac:dyDescent="0.25">
      <c r="A506" s="13"/>
      <c r="G506" s="65"/>
      <c r="H506" s="19"/>
      <c r="I506" s="68"/>
    </row>
    <row r="507" spans="1:9" x14ac:dyDescent="0.25">
      <c r="A507" s="14"/>
      <c r="B507" s="24"/>
      <c r="C507" s="10"/>
      <c r="D507" s="10"/>
      <c r="E507" s="28"/>
      <c r="F507" s="28"/>
      <c r="G507" s="63"/>
      <c r="H507" s="18"/>
      <c r="I507" s="67"/>
    </row>
    <row r="508" spans="1:9" x14ac:dyDescent="0.25">
      <c r="A508" s="13"/>
      <c r="G508" s="65"/>
      <c r="H508" s="19"/>
      <c r="I508" s="68"/>
    </row>
    <row r="509" spans="1:9" x14ac:dyDescent="0.25">
      <c r="A509" s="14"/>
      <c r="B509" s="24"/>
      <c r="C509" s="10"/>
      <c r="D509" s="10"/>
      <c r="E509" s="28"/>
      <c r="F509" s="28"/>
      <c r="G509" s="63"/>
      <c r="H509" s="18"/>
      <c r="I509" s="67"/>
    </row>
    <row r="510" spans="1:9" x14ac:dyDescent="0.25">
      <c r="A510" s="13"/>
      <c r="G510" s="65"/>
      <c r="H510" s="19"/>
      <c r="I510" s="68"/>
    </row>
    <row r="511" spans="1:9" x14ac:dyDescent="0.25">
      <c r="A511" s="14"/>
      <c r="B511" s="24"/>
      <c r="C511" s="10"/>
      <c r="D511" s="10"/>
      <c r="E511" s="28"/>
      <c r="F511" s="28"/>
      <c r="G511" s="63"/>
      <c r="H511" s="18"/>
      <c r="I511" s="67"/>
    </row>
    <row r="512" spans="1:9" x14ac:dyDescent="0.25">
      <c r="A512" s="13"/>
      <c r="G512" s="65"/>
      <c r="H512" s="19"/>
      <c r="I512" s="68"/>
    </row>
    <row r="513" spans="1:9" x14ac:dyDescent="0.25">
      <c r="A513" s="14"/>
      <c r="B513" s="24"/>
      <c r="C513" s="10"/>
      <c r="D513" s="10"/>
      <c r="E513" s="28"/>
      <c r="F513" s="28"/>
      <c r="G513" s="63"/>
      <c r="H513" s="18"/>
      <c r="I513" s="67"/>
    </row>
    <row r="514" spans="1:9" x14ac:dyDescent="0.25">
      <c r="A514" s="13"/>
      <c r="G514" s="65"/>
      <c r="H514" s="19"/>
      <c r="I514" s="68"/>
    </row>
    <row r="515" spans="1:9" x14ac:dyDescent="0.25">
      <c r="A515" s="14"/>
      <c r="B515" s="24"/>
      <c r="C515" s="10"/>
      <c r="D515" s="10"/>
      <c r="E515" s="28"/>
      <c r="F515" s="28"/>
      <c r="G515" s="63"/>
      <c r="H515" s="18"/>
      <c r="I515" s="67"/>
    </row>
    <row r="516" spans="1:9" x14ac:dyDescent="0.25">
      <c r="A516" s="13"/>
      <c r="G516" s="65"/>
      <c r="H516" s="19"/>
      <c r="I516" s="68"/>
    </row>
    <row r="517" spans="1:9" x14ac:dyDescent="0.25">
      <c r="A517" s="14"/>
      <c r="B517" s="24"/>
      <c r="C517" s="10"/>
      <c r="D517" s="10"/>
      <c r="E517" s="28"/>
      <c r="F517" s="28"/>
      <c r="G517" s="63"/>
      <c r="H517" s="18"/>
      <c r="I517" s="67"/>
    </row>
    <row r="518" spans="1:9" x14ac:dyDescent="0.25">
      <c r="A518" s="13"/>
      <c r="G518" s="65"/>
      <c r="H518" s="19"/>
      <c r="I518" s="68"/>
    </row>
    <row r="519" spans="1:9" x14ac:dyDescent="0.25">
      <c r="A519" s="14"/>
      <c r="B519" s="24"/>
      <c r="C519" s="10"/>
      <c r="D519" s="10"/>
      <c r="E519" s="28"/>
      <c r="F519" s="28"/>
      <c r="G519" s="63"/>
      <c r="H519" s="18"/>
      <c r="I519" s="67"/>
    </row>
    <row r="520" spans="1:9" x14ac:dyDescent="0.25">
      <c r="A520" s="13"/>
      <c r="G520" s="65"/>
      <c r="H520" s="19"/>
      <c r="I520" s="68"/>
    </row>
    <row r="521" spans="1:9" x14ac:dyDescent="0.25">
      <c r="A521" s="14"/>
      <c r="B521" s="24"/>
      <c r="C521" s="10"/>
      <c r="D521" s="10"/>
      <c r="E521" s="28"/>
      <c r="F521" s="28"/>
      <c r="G521" s="63"/>
      <c r="H521" s="18"/>
      <c r="I521" s="67"/>
    </row>
    <row r="522" spans="1:9" x14ac:dyDescent="0.25">
      <c r="A522" s="13"/>
      <c r="G522" s="65"/>
      <c r="H522" s="19"/>
      <c r="I522" s="68"/>
    </row>
    <row r="523" spans="1:9" x14ac:dyDescent="0.25">
      <c r="A523" s="14"/>
      <c r="B523" s="24"/>
      <c r="C523" s="10"/>
      <c r="D523" s="10"/>
      <c r="E523" s="28"/>
      <c r="F523" s="28"/>
      <c r="G523" s="63"/>
      <c r="H523" s="18"/>
      <c r="I523" s="67"/>
    </row>
    <row r="524" spans="1:9" x14ac:dyDescent="0.25">
      <c r="A524" s="13"/>
      <c r="G524" s="65"/>
      <c r="H524" s="19"/>
      <c r="I524" s="68"/>
    </row>
    <row r="525" spans="1:9" x14ac:dyDescent="0.25">
      <c r="A525" s="14"/>
      <c r="B525" s="24"/>
      <c r="C525" s="10"/>
      <c r="D525" s="10"/>
      <c r="E525" s="28"/>
      <c r="F525" s="28"/>
      <c r="G525" s="63"/>
      <c r="H525" s="18"/>
      <c r="I525" s="67"/>
    </row>
    <row r="526" spans="1:9" x14ac:dyDescent="0.25">
      <c r="A526" s="13"/>
      <c r="G526" s="65"/>
      <c r="H526" s="19"/>
      <c r="I526" s="68"/>
    </row>
    <row r="527" spans="1:9" x14ac:dyDescent="0.25">
      <c r="A527" s="14"/>
      <c r="B527" s="24"/>
      <c r="C527" s="10"/>
      <c r="D527" s="10"/>
      <c r="E527" s="28"/>
      <c r="F527" s="28"/>
      <c r="G527" s="63"/>
      <c r="H527" s="18"/>
      <c r="I527" s="67"/>
    </row>
    <row r="528" spans="1:9" x14ac:dyDescent="0.25">
      <c r="A528" s="13"/>
      <c r="G528" s="65"/>
      <c r="H528" s="19"/>
      <c r="I528" s="68"/>
    </row>
    <row r="529" spans="1:9" x14ac:dyDescent="0.25">
      <c r="A529" s="14"/>
      <c r="B529" s="24"/>
      <c r="C529" s="10"/>
      <c r="D529" s="10"/>
      <c r="E529" s="28"/>
      <c r="F529" s="28"/>
      <c r="G529" s="63"/>
      <c r="H529" s="18"/>
      <c r="I529" s="67"/>
    </row>
    <row r="530" spans="1:9" x14ac:dyDescent="0.25">
      <c r="A530" s="13"/>
      <c r="G530" s="65"/>
      <c r="H530" s="19"/>
      <c r="I530" s="68"/>
    </row>
    <row r="531" spans="1:9" x14ac:dyDescent="0.25">
      <c r="A531" s="14"/>
      <c r="B531" s="24"/>
      <c r="C531" s="10"/>
      <c r="D531" s="10"/>
      <c r="E531" s="28"/>
      <c r="F531" s="28"/>
      <c r="G531" s="63"/>
      <c r="H531" s="18"/>
      <c r="I531" s="67"/>
    </row>
    <row r="532" spans="1:9" x14ac:dyDescent="0.25">
      <c r="A532" s="13"/>
      <c r="G532" s="65"/>
      <c r="H532" s="19"/>
      <c r="I532" s="68"/>
    </row>
    <row r="533" spans="1:9" x14ac:dyDescent="0.25">
      <c r="A533" s="14"/>
      <c r="B533" s="24"/>
      <c r="C533" s="10"/>
      <c r="D533" s="10"/>
      <c r="E533" s="28"/>
      <c r="F533" s="28"/>
      <c r="G533" s="63"/>
      <c r="H533" s="18"/>
      <c r="I533" s="67"/>
    </row>
    <row r="534" spans="1:9" x14ac:dyDescent="0.25">
      <c r="A534" s="13"/>
      <c r="G534" s="65"/>
      <c r="H534" s="19"/>
      <c r="I534" s="68"/>
    </row>
    <row r="535" spans="1:9" x14ac:dyDescent="0.25">
      <c r="A535" s="14"/>
      <c r="B535" s="24"/>
      <c r="C535" s="10"/>
      <c r="D535" s="10"/>
      <c r="E535" s="28"/>
      <c r="F535" s="28"/>
      <c r="G535" s="63"/>
      <c r="H535" s="18"/>
      <c r="I535" s="67"/>
    </row>
    <row r="536" spans="1:9" x14ac:dyDescent="0.25">
      <c r="A536" s="13"/>
      <c r="G536" s="65"/>
      <c r="H536" s="19"/>
      <c r="I536" s="68"/>
    </row>
    <row r="537" spans="1:9" x14ac:dyDescent="0.25">
      <c r="A537" s="14"/>
      <c r="B537" s="24"/>
      <c r="C537" s="10"/>
      <c r="D537" s="10"/>
      <c r="E537" s="28"/>
      <c r="F537" s="28"/>
      <c r="G537" s="63"/>
      <c r="H537" s="18"/>
      <c r="I537" s="67"/>
    </row>
    <row r="538" spans="1:9" x14ac:dyDescent="0.25">
      <c r="A538" s="13"/>
      <c r="G538" s="65"/>
      <c r="H538" s="19"/>
      <c r="I538" s="68"/>
    </row>
    <row r="539" spans="1:9" x14ac:dyDescent="0.25">
      <c r="A539" s="14"/>
      <c r="B539" s="24"/>
      <c r="C539" s="10"/>
      <c r="D539" s="10"/>
      <c r="E539" s="28"/>
      <c r="F539" s="28"/>
      <c r="G539" s="63"/>
      <c r="H539" s="18"/>
      <c r="I539" s="67"/>
    </row>
    <row r="540" spans="1:9" x14ac:dyDescent="0.25">
      <c r="A540" s="13"/>
      <c r="G540" s="65"/>
      <c r="H540" s="19"/>
      <c r="I540" s="68"/>
    </row>
    <row r="541" spans="1:9" x14ac:dyDescent="0.25">
      <c r="A541" s="14"/>
      <c r="B541" s="24"/>
      <c r="C541" s="10"/>
      <c r="D541" s="10"/>
      <c r="E541" s="28"/>
      <c r="F541" s="28"/>
      <c r="G541" s="63"/>
      <c r="H541" s="18"/>
      <c r="I541" s="67"/>
    </row>
    <row r="542" spans="1:9" x14ac:dyDescent="0.25">
      <c r="A542" s="13"/>
      <c r="G542" s="65"/>
      <c r="H542" s="19"/>
      <c r="I542" s="68"/>
    </row>
    <row r="543" spans="1:9" x14ac:dyDescent="0.25">
      <c r="A543" s="14"/>
      <c r="B543" s="24"/>
      <c r="C543" s="10"/>
      <c r="D543" s="10"/>
      <c r="E543" s="28"/>
      <c r="F543" s="28"/>
      <c r="G543" s="63"/>
      <c r="H543" s="18"/>
      <c r="I543" s="67"/>
    </row>
    <row r="544" spans="1:9" x14ac:dyDescent="0.25">
      <c r="A544" s="13"/>
      <c r="G544" s="65"/>
      <c r="H544" s="19"/>
      <c r="I544" s="68"/>
    </row>
    <row r="545" spans="1:9" x14ac:dyDescent="0.25">
      <c r="A545" s="14"/>
      <c r="B545" s="24"/>
      <c r="C545" s="10"/>
      <c r="D545" s="10"/>
      <c r="E545" s="28"/>
      <c r="F545" s="28"/>
      <c r="G545" s="63"/>
      <c r="H545" s="18"/>
      <c r="I545" s="67"/>
    </row>
    <row r="546" spans="1:9" x14ac:dyDescent="0.25">
      <c r="A546" s="13"/>
      <c r="G546" s="65"/>
      <c r="H546" s="19"/>
      <c r="I546" s="68"/>
    </row>
    <row r="547" spans="1:9" x14ac:dyDescent="0.25">
      <c r="A547" s="14"/>
      <c r="B547" s="24"/>
      <c r="C547" s="10"/>
      <c r="D547" s="10"/>
      <c r="E547" s="28"/>
      <c r="F547" s="28"/>
      <c r="G547" s="63"/>
      <c r="H547" s="18"/>
      <c r="I547" s="67"/>
    </row>
    <row r="548" spans="1:9" x14ac:dyDescent="0.25">
      <c r="A548" s="13"/>
      <c r="G548" s="65"/>
      <c r="H548" s="19"/>
      <c r="I548" s="68"/>
    </row>
    <row r="549" spans="1:9" x14ac:dyDescent="0.25">
      <c r="A549" s="14"/>
      <c r="B549" s="24"/>
      <c r="C549" s="10"/>
      <c r="D549" s="10"/>
      <c r="E549" s="28"/>
      <c r="F549" s="28"/>
      <c r="G549" s="63"/>
      <c r="H549" s="18"/>
      <c r="I549" s="67"/>
    </row>
    <row r="550" spans="1:9" x14ac:dyDescent="0.25">
      <c r="A550" s="13"/>
      <c r="G550" s="65"/>
      <c r="H550" s="19"/>
      <c r="I550" s="68"/>
    </row>
    <row r="551" spans="1:9" x14ac:dyDescent="0.25">
      <c r="A551" s="14"/>
      <c r="B551" s="24"/>
      <c r="C551" s="10"/>
      <c r="D551" s="10"/>
      <c r="E551" s="28"/>
      <c r="F551" s="28"/>
      <c r="G551" s="63"/>
      <c r="H551" s="18"/>
      <c r="I551" s="67"/>
    </row>
    <row r="552" spans="1:9" x14ac:dyDescent="0.25">
      <c r="A552" s="13"/>
      <c r="G552" s="65"/>
      <c r="H552" s="19"/>
      <c r="I552" s="68"/>
    </row>
    <row r="553" spans="1:9" x14ac:dyDescent="0.25">
      <c r="A553" s="14"/>
      <c r="B553" s="24"/>
      <c r="C553" s="10"/>
      <c r="D553" s="10"/>
      <c r="E553" s="28"/>
      <c r="F553" s="28"/>
      <c r="G553" s="63"/>
      <c r="H553" s="18"/>
      <c r="I553" s="67"/>
    </row>
    <row r="554" spans="1:9" x14ac:dyDescent="0.25">
      <c r="A554" s="13"/>
      <c r="G554" s="65"/>
      <c r="H554" s="19"/>
      <c r="I554" s="68"/>
    </row>
    <row r="555" spans="1:9" x14ac:dyDescent="0.25">
      <c r="A555" s="14"/>
      <c r="B555" s="24"/>
      <c r="C555" s="10"/>
      <c r="D555" s="10"/>
      <c r="E555" s="28"/>
      <c r="F555" s="28"/>
      <c r="G555" s="63"/>
      <c r="H555" s="18"/>
      <c r="I555" s="67"/>
    </row>
    <row r="556" spans="1:9" x14ac:dyDescent="0.25">
      <c r="A556" s="13"/>
      <c r="G556" s="65"/>
      <c r="H556" s="19"/>
      <c r="I556" s="68"/>
    </row>
    <row r="557" spans="1:9" x14ac:dyDescent="0.25">
      <c r="A557" s="14"/>
      <c r="B557" s="24"/>
      <c r="C557" s="10"/>
      <c r="D557" s="10"/>
      <c r="E557" s="28"/>
      <c r="F557" s="28"/>
      <c r="G557" s="63"/>
      <c r="H557" s="18"/>
      <c r="I557" s="67"/>
    </row>
    <row r="558" spans="1:9" x14ac:dyDescent="0.25">
      <c r="A558" s="13"/>
      <c r="G558" s="65"/>
      <c r="H558" s="19"/>
      <c r="I558" s="68"/>
    </row>
    <row r="559" spans="1:9" x14ac:dyDescent="0.25">
      <c r="A559" s="14"/>
      <c r="B559" s="24"/>
      <c r="C559" s="10"/>
      <c r="D559" s="10"/>
      <c r="E559" s="28"/>
      <c r="F559" s="28"/>
      <c r="G559" s="63"/>
      <c r="H559" s="18"/>
      <c r="I559" s="67"/>
    </row>
    <row r="560" spans="1:9" x14ac:dyDescent="0.25">
      <c r="A560" s="13"/>
      <c r="G560" s="65"/>
      <c r="H560" s="19"/>
      <c r="I560" s="68"/>
    </row>
    <row r="561" spans="1:9" x14ac:dyDescent="0.25">
      <c r="A561" s="14"/>
      <c r="B561" s="24"/>
      <c r="C561" s="10"/>
      <c r="D561" s="10"/>
      <c r="E561" s="28"/>
      <c r="F561" s="28"/>
      <c r="G561" s="63"/>
      <c r="H561" s="18"/>
      <c r="I561" s="67"/>
    </row>
    <row r="562" spans="1:9" x14ac:dyDescent="0.25">
      <c r="A562" s="13"/>
      <c r="G562" s="65"/>
      <c r="H562" s="19"/>
      <c r="I562" s="68"/>
    </row>
    <row r="563" spans="1:9" x14ac:dyDescent="0.25">
      <c r="A563" s="14"/>
      <c r="B563" s="24"/>
      <c r="C563" s="10"/>
      <c r="D563" s="10"/>
      <c r="E563" s="28"/>
      <c r="F563" s="28"/>
      <c r="G563" s="63"/>
      <c r="H563" s="18"/>
      <c r="I563" s="67"/>
    </row>
    <row r="564" spans="1:9" x14ac:dyDescent="0.25">
      <c r="A564" s="13"/>
      <c r="G564" s="65"/>
      <c r="H564" s="19"/>
      <c r="I564" s="68"/>
    </row>
    <row r="565" spans="1:9" x14ac:dyDescent="0.25">
      <c r="A565" s="14"/>
      <c r="B565" s="24"/>
      <c r="C565" s="10"/>
      <c r="D565" s="10"/>
      <c r="E565" s="28"/>
      <c r="F565" s="28"/>
      <c r="G565" s="63"/>
      <c r="H565" s="18"/>
      <c r="I565" s="67"/>
    </row>
    <row r="566" spans="1:9" x14ac:dyDescent="0.25">
      <c r="A566" s="13"/>
      <c r="G566" s="65"/>
      <c r="H566" s="19"/>
      <c r="I566" s="68"/>
    </row>
    <row r="567" spans="1:9" x14ac:dyDescent="0.25">
      <c r="A567" s="14"/>
      <c r="B567" s="24"/>
      <c r="C567" s="10"/>
      <c r="D567" s="10"/>
      <c r="E567" s="28"/>
      <c r="F567" s="28"/>
      <c r="G567" s="63"/>
      <c r="H567" s="18"/>
      <c r="I567" s="67"/>
    </row>
    <row r="568" spans="1:9" x14ac:dyDescent="0.25">
      <c r="A568" s="13"/>
      <c r="G568" s="65"/>
      <c r="H568" s="19"/>
      <c r="I568" s="68"/>
    </row>
    <row r="569" spans="1:9" x14ac:dyDescent="0.25">
      <c r="A569" s="14"/>
      <c r="B569" s="24"/>
      <c r="C569" s="10"/>
      <c r="D569" s="10"/>
      <c r="E569" s="28"/>
      <c r="F569" s="28"/>
      <c r="G569" s="63"/>
      <c r="H569" s="18"/>
      <c r="I569" s="67"/>
    </row>
    <row r="570" spans="1:9" x14ac:dyDescent="0.25">
      <c r="A570" s="13"/>
      <c r="G570" s="65"/>
      <c r="H570" s="19"/>
      <c r="I570" s="68"/>
    </row>
    <row r="571" spans="1:9" x14ac:dyDescent="0.25">
      <c r="A571" s="14"/>
      <c r="B571" s="24"/>
      <c r="C571" s="10"/>
      <c r="D571" s="10"/>
      <c r="E571" s="28"/>
      <c r="F571" s="28"/>
      <c r="G571" s="63"/>
      <c r="H571" s="18"/>
      <c r="I571" s="67"/>
    </row>
    <row r="572" spans="1:9" x14ac:dyDescent="0.25">
      <c r="A572" s="13"/>
      <c r="G572" s="65"/>
      <c r="H572" s="19"/>
      <c r="I572" s="68"/>
    </row>
    <row r="573" spans="1:9" x14ac:dyDescent="0.25">
      <c r="A573" s="14"/>
      <c r="B573" s="24"/>
      <c r="C573" s="10"/>
      <c r="D573" s="10"/>
      <c r="E573" s="28"/>
      <c r="F573" s="28"/>
      <c r="G573" s="63"/>
      <c r="H573" s="18"/>
      <c r="I573" s="67"/>
    </row>
    <row r="574" spans="1:9" x14ac:dyDescent="0.25">
      <c r="A574" s="13"/>
      <c r="G574" s="65"/>
      <c r="H574" s="19"/>
      <c r="I574" s="68"/>
    </row>
    <row r="575" spans="1:9" x14ac:dyDescent="0.25">
      <c r="A575" s="14"/>
      <c r="B575" s="24"/>
      <c r="C575" s="10"/>
      <c r="D575" s="10"/>
      <c r="E575" s="28"/>
      <c r="F575" s="28"/>
      <c r="G575" s="63"/>
      <c r="H575" s="18"/>
      <c r="I575" s="67"/>
    </row>
    <row r="576" spans="1:9" x14ac:dyDescent="0.25">
      <c r="A576" s="13"/>
      <c r="G576" s="65"/>
      <c r="H576" s="19"/>
      <c r="I576" s="68"/>
    </row>
    <row r="577" spans="1:9" x14ac:dyDescent="0.25">
      <c r="A577" s="14"/>
      <c r="B577" s="24"/>
      <c r="C577" s="10"/>
      <c r="D577" s="10"/>
      <c r="E577" s="28"/>
      <c r="F577" s="28"/>
      <c r="G577" s="63"/>
      <c r="H577" s="18"/>
      <c r="I577" s="67"/>
    </row>
    <row r="578" spans="1:9" x14ac:dyDescent="0.25">
      <c r="A578" s="13"/>
      <c r="G578" s="65"/>
      <c r="H578" s="19"/>
      <c r="I578" s="68"/>
    </row>
    <row r="579" spans="1:9" x14ac:dyDescent="0.25">
      <c r="A579" s="14"/>
      <c r="B579" s="24"/>
      <c r="C579" s="10"/>
      <c r="D579" s="10"/>
      <c r="E579" s="28"/>
      <c r="F579" s="28"/>
      <c r="G579" s="63"/>
      <c r="H579" s="18"/>
      <c r="I579" s="67"/>
    </row>
    <row r="580" spans="1:9" x14ac:dyDescent="0.25">
      <c r="A580" s="13"/>
      <c r="G580" s="65"/>
      <c r="H580" s="19"/>
      <c r="I580" s="68"/>
    </row>
    <row r="581" spans="1:9" x14ac:dyDescent="0.25">
      <c r="A581" s="14"/>
      <c r="B581" s="24"/>
      <c r="C581" s="10"/>
      <c r="D581" s="10"/>
      <c r="E581" s="28"/>
      <c r="F581" s="28"/>
      <c r="G581" s="63"/>
      <c r="H581" s="18"/>
      <c r="I581" s="67"/>
    </row>
    <row r="582" spans="1:9" x14ac:dyDescent="0.25">
      <c r="A582" s="13"/>
      <c r="G582" s="65"/>
      <c r="H582" s="19"/>
      <c r="I582" s="68"/>
    </row>
    <row r="583" spans="1:9" x14ac:dyDescent="0.25">
      <c r="A583" s="14"/>
      <c r="B583" s="24"/>
      <c r="C583" s="10"/>
      <c r="D583" s="10"/>
      <c r="E583" s="28"/>
      <c r="F583" s="28"/>
      <c r="G583" s="63"/>
      <c r="H583" s="18"/>
      <c r="I583" s="67"/>
    </row>
    <row r="584" spans="1:9" x14ac:dyDescent="0.25">
      <c r="A584" s="13"/>
      <c r="G584" s="65"/>
      <c r="H584" s="19"/>
      <c r="I584" s="68"/>
    </row>
    <row r="585" spans="1:9" x14ac:dyDescent="0.25">
      <c r="A585" s="14"/>
      <c r="B585" s="24"/>
      <c r="C585" s="10"/>
      <c r="D585" s="10"/>
      <c r="E585" s="28"/>
      <c r="F585" s="28"/>
      <c r="G585" s="63"/>
      <c r="H585" s="18"/>
      <c r="I585" s="67"/>
    </row>
    <row r="586" spans="1:9" x14ac:dyDescent="0.25">
      <c r="A586" s="13"/>
      <c r="G586" s="65"/>
      <c r="H586" s="19"/>
      <c r="I586" s="68"/>
    </row>
    <row r="587" spans="1:9" x14ac:dyDescent="0.25">
      <c r="A587" s="14"/>
      <c r="B587" s="24"/>
      <c r="C587" s="10"/>
      <c r="D587" s="10"/>
      <c r="E587" s="28"/>
      <c r="F587" s="28"/>
      <c r="G587" s="63"/>
      <c r="H587" s="18"/>
      <c r="I587" s="67"/>
    </row>
    <row r="588" spans="1:9" x14ac:dyDescent="0.25">
      <c r="A588" s="13"/>
      <c r="G588" s="65"/>
      <c r="H588" s="19"/>
      <c r="I588" s="68"/>
    </row>
    <row r="589" spans="1:9" x14ac:dyDescent="0.25">
      <c r="A589" s="14"/>
      <c r="B589" s="24"/>
      <c r="C589" s="10"/>
      <c r="D589" s="10"/>
      <c r="E589" s="28"/>
      <c r="F589" s="28"/>
      <c r="G589" s="63"/>
      <c r="H589" s="18"/>
      <c r="I589" s="67"/>
    </row>
    <row r="590" spans="1:9" x14ac:dyDescent="0.25">
      <c r="A590" s="13"/>
      <c r="G590" s="65"/>
      <c r="H590" s="19"/>
      <c r="I590" s="68"/>
    </row>
    <row r="591" spans="1:9" x14ac:dyDescent="0.25">
      <c r="A591" s="14"/>
      <c r="B591" s="24"/>
      <c r="C591" s="10"/>
      <c r="D591" s="10"/>
      <c r="E591" s="28"/>
      <c r="F591" s="28"/>
      <c r="G591" s="63"/>
      <c r="H591" s="18"/>
      <c r="I591" s="67"/>
    </row>
    <row r="592" spans="1:9" x14ac:dyDescent="0.25">
      <c r="A592" s="13"/>
      <c r="G592" s="65"/>
      <c r="H592" s="19"/>
      <c r="I592" s="68"/>
    </row>
    <row r="593" spans="1:9" x14ac:dyDescent="0.25">
      <c r="A593" s="14"/>
      <c r="B593" s="24"/>
      <c r="C593" s="10"/>
      <c r="D593" s="10"/>
      <c r="E593" s="28"/>
      <c r="F593" s="28"/>
      <c r="G593" s="63"/>
      <c r="H593" s="18"/>
      <c r="I593" s="67"/>
    </row>
    <row r="594" spans="1:9" x14ac:dyDescent="0.25">
      <c r="A594" s="13"/>
      <c r="G594" s="65"/>
      <c r="H594" s="19"/>
      <c r="I594" s="68"/>
    </row>
    <row r="595" spans="1:9" x14ac:dyDescent="0.25">
      <c r="A595" s="14"/>
      <c r="B595" s="24"/>
      <c r="C595" s="10"/>
      <c r="D595" s="10"/>
      <c r="E595" s="28"/>
      <c r="F595" s="28"/>
      <c r="G595" s="63"/>
      <c r="H595" s="18"/>
      <c r="I595" s="67"/>
    </row>
    <row r="596" spans="1:9" x14ac:dyDescent="0.25">
      <c r="A596" s="13"/>
      <c r="G596" s="65"/>
      <c r="H596" s="19"/>
      <c r="I596" s="68"/>
    </row>
    <row r="597" spans="1:9" x14ac:dyDescent="0.25">
      <c r="A597" s="14"/>
      <c r="B597" s="24"/>
      <c r="C597" s="10"/>
      <c r="D597" s="10"/>
      <c r="E597" s="28"/>
      <c r="F597" s="28"/>
      <c r="G597" s="63"/>
      <c r="H597" s="18"/>
      <c r="I597" s="67"/>
    </row>
    <row r="598" spans="1:9" x14ac:dyDescent="0.25">
      <c r="A598" s="13"/>
      <c r="G598" s="65"/>
      <c r="H598" s="19"/>
      <c r="I598" s="68"/>
    </row>
    <row r="599" spans="1:9" x14ac:dyDescent="0.25">
      <c r="A599" s="14"/>
      <c r="B599" s="24"/>
      <c r="C599" s="10"/>
      <c r="D599" s="10"/>
      <c r="E599" s="28"/>
      <c r="F599" s="28"/>
      <c r="G599" s="63"/>
      <c r="H599" s="18"/>
      <c r="I599" s="67"/>
    </row>
    <row r="600" spans="1:9" x14ac:dyDescent="0.25">
      <c r="A600" s="13"/>
      <c r="G600" s="65"/>
      <c r="H600" s="19"/>
      <c r="I600" s="68"/>
    </row>
    <row r="601" spans="1:9" x14ac:dyDescent="0.25">
      <c r="A601" s="14"/>
      <c r="B601" s="24"/>
      <c r="C601" s="10"/>
      <c r="D601" s="10"/>
      <c r="E601" s="28"/>
      <c r="F601" s="28"/>
      <c r="G601" s="63"/>
      <c r="H601" s="18"/>
      <c r="I601" s="67"/>
    </row>
    <row r="602" spans="1:9" x14ac:dyDescent="0.25">
      <c r="A602" s="13"/>
      <c r="G602" s="65"/>
      <c r="H602" s="19"/>
      <c r="I602" s="68"/>
    </row>
    <row r="603" spans="1:9" x14ac:dyDescent="0.25">
      <c r="A603" s="14"/>
      <c r="B603" s="24"/>
      <c r="C603" s="10"/>
      <c r="D603" s="10"/>
      <c r="E603" s="28"/>
      <c r="F603" s="28"/>
      <c r="G603" s="63"/>
      <c r="H603" s="18"/>
      <c r="I603" s="67"/>
    </row>
    <row r="604" spans="1:9" x14ac:dyDescent="0.25">
      <c r="A604" s="13"/>
      <c r="G604" s="65"/>
      <c r="H604" s="19"/>
      <c r="I604" s="68"/>
    </row>
    <row r="605" spans="1:9" x14ac:dyDescent="0.25">
      <c r="A605" s="14"/>
      <c r="B605" s="24"/>
      <c r="C605" s="10"/>
      <c r="D605" s="10"/>
      <c r="E605" s="28"/>
      <c r="F605" s="28"/>
      <c r="G605" s="63"/>
      <c r="H605" s="18"/>
      <c r="I605" s="67"/>
    </row>
    <row r="606" spans="1:9" x14ac:dyDescent="0.25">
      <c r="A606" s="13"/>
      <c r="G606" s="65"/>
      <c r="H606" s="19"/>
      <c r="I606" s="68"/>
    </row>
    <row r="607" spans="1:9" x14ac:dyDescent="0.25">
      <c r="A607" s="14"/>
      <c r="B607" s="24"/>
      <c r="C607" s="10"/>
      <c r="D607" s="10"/>
      <c r="E607" s="28"/>
      <c r="F607" s="28"/>
      <c r="G607" s="63"/>
      <c r="H607" s="18"/>
      <c r="I607" s="67"/>
    </row>
    <row r="608" spans="1:9" x14ac:dyDescent="0.25">
      <c r="A608" s="13"/>
      <c r="G608" s="65"/>
      <c r="H608" s="19"/>
      <c r="I608" s="68"/>
    </row>
    <row r="609" spans="1:9" x14ac:dyDescent="0.25">
      <c r="A609" s="14"/>
      <c r="B609" s="24"/>
      <c r="C609" s="10"/>
      <c r="D609" s="10"/>
      <c r="E609" s="28"/>
      <c r="F609" s="28"/>
      <c r="G609" s="63"/>
      <c r="H609" s="18"/>
      <c r="I609" s="67"/>
    </row>
    <row r="610" spans="1:9" x14ac:dyDescent="0.25">
      <c r="A610" s="13"/>
      <c r="G610" s="65"/>
      <c r="H610" s="19"/>
      <c r="I610" s="68"/>
    </row>
    <row r="611" spans="1:9" x14ac:dyDescent="0.25">
      <c r="A611" s="14"/>
      <c r="B611" s="24"/>
      <c r="C611" s="10"/>
      <c r="D611" s="10"/>
      <c r="E611" s="28"/>
      <c r="F611" s="28"/>
      <c r="G611" s="63"/>
      <c r="H611" s="18"/>
      <c r="I611" s="67"/>
    </row>
    <row r="612" spans="1:9" x14ac:dyDescent="0.25">
      <c r="A612" s="13"/>
      <c r="G612" s="65"/>
      <c r="H612" s="19"/>
      <c r="I612" s="68"/>
    </row>
    <row r="613" spans="1:9" x14ac:dyDescent="0.25">
      <c r="A613" s="14"/>
      <c r="B613" s="24"/>
      <c r="C613" s="10"/>
      <c r="D613" s="10"/>
      <c r="E613" s="28"/>
      <c r="F613" s="28"/>
      <c r="G613" s="63"/>
      <c r="H613" s="18"/>
      <c r="I613" s="67"/>
    </row>
    <row r="614" spans="1:9" x14ac:dyDescent="0.25">
      <c r="A614" s="13"/>
      <c r="G614" s="65"/>
      <c r="H614" s="19"/>
      <c r="I614" s="68"/>
    </row>
    <row r="615" spans="1:9" x14ac:dyDescent="0.25">
      <c r="A615" s="14"/>
      <c r="B615" s="24"/>
      <c r="C615" s="10"/>
      <c r="D615" s="10"/>
      <c r="E615" s="28"/>
      <c r="F615" s="28"/>
      <c r="G615" s="63"/>
      <c r="H615" s="18"/>
      <c r="I615" s="67"/>
    </row>
    <row r="616" spans="1:9" x14ac:dyDescent="0.25">
      <c r="A616" s="13"/>
      <c r="G616" s="65"/>
      <c r="H616" s="19"/>
      <c r="I616" s="68"/>
    </row>
    <row r="617" spans="1:9" x14ac:dyDescent="0.25">
      <c r="A617" s="14"/>
      <c r="B617" s="24"/>
      <c r="C617" s="10"/>
      <c r="D617" s="10"/>
      <c r="E617" s="28"/>
      <c r="F617" s="28"/>
      <c r="G617" s="63"/>
      <c r="H617" s="18"/>
      <c r="I617" s="67"/>
    </row>
    <row r="618" spans="1:9" x14ac:dyDescent="0.25">
      <c r="A618" s="13"/>
      <c r="G618" s="65"/>
      <c r="H618" s="19"/>
      <c r="I618" s="68"/>
    </row>
    <row r="619" spans="1:9" x14ac:dyDescent="0.25">
      <c r="A619" s="14"/>
      <c r="B619" s="24"/>
      <c r="C619" s="10"/>
      <c r="D619" s="10"/>
      <c r="E619" s="28"/>
      <c r="F619" s="28"/>
      <c r="G619" s="63"/>
      <c r="H619" s="18"/>
      <c r="I619" s="67"/>
    </row>
    <row r="620" spans="1:9" x14ac:dyDescent="0.25">
      <c r="A620" s="13"/>
      <c r="G620" s="65"/>
      <c r="H620" s="19"/>
      <c r="I620" s="68"/>
    </row>
    <row r="621" spans="1:9" x14ac:dyDescent="0.25">
      <c r="A621" s="14"/>
      <c r="B621" s="24"/>
      <c r="C621" s="10"/>
      <c r="D621" s="10"/>
      <c r="E621" s="28"/>
      <c r="F621" s="28"/>
      <c r="G621" s="63"/>
      <c r="H621" s="18"/>
      <c r="I621" s="67"/>
    </row>
    <row r="622" spans="1:9" x14ac:dyDescent="0.25">
      <c r="A622" s="13"/>
      <c r="G622" s="65"/>
      <c r="H622" s="19"/>
      <c r="I622" s="68"/>
    </row>
    <row r="623" spans="1:9" x14ac:dyDescent="0.25">
      <c r="A623" s="14"/>
      <c r="B623" s="24"/>
      <c r="C623" s="10"/>
      <c r="D623" s="10"/>
      <c r="E623" s="28"/>
      <c r="F623" s="28"/>
      <c r="G623" s="63"/>
      <c r="H623" s="18"/>
      <c r="I623" s="67"/>
    </row>
    <row r="624" spans="1:9" x14ac:dyDescent="0.25">
      <c r="A624" s="13"/>
      <c r="G624" s="65"/>
      <c r="H624" s="19"/>
      <c r="I624" s="68"/>
    </row>
    <row r="625" spans="1:9" x14ac:dyDescent="0.25">
      <c r="A625" s="14"/>
      <c r="B625" s="24"/>
      <c r="C625" s="10"/>
      <c r="D625" s="10"/>
      <c r="E625" s="28"/>
      <c r="F625" s="28"/>
      <c r="G625" s="63"/>
      <c r="H625" s="18"/>
      <c r="I625" s="67"/>
    </row>
    <row r="626" spans="1:9" x14ac:dyDescent="0.25">
      <c r="A626" s="13"/>
      <c r="G626" s="65"/>
      <c r="H626" s="19"/>
      <c r="I626" s="68"/>
    </row>
    <row r="627" spans="1:9" x14ac:dyDescent="0.25">
      <c r="A627" s="14"/>
      <c r="B627" s="24"/>
      <c r="C627" s="10"/>
      <c r="D627" s="10"/>
      <c r="E627" s="28"/>
      <c r="F627" s="28"/>
      <c r="G627" s="63"/>
      <c r="H627" s="18"/>
      <c r="I627" s="67"/>
    </row>
    <row r="628" spans="1:9" x14ac:dyDescent="0.25">
      <c r="A628" s="13"/>
      <c r="G628" s="65"/>
      <c r="H628" s="19"/>
      <c r="I628" s="68"/>
    </row>
    <row r="629" spans="1:9" x14ac:dyDescent="0.25">
      <c r="A629" s="14"/>
      <c r="B629" s="24"/>
      <c r="C629" s="10"/>
      <c r="D629" s="10"/>
      <c r="E629" s="28"/>
      <c r="F629" s="28"/>
      <c r="G629" s="63"/>
      <c r="H629" s="18"/>
      <c r="I629" s="67"/>
    </row>
    <row r="630" spans="1:9" x14ac:dyDescent="0.25">
      <c r="A630" s="13"/>
      <c r="G630" s="65"/>
      <c r="H630" s="19"/>
      <c r="I630" s="68"/>
    </row>
    <row r="631" spans="1:9" x14ac:dyDescent="0.25">
      <c r="A631" s="14"/>
      <c r="B631" s="24"/>
      <c r="C631" s="10"/>
      <c r="D631" s="10"/>
      <c r="E631" s="28"/>
      <c r="F631" s="28"/>
      <c r="G631" s="63"/>
      <c r="H631" s="18"/>
      <c r="I631" s="67"/>
    </row>
    <row r="632" spans="1:9" x14ac:dyDescent="0.25">
      <c r="A632" s="13"/>
      <c r="G632" s="65"/>
      <c r="H632" s="19"/>
      <c r="I632" s="68"/>
    </row>
    <row r="633" spans="1:9" x14ac:dyDescent="0.25">
      <c r="A633" s="14"/>
      <c r="B633" s="24"/>
      <c r="C633" s="10"/>
      <c r="D633" s="10"/>
      <c r="E633" s="28"/>
      <c r="F633" s="28"/>
      <c r="G633" s="63"/>
      <c r="H633" s="18"/>
      <c r="I633" s="67"/>
    </row>
    <row r="634" spans="1:9" x14ac:dyDescent="0.25">
      <c r="A634" s="13"/>
      <c r="G634" s="65"/>
      <c r="H634" s="19"/>
      <c r="I634" s="68"/>
    </row>
    <row r="635" spans="1:9" x14ac:dyDescent="0.25">
      <c r="A635" s="14"/>
      <c r="B635" s="24"/>
      <c r="C635" s="10"/>
      <c r="D635" s="10"/>
      <c r="E635" s="28"/>
      <c r="F635" s="28"/>
      <c r="G635" s="63"/>
      <c r="H635" s="18"/>
      <c r="I635" s="67"/>
    </row>
    <row r="636" spans="1:9" x14ac:dyDescent="0.25">
      <c r="A636" s="13"/>
      <c r="G636" s="65"/>
      <c r="H636" s="19"/>
      <c r="I636" s="68"/>
    </row>
    <row r="637" spans="1:9" x14ac:dyDescent="0.25">
      <c r="A637" s="14"/>
      <c r="B637" s="24"/>
      <c r="C637" s="10"/>
      <c r="D637" s="10"/>
      <c r="E637" s="28"/>
      <c r="F637" s="28"/>
      <c r="G637" s="63"/>
      <c r="H637" s="18"/>
      <c r="I637" s="67"/>
    </row>
    <row r="638" spans="1:9" x14ac:dyDescent="0.25">
      <c r="A638" s="13"/>
      <c r="G638" s="65"/>
      <c r="H638" s="19"/>
      <c r="I638" s="68"/>
    </row>
    <row r="639" spans="1:9" x14ac:dyDescent="0.25">
      <c r="A639" s="14"/>
      <c r="B639" s="24"/>
      <c r="C639" s="10"/>
      <c r="D639" s="10"/>
      <c r="E639" s="28"/>
      <c r="F639" s="28"/>
      <c r="G639" s="63"/>
      <c r="H639" s="18"/>
      <c r="I639" s="67"/>
    </row>
    <row r="640" spans="1:9" x14ac:dyDescent="0.25">
      <c r="A640" s="13"/>
      <c r="G640" s="65"/>
      <c r="H640" s="19"/>
      <c r="I640" s="68"/>
    </row>
    <row r="641" spans="1:9" x14ac:dyDescent="0.25">
      <c r="A641" s="14"/>
      <c r="B641" s="24"/>
      <c r="C641" s="10"/>
      <c r="D641" s="10"/>
      <c r="E641" s="28"/>
      <c r="F641" s="28"/>
      <c r="G641" s="63"/>
      <c r="H641" s="18"/>
      <c r="I641" s="67"/>
    </row>
    <row r="642" spans="1:9" x14ac:dyDescent="0.25">
      <c r="A642" s="13"/>
      <c r="G642" s="65"/>
      <c r="H642" s="19"/>
      <c r="I642" s="68"/>
    </row>
    <row r="643" spans="1:9" x14ac:dyDescent="0.25">
      <c r="A643" s="14"/>
      <c r="B643" s="24"/>
      <c r="C643" s="10"/>
      <c r="D643" s="10"/>
      <c r="E643" s="28"/>
      <c r="F643" s="28"/>
      <c r="G643" s="63"/>
      <c r="H643" s="18"/>
      <c r="I643" s="67"/>
    </row>
    <row r="644" spans="1:9" x14ac:dyDescent="0.25">
      <c r="A644" s="13"/>
      <c r="G644" s="65"/>
      <c r="H644" s="19"/>
      <c r="I644" s="68"/>
    </row>
    <row r="645" spans="1:9" x14ac:dyDescent="0.25">
      <c r="A645" s="14"/>
      <c r="B645" s="24"/>
      <c r="C645" s="10"/>
      <c r="D645" s="10"/>
      <c r="E645" s="28"/>
      <c r="F645" s="28"/>
      <c r="G645" s="63"/>
      <c r="H645" s="18"/>
      <c r="I645" s="67"/>
    </row>
    <row r="646" spans="1:9" x14ac:dyDescent="0.25">
      <c r="A646" s="13"/>
      <c r="G646" s="65"/>
      <c r="H646" s="19"/>
      <c r="I646" s="68"/>
    </row>
    <row r="647" spans="1:9" x14ac:dyDescent="0.25">
      <c r="A647" s="14"/>
      <c r="B647" s="24"/>
      <c r="C647" s="10"/>
      <c r="D647" s="10"/>
      <c r="E647" s="28"/>
      <c r="F647" s="28"/>
      <c r="G647" s="63"/>
      <c r="H647" s="18"/>
      <c r="I647" s="67"/>
    </row>
    <row r="648" spans="1:9" x14ac:dyDescent="0.25">
      <c r="A648" s="13"/>
      <c r="G648" s="65"/>
      <c r="H648" s="19"/>
      <c r="I648" s="68"/>
    </row>
    <row r="649" spans="1:9" x14ac:dyDescent="0.25">
      <c r="A649" s="14"/>
      <c r="B649" s="24"/>
      <c r="C649" s="10"/>
      <c r="D649" s="10"/>
      <c r="E649" s="28"/>
      <c r="F649" s="28"/>
      <c r="G649" s="63"/>
      <c r="H649" s="18"/>
      <c r="I649" s="67"/>
    </row>
    <row r="650" spans="1:9" x14ac:dyDescent="0.25">
      <c r="A650" s="13"/>
      <c r="G650" s="65"/>
      <c r="H650" s="19"/>
      <c r="I650" s="68"/>
    </row>
    <row r="651" spans="1:9" x14ac:dyDescent="0.25">
      <c r="A651" s="14"/>
      <c r="B651" s="24"/>
      <c r="C651" s="10"/>
      <c r="D651" s="10"/>
      <c r="E651" s="28"/>
      <c r="F651" s="28"/>
      <c r="G651" s="63"/>
      <c r="H651" s="18"/>
      <c r="I651" s="67"/>
    </row>
    <row r="652" spans="1:9" x14ac:dyDescent="0.25">
      <c r="A652" s="13"/>
      <c r="G652" s="65"/>
      <c r="H652" s="19"/>
      <c r="I652" s="68"/>
    </row>
    <row r="653" spans="1:9" x14ac:dyDescent="0.25">
      <c r="A653" s="14"/>
      <c r="B653" s="24"/>
      <c r="C653" s="10"/>
      <c r="D653" s="10"/>
      <c r="E653" s="28"/>
      <c r="F653" s="28"/>
      <c r="G653" s="63"/>
      <c r="H653" s="18"/>
      <c r="I653" s="67"/>
    </row>
    <row r="654" spans="1:9" x14ac:dyDescent="0.25">
      <c r="A654" s="13"/>
      <c r="G654" s="65"/>
      <c r="H654" s="19"/>
      <c r="I654" s="68"/>
    </row>
    <row r="655" spans="1:9" x14ac:dyDescent="0.25">
      <c r="A655" s="14"/>
      <c r="B655" s="24"/>
      <c r="C655" s="10"/>
      <c r="D655" s="10"/>
      <c r="E655" s="28"/>
      <c r="F655" s="28"/>
      <c r="G655" s="63"/>
      <c r="H655" s="18"/>
      <c r="I655" s="67"/>
    </row>
    <row r="656" spans="1:9" x14ac:dyDescent="0.25">
      <c r="A656" s="13"/>
      <c r="G656" s="65"/>
      <c r="H656" s="19"/>
      <c r="I656" s="68"/>
    </row>
    <row r="657" spans="1:9" x14ac:dyDescent="0.25">
      <c r="A657" s="14"/>
      <c r="B657" s="24"/>
      <c r="C657" s="10"/>
      <c r="D657" s="10"/>
      <c r="E657" s="28"/>
      <c r="F657" s="28"/>
      <c r="G657" s="63"/>
      <c r="H657" s="18"/>
      <c r="I657" s="67"/>
    </row>
    <row r="658" spans="1:9" x14ac:dyDescent="0.25">
      <c r="A658" s="13"/>
      <c r="G658" s="65"/>
      <c r="H658" s="19"/>
      <c r="I658" s="68"/>
    </row>
    <row r="659" spans="1:9" x14ac:dyDescent="0.25">
      <c r="A659" s="14"/>
      <c r="B659" s="24"/>
      <c r="C659" s="10"/>
      <c r="D659" s="10"/>
      <c r="E659" s="28"/>
      <c r="F659" s="28"/>
      <c r="G659" s="63"/>
      <c r="H659" s="18"/>
      <c r="I659" s="67"/>
    </row>
    <row r="660" spans="1:9" x14ac:dyDescent="0.25">
      <c r="A660" s="13"/>
      <c r="G660" s="65"/>
      <c r="H660" s="19"/>
      <c r="I660" s="68"/>
    </row>
    <row r="661" spans="1:9" x14ac:dyDescent="0.25">
      <c r="A661" s="14"/>
      <c r="B661" s="24"/>
      <c r="C661" s="10"/>
      <c r="D661" s="10"/>
      <c r="E661" s="28"/>
      <c r="F661" s="28"/>
      <c r="G661" s="63"/>
      <c r="H661" s="18"/>
      <c r="I661" s="67"/>
    </row>
    <row r="662" spans="1:9" x14ac:dyDescent="0.25">
      <c r="A662" s="13"/>
      <c r="G662" s="65"/>
      <c r="H662" s="19"/>
      <c r="I662" s="68"/>
    </row>
    <row r="663" spans="1:9" x14ac:dyDescent="0.25">
      <c r="A663" s="14"/>
      <c r="B663" s="24"/>
      <c r="C663" s="10"/>
      <c r="D663" s="10"/>
      <c r="E663" s="28"/>
      <c r="F663" s="28"/>
      <c r="G663" s="63"/>
      <c r="H663" s="18"/>
      <c r="I663" s="67"/>
    </row>
    <row r="664" spans="1:9" x14ac:dyDescent="0.25">
      <c r="A664" s="13"/>
      <c r="G664" s="65"/>
      <c r="H664" s="19"/>
      <c r="I664" s="68"/>
    </row>
    <row r="665" spans="1:9" x14ac:dyDescent="0.25">
      <c r="A665" s="14"/>
      <c r="B665" s="24"/>
      <c r="C665" s="10"/>
      <c r="D665" s="10"/>
      <c r="E665" s="28"/>
      <c r="F665" s="28"/>
      <c r="G665" s="63"/>
      <c r="H665" s="18"/>
      <c r="I665" s="67"/>
    </row>
    <row r="666" spans="1:9" x14ac:dyDescent="0.25">
      <c r="A666" s="13"/>
      <c r="G666" s="65"/>
      <c r="H666" s="19"/>
      <c r="I666" s="68"/>
    </row>
    <row r="667" spans="1:9" x14ac:dyDescent="0.25">
      <c r="A667" s="14"/>
      <c r="B667" s="24"/>
      <c r="C667" s="10"/>
      <c r="D667" s="10"/>
      <c r="E667" s="28"/>
      <c r="F667" s="28"/>
      <c r="G667" s="63"/>
      <c r="H667" s="18"/>
      <c r="I667" s="67"/>
    </row>
    <row r="668" spans="1:9" x14ac:dyDescent="0.25">
      <c r="A668" s="13"/>
      <c r="G668" s="65"/>
      <c r="H668" s="19"/>
      <c r="I668" s="68"/>
    </row>
    <row r="669" spans="1:9" x14ac:dyDescent="0.25">
      <c r="A669" s="14"/>
      <c r="B669" s="24"/>
      <c r="C669" s="10"/>
      <c r="D669" s="10"/>
      <c r="E669" s="28"/>
      <c r="F669" s="28"/>
      <c r="G669" s="63"/>
      <c r="H669" s="18"/>
      <c r="I669" s="67"/>
    </row>
    <row r="670" spans="1:9" x14ac:dyDescent="0.25">
      <c r="A670" s="13"/>
      <c r="G670" s="65"/>
      <c r="H670" s="19"/>
      <c r="I670" s="68"/>
    </row>
    <row r="671" spans="1:9" x14ac:dyDescent="0.25">
      <c r="A671" s="14"/>
      <c r="B671" s="24"/>
      <c r="C671" s="10"/>
      <c r="D671" s="10"/>
      <c r="E671" s="28"/>
      <c r="F671" s="28"/>
      <c r="G671" s="63"/>
      <c r="H671" s="18"/>
      <c r="I671" s="67"/>
    </row>
    <row r="672" spans="1:9" x14ac:dyDescent="0.25">
      <c r="A672" s="13"/>
      <c r="G672" s="65"/>
      <c r="H672" s="19"/>
      <c r="I672" s="68"/>
    </row>
    <row r="673" spans="1:9" x14ac:dyDescent="0.25">
      <c r="A673" s="14"/>
      <c r="B673" s="24"/>
      <c r="C673" s="10"/>
      <c r="D673" s="10"/>
      <c r="E673" s="28"/>
      <c r="F673" s="28"/>
      <c r="G673" s="63"/>
      <c r="H673" s="18"/>
      <c r="I673" s="67"/>
    </row>
    <row r="674" spans="1:9" x14ac:dyDescent="0.25">
      <c r="A674" s="13"/>
      <c r="G674" s="65"/>
      <c r="H674" s="19"/>
      <c r="I674" s="68"/>
    </row>
    <row r="675" spans="1:9" x14ac:dyDescent="0.25">
      <c r="A675" s="14"/>
      <c r="B675" s="24"/>
      <c r="C675" s="10"/>
      <c r="D675" s="10"/>
      <c r="E675" s="28"/>
      <c r="F675" s="28"/>
      <c r="G675" s="63"/>
      <c r="H675" s="18"/>
      <c r="I675" s="67"/>
    </row>
    <row r="676" spans="1:9" x14ac:dyDescent="0.25">
      <c r="A676" s="13"/>
      <c r="G676" s="65"/>
      <c r="H676" s="19"/>
      <c r="I676" s="68"/>
    </row>
    <row r="677" spans="1:9" x14ac:dyDescent="0.25">
      <c r="A677" s="14"/>
      <c r="B677" s="24"/>
      <c r="C677" s="10"/>
      <c r="D677" s="10"/>
      <c r="E677" s="28"/>
      <c r="F677" s="28"/>
      <c r="G677" s="63"/>
      <c r="H677" s="18"/>
      <c r="I677" s="67"/>
    </row>
    <row r="678" spans="1:9" x14ac:dyDescent="0.25">
      <c r="A678" s="13"/>
      <c r="G678" s="65"/>
      <c r="H678" s="19"/>
      <c r="I678" s="68"/>
    </row>
    <row r="679" spans="1:9" x14ac:dyDescent="0.25">
      <c r="A679" s="14"/>
      <c r="B679" s="24"/>
      <c r="C679" s="10"/>
      <c r="D679" s="10"/>
      <c r="E679" s="28"/>
      <c r="F679" s="28"/>
      <c r="G679" s="63"/>
      <c r="H679" s="18"/>
      <c r="I679" s="67"/>
    </row>
    <row r="680" spans="1:9" x14ac:dyDescent="0.25">
      <c r="A680" s="13"/>
      <c r="G680" s="65"/>
      <c r="H680" s="19"/>
      <c r="I680" s="68"/>
    </row>
    <row r="681" spans="1:9" x14ac:dyDescent="0.25">
      <c r="A681" s="14"/>
      <c r="B681" s="24"/>
      <c r="C681" s="10"/>
      <c r="D681" s="10"/>
      <c r="E681" s="28"/>
      <c r="F681" s="28"/>
      <c r="G681" s="63"/>
      <c r="H681" s="18"/>
      <c r="I681" s="67"/>
    </row>
    <row r="682" spans="1:9" x14ac:dyDescent="0.25">
      <c r="A682" s="13"/>
      <c r="G682" s="65"/>
      <c r="H682" s="19"/>
      <c r="I682" s="68"/>
    </row>
    <row r="683" spans="1:9" x14ac:dyDescent="0.25">
      <c r="A683" s="14"/>
      <c r="B683" s="24"/>
      <c r="C683" s="10"/>
      <c r="D683" s="10"/>
      <c r="E683" s="28"/>
      <c r="F683" s="28"/>
      <c r="G683" s="63"/>
      <c r="H683" s="18"/>
      <c r="I683" s="67"/>
    </row>
    <row r="684" spans="1:9" x14ac:dyDescent="0.25">
      <c r="A684" s="13"/>
      <c r="G684" s="65"/>
      <c r="H684" s="19"/>
      <c r="I684" s="68"/>
    </row>
    <row r="685" spans="1:9" x14ac:dyDescent="0.25">
      <c r="A685" s="14"/>
      <c r="B685" s="24"/>
      <c r="C685" s="10"/>
      <c r="D685" s="10"/>
      <c r="E685" s="28"/>
      <c r="F685" s="28"/>
      <c r="G685" s="63"/>
      <c r="H685" s="18"/>
      <c r="I685" s="67"/>
    </row>
    <row r="686" spans="1:9" x14ac:dyDescent="0.25">
      <c r="A686" s="13"/>
      <c r="G686" s="65"/>
      <c r="H686" s="19"/>
      <c r="I686" s="68"/>
    </row>
    <row r="687" spans="1:9" x14ac:dyDescent="0.25">
      <c r="A687" s="14"/>
      <c r="B687" s="24"/>
      <c r="C687" s="10"/>
      <c r="D687" s="10"/>
      <c r="E687" s="28"/>
      <c r="F687" s="28"/>
      <c r="G687" s="63"/>
      <c r="H687" s="18"/>
      <c r="I687" s="67"/>
    </row>
    <row r="688" spans="1:9" x14ac:dyDescent="0.25">
      <c r="A688" s="13"/>
      <c r="G688" s="65"/>
      <c r="H688" s="19"/>
      <c r="I688" s="68"/>
    </row>
    <row r="689" spans="1:9" x14ac:dyDescent="0.25">
      <c r="A689" s="14"/>
      <c r="B689" s="24"/>
      <c r="C689" s="10"/>
      <c r="D689" s="10"/>
      <c r="E689" s="28"/>
      <c r="F689" s="28"/>
      <c r="G689" s="63"/>
      <c r="H689" s="18"/>
      <c r="I689" s="67"/>
    </row>
    <row r="690" spans="1:9" x14ac:dyDescent="0.25">
      <c r="A690" s="13"/>
      <c r="G690" s="65"/>
      <c r="H690" s="19"/>
      <c r="I690" s="68"/>
    </row>
    <row r="691" spans="1:9" x14ac:dyDescent="0.25">
      <c r="A691" s="14"/>
      <c r="B691" s="24"/>
      <c r="C691" s="10"/>
      <c r="D691" s="10"/>
      <c r="E691" s="28"/>
      <c r="F691" s="28"/>
      <c r="G691" s="63"/>
      <c r="H691" s="18"/>
      <c r="I691" s="67"/>
    </row>
    <row r="692" spans="1:9" x14ac:dyDescent="0.25">
      <c r="A692" s="13"/>
      <c r="G692" s="65"/>
      <c r="H692" s="19"/>
      <c r="I692" s="68"/>
    </row>
    <row r="693" spans="1:9" x14ac:dyDescent="0.25">
      <c r="A693" s="14"/>
      <c r="B693" s="24"/>
      <c r="C693" s="10"/>
      <c r="D693" s="10"/>
      <c r="E693" s="28"/>
      <c r="F693" s="28"/>
      <c r="G693" s="63"/>
      <c r="H693" s="18"/>
      <c r="I693" s="67"/>
    </row>
    <row r="694" spans="1:9" x14ac:dyDescent="0.25">
      <c r="A694" s="13"/>
      <c r="G694" s="65"/>
      <c r="H694" s="19"/>
      <c r="I694" s="68"/>
    </row>
    <row r="695" spans="1:9" x14ac:dyDescent="0.25">
      <c r="A695" s="14"/>
      <c r="B695" s="24"/>
      <c r="C695" s="10"/>
      <c r="D695" s="10"/>
      <c r="E695" s="28"/>
      <c r="F695" s="28"/>
      <c r="G695" s="63"/>
      <c r="H695" s="18"/>
      <c r="I695" s="67"/>
    </row>
    <row r="696" spans="1:9" x14ac:dyDescent="0.25">
      <c r="A696" s="13"/>
      <c r="G696" s="65"/>
      <c r="H696" s="19"/>
      <c r="I696" s="68"/>
    </row>
    <row r="697" spans="1:9" x14ac:dyDescent="0.25">
      <c r="A697" s="14"/>
      <c r="B697" s="24"/>
      <c r="C697" s="10"/>
      <c r="D697" s="10"/>
      <c r="E697" s="28"/>
      <c r="F697" s="28"/>
      <c r="G697" s="63"/>
      <c r="H697" s="18"/>
      <c r="I697" s="67"/>
    </row>
    <row r="698" spans="1:9" x14ac:dyDescent="0.25">
      <c r="A698" s="13"/>
      <c r="G698" s="65"/>
      <c r="H698" s="19"/>
      <c r="I698" s="68"/>
    </row>
    <row r="699" spans="1:9" x14ac:dyDescent="0.25">
      <c r="A699" s="14"/>
      <c r="B699" s="24"/>
      <c r="C699" s="10"/>
      <c r="D699" s="10"/>
      <c r="E699" s="28"/>
      <c r="F699" s="28"/>
      <c r="G699" s="63"/>
      <c r="H699" s="18"/>
      <c r="I699" s="67"/>
    </row>
    <row r="700" spans="1:9" x14ac:dyDescent="0.25">
      <c r="A700" s="13"/>
      <c r="G700" s="65"/>
      <c r="H700" s="19"/>
      <c r="I700" s="68"/>
    </row>
    <row r="701" spans="1:9" x14ac:dyDescent="0.25">
      <c r="A701" s="14"/>
      <c r="B701" s="24"/>
      <c r="C701" s="10"/>
      <c r="D701" s="10"/>
      <c r="E701" s="28"/>
      <c r="F701" s="28"/>
      <c r="G701" s="63"/>
      <c r="H701" s="18"/>
      <c r="I701" s="67"/>
    </row>
    <row r="702" spans="1:9" x14ac:dyDescent="0.25">
      <c r="A702" s="13"/>
      <c r="G702" s="65"/>
      <c r="H702" s="19"/>
      <c r="I702" s="68"/>
    </row>
    <row r="703" spans="1:9" x14ac:dyDescent="0.25">
      <c r="A703" s="14"/>
      <c r="B703" s="24"/>
      <c r="C703" s="10"/>
      <c r="D703" s="10"/>
      <c r="E703" s="28"/>
      <c r="F703" s="28"/>
      <c r="G703" s="63"/>
      <c r="H703" s="18"/>
      <c r="I703" s="67"/>
    </row>
    <row r="704" spans="1:9" x14ac:dyDescent="0.25">
      <c r="A704" s="13"/>
      <c r="G704" s="65"/>
      <c r="H704" s="19"/>
      <c r="I704" s="68"/>
    </row>
    <row r="705" spans="1:9" x14ac:dyDescent="0.25">
      <c r="A705" s="14"/>
      <c r="B705" s="24"/>
      <c r="C705" s="10"/>
      <c r="D705" s="10"/>
      <c r="E705" s="28"/>
      <c r="F705" s="28"/>
      <c r="G705" s="63"/>
      <c r="H705" s="18"/>
      <c r="I705" s="67"/>
    </row>
    <row r="706" spans="1:9" x14ac:dyDescent="0.25">
      <c r="A706" s="13"/>
      <c r="G706" s="65"/>
      <c r="H706" s="19"/>
      <c r="I706" s="68"/>
    </row>
    <row r="707" spans="1:9" x14ac:dyDescent="0.25">
      <c r="A707" s="14"/>
      <c r="B707" s="24"/>
      <c r="C707" s="10"/>
      <c r="D707" s="10"/>
      <c r="E707" s="28"/>
      <c r="F707" s="28"/>
      <c r="G707" s="63"/>
      <c r="H707" s="18"/>
      <c r="I707" s="67"/>
    </row>
    <row r="708" spans="1:9" x14ac:dyDescent="0.25">
      <c r="A708" s="13"/>
      <c r="G708" s="65"/>
      <c r="H708" s="19"/>
      <c r="I708" s="68"/>
    </row>
    <row r="709" spans="1:9" x14ac:dyDescent="0.25">
      <c r="A709" s="14"/>
      <c r="B709" s="24"/>
      <c r="C709" s="10"/>
      <c r="D709" s="10"/>
      <c r="E709" s="28"/>
      <c r="F709" s="28"/>
      <c r="G709" s="63"/>
      <c r="H709" s="18"/>
      <c r="I709" s="67"/>
    </row>
    <row r="710" spans="1:9" x14ac:dyDescent="0.25">
      <c r="A710" s="13"/>
      <c r="G710" s="65"/>
      <c r="H710" s="19"/>
      <c r="I710" s="68"/>
    </row>
    <row r="711" spans="1:9" x14ac:dyDescent="0.25">
      <c r="A711" s="14"/>
      <c r="B711" s="24"/>
      <c r="C711" s="10"/>
      <c r="D711" s="10"/>
      <c r="E711" s="28"/>
      <c r="F711" s="28"/>
      <c r="G711" s="63"/>
      <c r="H711" s="18"/>
      <c r="I711" s="67"/>
    </row>
    <row r="712" spans="1:9" x14ac:dyDescent="0.25">
      <c r="A712" s="13"/>
      <c r="G712" s="65"/>
      <c r="H712" s="19"/>
      <c r="I712" s="68"/>
    </row>
    <row r="713" spans="1:9" x14ac:dyDescent="0.25">
      <c r="A713" s="14"/>
      <c r="B713" s="24"/>
      <c r="C713" s="10"/>
      <c r="D713" s="10"/>
      <c r="E713" s="28"/>
      <c r="F713" s="28"/>
      <c r="G713" s="63"/>
      <c r="H713" s="18"/>
      <c r="I713" s="67"/>
    </row>
    <row r="714" spans="1:9" x14ac:dyDescent="0.25">
      <c r="A714" s="13"/>
      <c r="G714" s="65"/>
      <c r="H714" s="19"/>
      <c r="I714" s="68"/>
    </row>
    <row r="715" spans="1:9" x14ac:dyDescent="0.25">
      <c r="A715" s="14"/>
      <c r="B715" s="24"/>
      <c r="C715" s="10"/>
      <c r="D715" s="10"/>
      <c r="E715" s="28"/>
      <c r="F715" s="28"/>
      <c r="G715" s="63"/>
      <c r="H715" s="18"/>
      <c r="I715" s="67"/>
    </row>
    <row r="716" spans="1:9" x14ac:dyDescent="0.25">
      <c r="A716" s="13"/>
      <c r="G716" s="65"/>
      <c r="H716" s="19"/>
      <c r="I716" s="68"/>
    </row>
    <row r="717" spans="1:9" x14ac:dyDescent="0.25">
      <c r="A717" s="14"/>
      <c r="B717" s="24"/>
      <c r="C717" s="10"/>
      <c r="D717" s="10"/>
      <c r="E717" s="28"/>
      <c r="F717" s="28"/>
      <c r="G717" s="63"/>
      <c r="H717" s="18"/>
      <c r="I717" s="67"/>
    </row>
    <row r="718" spans="1:9" x14ac:dyDescent="0.25">
      <c r="A718" s="13"/>
      <c r="G718" s="65"/>
      <c r="H718" s="19"/>
      <c r="I718" s="68"/>
    </row>
    <row r="719" spans="1:9" x14ac:dyDescent="0.25">
      <c r="A719" s="14"/>
      <c r="B719" s="24"/>
      <c r="C719" s="10"/>
      <c r="D719" s="10"/>
      <c r="E719" s="28"/>
      <c r="F719" s="28"/>
      <c r="G719" s="63"/>
      <c r="H719" s="18"/>
      <c r="I719" s="67"/>
    </row>
    <row r="720" spans="1:9" x14ac:dyDescent="0.25">
      <c r="A720" s="13"/>
      <c r="G720" s="65"/>
      <c r="H720" s="19"/>
      <c r="I720" s="68"/>
    </row>
    <row r="721" spans="1:9" x14ac:dyDescent="0.25">
      <c r="A721" s="14"/>
      <c r="B721" s="24"/>
      <c r="C721" s="10"/>
      <c r="D721" s="10"/>
      <c r="E721" s="28"/>
      <c r="F721" s="28"/>
      <c r="G721" s="63"/>
      <c r="H721" s="18"/>
      <c r="I721" s="67"/>
    </row>
    <row r="722" spans="1:9" x14ac:dyDescent="0.25">
      <c r="A722" s="13"/>
      <c r="G722" s="65"/>
      <c r="H722" s="19"/>
      <c r="I722" s="68"/>
    </row>
    <row r="723" spans="1:9" x14ac:dyDescent="0.25">
      <c r="A723" s="14"/>
      <c r="B723" s="24"/>
      <c r="C723" s="10"/>
      <c r="D723" s="10"/>
      <c r="E723" s="28"/>
      <c r="F723" s="28"/>
      <c r="G723" s="63"/>
      <c r="H723" s="18"/>
      <c r="I723" s="67"/>
    </row>
    <row r="724" spans="1:9" x14ac:dyDescent="0.25">
      <c r="A724" s="13"/>
      <c r="G724" s="65"/>
      <c r="H724" s="19"/>
      <c r="I724" s="68"/>
    </row>
    <row r="725" spans="1:9" x14ac:dyDescent="0.25">
      <c r="A725" s="14"/>
      <c r="B725" s="24"/>
      <c r="C725" s="10"/>
      <c r="D725" s="10"/>
      <c r="E725" s="28"/>
      <c r="F725" s="28"/>
      <c r="G725" s="63"/>
      <c r="H725" s="18"/>
      <c r="I725" s="67"/>
    </row>
    <row r="726" spans="1:9" x14ac:dyDescent="0.25">
      <c r="A726" s="13"/>
      <c r="G726" s="65"/>
      <c r="H726" s="19"/>
      <c r="I726" s="68"/>
    </row>
    <row r="727" spans="1:9" x14ac:dyDescent="0.25">
      <c r="A727" s="14"/>
      <c r="B727" s="24"/>
      <c r="C727" s="10"/>
      <c r="D727" s="10"/>
      <c r="E727" s="28"/>
      <c r="F727" s="28"/>
      <c r="G727" s="63"/>
      <c r="H727" s="18"/>
      <c r="I727" s="67"/>
    </row>
    <row r="728" spans="1:9" x14ac:dyDescent="0.25">
      <c r="A728" s="13"/>
      <c r="G728" s="65"/>
      <c r="H728" s="19"/>
      <c r="I728" s="68"/>
    </row>
    <row r="729" spans="1:9" x14ac:dyDescent="0.25">
      <c r="A729" s="14"/>
      <c r="B729" s="24"/>
      <c r="C729" s="10"/>
      <c r="D729" s="10"/>
      <c r="E729" s="28"/>
      <c r="F729" s="28"/>
      <c r="G729" s="63"/>
      <c r="H729" s="18"/>
      <c r="I729" s="67"/>
    </row>
    <row r="730" spans="1:9" x14ac:dyDescent="0.25">
      <c r="A730" s="13"/>
      <c r="G730" s="65"/>
      <c r="H730" s="19"/>
      <c r="I730" s="68"/>
    </row>
    <row r="731" spans="1:9" x14ac:dyDescent="0.25">
      <c r="A731" s="14"/>
      <c r="B731" s="24"/>
      <c r="C731" s="10"/>
      <c r="D731" s="10"/>
      <c r="E731" s="28"/>
      <c r="F731" s="28"/>
      <c r="G731" s="63"/>
      <c r="H731" s="18"/>
      <c r="I731" s="67"/>
    </row>
    <row r="732" spans="1:9" x14ac:dyDescent="0.25">
      <c r="A732" s="13"/>
      <c r="G732" s="65"/>
      <c r="H732" s="19"/>
      <c r="I732" s="68"/>
    </row>
    <row r="733" spans="1:9" x14ac:dyDescent="0.25">
      <c r="A733" s="14"/>
      <c r="B733" s="24"/>
      <c r="C733" s="10"/>
      <c r="D733" s="10"/>
      <c r="E733" s="28"/>
      <c r="F733" s="28"/>
      <c r="G733" s="63"/>
      <c r="H733" s="18"/>
      <c r="I733" s="67"/>
    </row>
    <row r="734" spans="1:9" x14ac:dyDescent="0.25">
      <c r="A734" s="13"/>
      <c r="G734" s="65"/>
      <c r="H734" s="19"/>
      <c r="I734" s="68"/>
    </row>
    <row r="735" spans="1:9" x14ac:dyDescent="0.25">
      <c r="A735" s="14"/>
      <c r="B735" s="24"/>
      <c r="C735" s="10"/>
      <c r="D735" s="10"/>
      <c r="E735" s="28"/>
      <c r="F735" s="28"/>
      <c r="G735" s="63"/>
      <c r="H735" s="18"/>
      <c r="I735" s="67"/>
    </row>
    <row r="736" spans="1:9" x14ac:dyDescent="0.25">
      <c r="A736" s="13"/>
      <c r="G736" s="65"/>
      <c r="H736" s="19"/>
      <c r="I736" s="68"/>
    </row>
    <row r="737" spans="1:9" x14ac:dyDescent="0.25">
      <c r="A737" s="14"/>
      <c r="B737" s="24"/>
      <c r="C737" s="10"/>
      <c r="D737" s="10"/>
      <c r="E737" s="28"/>
      <c r="F737" s="28"/>
      <c r="G737" s="63"/>
      <c r="H737" s="18"/>
      <c r="I737" s="67"/>
    </row>
    <row r="738" spans="1:9" x14ac:dyDescent="0.25">
      <c r="A738" s="13"/>
      <c r="G738" s="65"/>
      <c r="H738" s="19"/>
      <c r="I738" s="68"/>
    </row>
    <row r="739" spans="1:9" x14ac:dyDescent="0.25">
      <c r="A739" s="14"/>
      <c r="B739" s="24"/>
      <c r="C739" s="10"/>
      <c r="D739" s="10"/>
      <c r="E739" s="28"/>
      <c r="F739" s="28"/>
      <c r="G739" s="63"/>
      <c r="H739" s="18"/>
      <c r="I739" s="67"/>
    </row>
    <row r="740" spans="1:9" x14ac:dyDescent="0.25">
      <c r="A740" s="13"/>
      <c r="G740" s="65"/>
      <c r="H740" s="19"/>
      <c r="I740" s="68"/>
    </row>
    <row r="741" spans="1:9" x14ac:dyDescent="0.25">
      <c r="A741" s="14"/>
      <c r="B741" s="24"/>
      <c r="C741" s="10"/>
      <c r="D741" s="10"/>
      <c r="E741" s="28"/>
      <c r="F741" s="28"/>
      <c r="G741" s="63"/>
      <c r="H741" s="18"/>
      <c r="I741" s="67"/>
    </row>
    <row r="742" spans="1:9" x14ac:dyDescent="0.25">
      <c r="A742" s="13"/>
      <c r="G742" s="65"/>
      <c r="H742" s="19"/>
      <c r="I742" s="68"/>
    </row>
    <row r="743" spans="1:9" x14ac:dyDescent="0.25">
      <c r="A743" s="14"/>
      <c r="B743" s="24"/>
      <c r="C743" s="10"/>
      <c r="D743" s="10"/>
      <c r="E743" s="28"/>
      <c r="F743" s="28"/>
      <c r="G743" s="63"/>
      <c r="H743" s="18"/>
      <c r="I743" s="67"/>
    </row>
    <row r="744" spans="1:9" x14ac:dyDescent="0.25">
      <c r="A744" s="13"/>
      <c r="G744" s="65"/>
      <c r="H744" s="19"/>
      <c r="I744" s="68"/>
    </row>
    <row r="745" spans="1:9" x14ac:dyDescent="0.25">
      <c r="A745" s="14"/>
      <c r="B745" s="24"/>
      <c r="C745" s="10"/>
      <c r="D745" s="10"/>
      <c r="E745" s="28"/>
      <c r="F745" s="28"/>
      <c r="G745" s="63"/>
      <c r="H745" s="18"/>
      <c r="I745" s="67"/>
    </row>
    <row r="746" spans="1:9" x14ac:dyDescent="0.25">
      <c r="A746" s="13"/>
      <c r="G746" s="65"/>
      <c r="H746" s="19"/>
      <c r="I746" s="68"/>
    </row>
    <row r="747" spans="1:9" x14ac:dyDescent="0.25">
      <c r="A747" s="14"/>
      <c r="B747" s="24"/>
      <c r="C747" s="10"/>
      <c r="D747" s="10"/>
      <c r="E747" s="28"/>
      <c r="F747" s="28"/>
      <c r="G747" s="63"/>
      <c r="H747" s="18"/>
      <c r="I747" s="67"/>
    </row>
    <row r="748" spans="1:9" x14ac:dyDescent="0.25">
      <c r="A748" s="13"/>
      <c r="G748" s="65"/>
      <c r="H748" s="19"/>
      <c r="I748" s="68"/>
    </row>
    <row r="749" spans="1:9" x14ac:dyDescent="0.25">
      <c r="A749" s="14"/>
      <c r="B749" s="24"/>
      <c r="C749" s="10"/>
      <c r="D749" s="10"/>
      <c r="E749" s="28"/>
      <c r="F749" s="28"/>
      <c r="G749" s="63"/>
      <c r="H749" s="18"/>
      <c r="I749" s="67"/>
    </row>
    <row r="750" spans="1:9" x14ac:dyDescent="0.25">
      <c r="A750" s="13"/>
      <c r="G750" s="65"/>
      <c r="H750" s="19"/>
      <c r="I750" s="68"/>
    </row>
    <row r="751" spans="1:9" x14ac:dyDescent="0.25">
      <c r="A751" s="14"/>
      <c r="B751" s="24"/>
      <c r="C751" s="10"/>
      <c r="D751" s="10"/>
      <c r="E751" s="28"/>
      <c r="F751" s="28"/>
      <c r="G751" s="63"/>
      <c r="H751" s="18"/>
      <c r="I751" s="67"/>
    </row>
    <row r="752" spans="1:9" x14ac:dyDescent="0.25">
      <c r="A752" s="13"/>
      <c r="G752" s="65"/>
      <c r="H752" s="19"/>
      <c r="I752" s="68"/>
    </row>
    <row r="753" spans="1:9" x14ac:dyDescent="0.25">
      <c r="A753" s="14"/>
      <c r="B753" s="24"/>
      <c r="C753" s="10"/>
      <c r="D753" s="10"/>
      <c r="E753" s="28"/>
      <c r="F753" s="28"/>
      <c r="G753" s="63"/>
      <c r="H753" s="18"/>
      <c r="I753" s="67"/>
    </row>
    <row r="754" spans="1:9" x14ac:dyDescent="0.25">
      <c r="A754" s="13"/>
      <c r="G754" s="65"/>
      <c r="H754" s="19"/>
      <c r="I754" s="68"/>
    </row>
    <row r="755" spans="1:9" x14ac:dyDescent="0.25">
      <c r="A755" s="14"/>
      <c r="B755" s="24"/>
      <c r="C755" s="10"/>
      <c r="D755" s="10"/>
      <c r="E755" s="28"/>
      <c r="F755" s="28"/>
      <c r="G755" s="63"/>
      <c r="H755" s="18"/>
      <c r="I755" s="67"/>
    </row>
    <row r="756" spans="1:9" x14ac:dyDescent="0.25">
      <c r="A756" s="13"/>
      <c r="G756" s="65"/>
      <c r="H756" s="19"/>
      <c r="I756" s="68"/>
    </row>
    <row r="757" spans="1:9" x14ac:dyDescent="0.25">
      <c r="A757" s="14"/>
      <c r="B757" s="24"/>
      <c r="C757" s="10"/>
      <c r="D757" s="10"/>
      <c r="E757" s="28"/>
      <c r="F757" s="28"/>
      <c r="G757" s="63"/>
      <c r="H757" s="18"/>
      <c r="I757" s="67"/>
    </row>
    <row r="758" spans="1:9" x14ac:dyDescent="0.25">
      <c r="A758" s="13"/>
      <c r="G758" s="65"/>
      <c r="H758" s="19"/>
      <c r="I758" s="68"/>
    </row>
    <row r="759" spans="1:9" x14ac:dyDescent="0.25">
      <c r="A759" s="14"/>
      <c r="B759" s="24"/>
      <c r="C759" s="10"/>
      <c r="D759" s="10"/>
      <c r="E759" s="28"/>
      <c r="F759" s="28"/>
      <c r="G759" s="63"/>
      <c r="H759" s="18"/>
      <c r="I759" s="67"/>
    </row>
    <row r="760" spans="1:9" x14ac:dyDescent="0.25">
      <c r="A760" s="13"/>
      <c r="G760" s="65"/>
      <c r="H760" s="19"/>
      <c r="I760" s="68"/>
    </row>
    <row r="761" spans="1:9" x14ac:dyDescent="0.25">
      <c r="A761" s="14"/>
      <c r="B761" s="24"/>
      <c r="C761" s="10"/>
      <c r="D761" s="10"/>
      <c r="E761" s="28"/>
      <c r="F761" s="28"/>
      <c r="G761" s="63"/>
      <c r="H761" s="18"/>
      <c r="I761" s="67"/>
    </row>
    <row r="762" spans="1:9" x14ac:dyDescent="0.25">
      <c r="A762" s="13"/>
      <c r="G762" s="65"/>
      <c r="H762" s="19"/>
      <c r="I762" s="68"/>
    </row>
    <row r="763" spans="1:9" x14ac:dyDescent="0.25">
      <c r="A763" s="14"/>
      <c r="B763" s="24"/>
      <c r="C763" s="10"/>
      <c r="D763" s="10"/>
      <c r="E763" s="28"/>
      <c r="F763" s="28"/>
      <c r="G763" s="63"/>
      <c r="H763" s="18"/>
      <c r="I763" s="67"/>
    </row>
    <row r="764" spans="1:9" x14ac:dyDescent="0.25">
      <c r="A764" s="13"/>
      <c r="G764" s="65"/>
      <c r="H764" s="19"/>
      <c r="I764" s="68"/>
    </row>
    <row r="765" spans="1:9" x14ac:dyDescent="0.25">
      <c r="A765" s="14"/>
      <c r="B765" s="24"/>
      <c r="C765" s="10"/>
      <c r="D765" s="10"/>
      <c r="E765" s="28"/>
      <c r="F765" s="28"/>
      <c r="G765" s="63"/>
      <c r="H765" s="18"/>
      <c r="I765" s="67"/>
    </row>
    <row r="766" spans="1:9" x14ac:dyDescent="0.25">
      <c r="A766" s="13"/>
      <c r="G766" s="65"/>
      <c r="H766" s="19"/>
      <c r="I766" s="68"/>
    </row>
    <row r="767" spans="1:9" x14ac:dyDescent="0.25">
      <c r="A767" s="14"/>
      <c r="B767" s="24"/>
      <c r="C767" s="10"/>
      <c r="D767" s="10"/>
      <c r="E767" s="28"/>
      <c r="F767" s="28"/>
      <c r="G767" s="63"/>
      <c r="H767" s="18"/>
      <c r="I767" s="67"/>
    </row>
    <row r="768" spans="1:9" x14ac:dyDescent="0.25">
      <c r="A768" s="13"/>
      <c r="G768" s="65"/>
      <c r="H768" s="19"/>
      <c r="I768" s="68"/>
    </row>
    <row r="769" spans="1:9" x14ac:dyDescent="0.25">
      <c r="A769" s="14"/>
      <c r="B769" s="24"/>
      <c r="C769" s="10"/>
      <c r="D769" s="10"/>
      <c r="E769" s="28"/>
      <c r="F769" s="28"/>
      <c r="G769" s="63"/>
      <c r="H769" s="18"/>
      <c r="I769" s="67"/>
    </row>
    <row r="770" spans="1:9" x14ac:dyDescent="0.25">
      <c r="A770" s="13"/>
      <c r="G770" s="65"/>
      <c r="H770" s="19"/>
      <c r="I770" s="68"/>
    </row>
    <row r="771" spans="1:9" x14ac:dyDescent="0.25">
      <c r="A771" s="14"/>
      <c r="B771" s="24"/>
      <c r="C771" s="10"/>
      <c r="D771" s="10"/>
      <c r="E771" s="28"/>
      <c r="F771" s="28"/>
      <c r="G771" s="63"/>
      <c r="H771" s="18"/>
      <c r="I771" s="67"/>
    </row>
    <row r="772" spans="1:9" x14ac:dyDescent="0.25">
      <c r="A772" s="13"/>
      <c r="G772" s="65"/>
      <c r="H772" s="19"/>
      <c r="I772" s="68"/>
    </row>
    <row r="773" spans="1:9" x14ac:dyDescent="0.25">
      <c r="A773" s="14"/>
      <c r="B773" s="24"/>
      <c r="C773" s="10"/>
      <c r="D773" s="10"/>
      <c r="E773" s="28"/>
      <c r="F773" s="28"/>
      <c r="G773" s="63"/>
      <c r="H773" s="18"/>
      <c r="I773" s="67"/>
    </row>
    <row r="774" spans="1:9" x14ac:dyDescent="0.25">
      <c r="A774" s="13"/>
      <c r="G774" s="65"/>
      <c r="H774" s="19"/>
      <c r="I774" s="68"/>
    </row>
    <row r="775" spans="1:9" x14ac:dyDescent="0.25">
      <c r="A775" s="14"/>
      <c r="B775" s="24"/>
      <c r="C775" s="10"/>
      <c r="D775" s="10"/>
      <c r="E775" s="28"/>
      <c r="F775" s="28"/>
      <c r="G775" s="63"/>
      <c r="H775" s="18"/>
      <c r="I775" s="67"/>
    </row>
    <row r="776" spans="1:9" x14ac:dyDescent="0.25">
      <c r="A776" s="13"/>
      <c r="G776" s="65"/>
      <c r="H776" s="19"/>
      <c r="I776" s="68"/>
    </row>
    <row r="777" spans="1:9" x14ac:dyDescent="0.25">
      <c r="A777" s="14"/>
      <c r="B777" s="24"/>
      <c r="C777" s="10"/>
      <c r="D777" s="10"/>
      <c r="E777" s="28"/>
      <c r="F777" s="28"/>
      <c r="G777" s="63"/>
      <c r="H777" s="18"/>
      <c r="I777" s="67"/>
    </row>
    <row r="778" spans="1:9" x14ac:dyDescent="0.25">
      <c r="A778" s="13"/>
      <c r="G778" s="65"/>
      <c r="H778" s="19"/>
      <c r="I778" s="68"/>
    </row>
    <row r="779" spans="1:9" x14ac:dyDescent="0.25">
      <c r="A779" s="14"/>
      <c r="B779" s="24"/>
      <c r="C779" s="10"/>
      <c r="D779" s="10"/>
      <c r="E779" s="28"/>
      <c r="F779" s="28"/>
      <c r="G779" s="63"/>
      <c r="H779" s="18"/>
      <c r="I779" s="67"/>
    </row>
    <row r="780" spans="1:9" x14ac:dyDescent="0.25">
      <c r="A780" s="13"/>
      <c r="G780" s="65"/>
      <c r="H780" s="19"/>
      <c r="I780" s="68"/>
    </row>
    <row r="781" spans="1:9" x14ac:dyDescent="0.25">
      <c r="A781" s="14"/>
      <c r="B781" s="24"/>
      <c r="C781" s="10"/>
      <c r="D781" s="10"/>
      <c r="E781" s="28"/>
      <c r="F781" s="28"/>
      <c r="G781" s="63"/>
      <c r="H781" s="18"/>
      <c r="I781" s="67"/>
    </row>
    <row r="782" spans="1:9" x14ac:dyDescent="0.25">
      <c r="A782" s="13"/>
      <c r="G782" s="65"/>
      <c r="H782" s="19"/>
      <c r="I782" s="68"/>
    </row>
    <row r="783" spans="1:9" x14ac:dyDescent="0.25">
      <c r="A783" s="14"/>
      <c r="B783" s="24"/>
      <c r="C783" s="10"/>
      <c r="D783" s="10"/>
      <c r="E783" s="28"/>
      <c r="F783" s="28"/>
      <c r="G783" s="63"/>
      <c r="H783" s="18"/>
      <c r="I783" s="67"/>
    </row>
    <row r="784" spans="1:9" x14ac:dyDescent="0.25">
      <c r="A784" s="13"/>
      <c r="G784" s="65"/>
      <c r="H784" s="19"/>
      <c r="I784" s="68"/>
    </row>
    <row r="785" spans="1:9" x14ac:dyDescent="0.25">
      <c r="A785" s="14"/>
      <c r="B785" s="24"/>
      <c r="C785" s="10"/>
      <c r="D785" s="10"/>
      <c r="E785" s="28"/>
      <c r="F785" s="28"/>
      <c r="G785" s="63"/>
      <c r="H785" s="18"/>
      <c r="I785" s="67"/>
    </row>
    <row r="786" spans="1:9" x14ac:dyDescent="0.25">
      <c r="A786" s="13"/>
      <c r="G786" s="65"/>
      <c r="H786" s="19"/>
      <c r="I786" s="68"/>
    </row>
    <row r="787" spans="1:9" x14ac:dyDescent="0.25">
      <c r="A787" s="14"/>
      <c r="B787" s="24"/>
      <c r="C787" s="10"/>
      <c r="D787" s="10"/>
      <c r="E787" s="28"/>
      <c r="F787" s="28"/>
      <c r="G787" s="63"/>
      <c r="H787" s="18"/>
      <c r="I787" s="67"/>
    </row>
    <row r="788" spans="1:9" x14ac:dyDescent="0.25">
      <c r="A788" s="13"/>
      <c r="G788" s="65"/>
      <c r="H788" s="19"/>
      <c r="I788" s="68"/>
    </row>
    <row r="789" spans="1:9" x14ac:dyDescent="0.25">
      <c r="A789" s="14"/>
      <c r="B789" s="24"/>
      <c r="C789" s="10"/>
      <c r="D789" s="10"/>
      <c r="E789" s="28"/>
      <c r="F789" s="28"/>
      <c r="G789" s="63"/>
      <c r="H789" s="18"/>
      <c r="I789" s="67"/>
    </row>
    <row r="790" spans="1:9" x14ac:dyDescent="0.25">
      <c r="A790" s="13"/>
      <c r="G790" s="65"/>
      <c r="H790" s="19"/>
      <c r="I790" s="68"/>
    </row>
    <row r="791" spans="1:9" x14ac:dyDescent="0.25">
      <c r="A791" s="14"/>
      <c r="B791" s="24"/>
      <c r="C791" s="10"/>
      <c r="D791" s="10"/>
      <c r="E791" s="28"/>
      <c r="F791" s="28"/>
      <c r="G791" s="63"/>
      <c r="H791" s="18"/>
      <c r="I791" s="67"/>
    </row>
    <row r="792" spans="1:9" x14ac:dyDescent="0.25">
      <c r="A792" s="13"/>
      <c r="G792" s="65"/>
      <c r="H792" s="19"/>
      <c r="I792" s="68"/>
    </row>
    <row r="793" spans="1:9" x14ac:dyDescent="0.25">
      <c r="A793" s="14"/>
      <c r="B793" s="24"/>
      <c r="C793" s="10"/>
      <c r="D793" s="10"/>
      <c r="E793" s="28"/>
      <c r="F793" s="28"/>
      <c r="G793" s="63"/>
      <c r="H793" s="18"/>
      <c r="I793" s="67"/>
    </row>
    <row r="794" spans="1:9" x14ac:dyDescent="0.25">
      <c r="A794" s="13"/>
      <c r="G794" s="65"/>
      <c r="H794" s="19"/>
      <c r="I794" s="68"/>
    </row>
    <row r="795" spans="1:9" x14ac:dyDescent="0.25">
      <c r="A795" s="14"/>
      <c r="B795" s="24"/>
      <c r="C795" s="10"/>
      <c r="D795" s="10"/>
      <c r="E795" s="28"/>
      <c r="F795" s="28"/>
      <c r="G795" s="63"/>
      <c r="H795" s="18"/>
      <c r="I795" s="67"/>
    </row>
    <row r="796" spans="1:9" x14ac:dyDescent="0.25">
      <c r="A796" s="13"/>
      <c r="G796" s="65"/>
      <c r="H796" s="19"/>
      <c r="I796" s="68"/>
    </row>
    <row r="797" spans="1:9" x14ac:dyDescent="0.25">
      <c r="A797" s="14"/>
      <c r="B797" s="24"/>
      <c r="C797" s="10"/>
      <c r="D797" s="10"/>
      <c r="E797" s="28"/>
      <c r="F797" s="28"/>
      <c r="G797" s="63"/>
      <c r="H797" s="18"/>
      <c r="I797" s="67"/>
    </row>
    <row r="798" spans="1:9" x14ac:dyDescent="0.25">
      <c r="A798" s="13"/>
      <c r="G798" s="65"/>
      <c r="H798" s="19"/>
      <c r="I798" s="68"/>
    </row>
    <row r="799" spans="1:9" x14ac:dyDescent="0.25">
      <c r="A799" s="14"/>
      <c r="B799" s="24"/>
      <c r="C799" s="10"/>
      <c r="D799" s="10"/>
      <c r="E799" s="28"/>
      <c r="F799" s="28"/>
      <c r="G799" s="63"/>
      <c r="H799" s="18"/>
      <c r="I799" s="67"/>
    </row>
    <row r="800" spans="1:9" x14ac:dyDescent="0.25">
      <c r="A800" s="13"/>
      <c r="G800" s="65"/>
      <c r="H800" s="19"/>
      <c r="I800" s="68"/>
    </row>
    <row r="801" spans="1:9" x14ac:dyDescent="0.25">
      <c r="A801" s="14"/>
      <c r="B801" s="24"/>
      <c r="C801" s="10"/>
      <c r="D801" s="10"/>
      <c r="E801" s="28"/>
      <c r="F801" s="28"/>
      <c r="G801" s="63"/>
      <c r="H801" s="18"/>
      <c r="I801" s="67"/>
    </row>
    <row r="802" spans="1:9" x14ac:dyDescent="0.25">
      <c r="A802" s="13"/>
      <c r="G802" s="65"/>
      <c r="H802" s="19"/>
      <c r="I802" s="68"/>
    </row>
    <row r="803" spans="1:9" x14ac:dyDescent="0.25">
      <c r="A803" s="14"/>
      <c r="B803" s="24"/>
      <c r="C803" s="10"/>
      <c r="D803" s="10"/>
      <c r="E803" s="28"/>
      <c r="F803" s="28"/>
      <c r="G803" s="63"/>
      <c r="H803" s="18"/>
      <c r="I803" s="67"/>
    </row>
    <row r="804" spans="1:9" x14ac:dyDescent="0.25">
      <c r="A804" s="13"/>
      <c r="G804" s="65"/>
      <c r="H804" s="19"/>
      <c r="I804" s="68"/>
    </row>
    <row r="805" spans="1:9" x14ac:dyDescent="0.25">
      <c r="A805" s="14"/>
      <c r="B805" s="24"/>
      <c r="C805" s="10"/>
      <c r="D805" s="10"/>
      <c r="E805" s="28"/>
      <c r="F805" s="28"/>
      <c r="G805" s="63"/>
      <c r="H805" s="18"/>
      <c r="I805" s="67"/>
    </row>
    <row r="806" spans="1:9" x14ac:dyDescent="0.25">
      <c r="A806" s="13"/>
      <c r="G806" s="65"/>
      <c r="H806" s="19"/>
      <c r="I806" s="68"/>
    </row>
    <row r="807" spans="1:9" x14ac:dyDescent="0.25">
      <c r="A807" s="14"/>
      <c r="B807" s="24"/>
      <c r="C807" s="10"/>
      <c r="D807" s="10"/>
      <c r="E807" s="28"/>
      <c r="F807" s="28"/>
      <c r="G807" s="63"/>
      <c r="H807" s="18"/>
      <c r="I807" s="67"/>
    </row>
    <row r="808" spans="1:9" x14ac:dyDescent="0.25">
      <c r="A808" s="13"/>
      <c r="G808" s="65"/>
      <c r="H808" s="19"/>
      <c r="I808" s="68"/>
    </row>
    <row r="809" spans="1:9" x14ac:dyDescent="0.25">
      <c r="A809" s="14"/>
      <c r="B809" s="24"/>
      <c r="C809" s="10"/>
      <c r="D809" s="10"/>
      <c r="E809" s="28"/>
      <c r="F809" s="28"/>
      <c r="G809" s="63"/>
      <c r="H809" s="18"/>
      <c r="I809" s="67"/>
    </row>
    <row r="810" spans="1:9" x14ac:dyDescent="0.25">
      <c r="A810" s="13"/>
      <c r="G810" s="65"/>
      <c r="H810" s="19"/>
      <c r="I810" s="68"/>
    </row>
    <row r="811" spans="1:9" x14ac:dyDescent="0.25">
      <c r="A811" s="14"/>
      <c r="B811" s="24"/>
      <c r="C811" s="10"/>
      <c r="D811" s="10"/>
      <c r="E811" s="28"/>
      <c r="F811" s="28"/>
      <c r="G811" s="63"/>
      <c r="H811" s="18"/>
      <c r="I811" s="67"/>
    </row>
    <row r="812" spans="1:9" x14ac:dyDescent="0.25">
      <c r="A812" s="13"/>
      <c r="G812" s="65"/>
      <c r="H812" s="19"/>
      <c r="I812" s="68"/>
    </row>
    <row r="813" spans="1:9" x14ac:dyDescent="0.25">
      <c r="A813" s="14"/>
      <c r="B813" s="24"/>
      <c r="C813" s="10"/>
      <c r="D813" s="10"/>
      <c r="E813" s="28"/>
      <c r="F813" s="28"/>
      <c r="G813" s="63"/>
      <c r="H813" s="18"/>
      <c r="I813" s="67"/>
    </row>
    <row r="814" spans="1:9" x14ac:dyDescent="0.25">
      <c r="A814" s="13"/>
      <c r="G814" s="65"/>
      <c r="H814" s="19"/>
      <c r="I814" s="68"/>
    </row>
    <row r="815" spans="1:9" x14ac:dyDescent="0.25">
      <c r="A815" s="14"/>
      <c r="B815" s="24"/>
      <c r="C815" s="10"/>
      <c r="D815" s="10"/>
      <c r="E815" s="28"/>
      <c r="F815" s="28"/>
      <c r="G815" s="63"/>
      <c r="H815" s="18"/>
      <c r="I815" s="67"/>
    </row>
    <row r="816" spans="1:9" x14ac:dyDescent="0.25">
      <c r="A816" s="13"/>
      <c r="G816" s="65"/>
      <c r="H816" s="19"/>
      <c r="I816" s="68"/>
    </row>
    <row r="817" spans="1:9" x14ac:dyDescent="0.25">
      <c r="A817" s="14"/>
      <c r="B817" s="24"/>
      <c r="C817" s="10"/>
      <c r="D817" s="10"/>
      <c r="E817" s="28"/>
      <c r="F817" s="28"/>
      <c r="G817" s="63"/>
      <c r="H817" s="18"/>
      <c r="I817" s="67"/>
    </row>
    <row r="818" spans="1:9" x14ac:dyDescent="0.25">
      <c r="A818" s="13"/>
      <c r="G818" s="65"/>
      <c r="H818" s="19"/>
      <c r="I818" s="68"/>
    </row>
    <row r="819" spans="1:9" x14ac:dyDescent="0.25">
      <c r="A819" s="14"/>
      <c r="B819" s="24"/>
      <c r="C819" s="10"/>
      <c r="D819" s="10"/>
      <c r="E819" s="28"/>
      <c r="F819" s="28"/>
      <c r="G819" s="63"/>
      <c r="H819" s="18"/>
      <c r="I819" s="67"/>
    </row>
    <row r="820" spans="1:9" x14ac:dyDescent="0.25">
      <c r="A820" s="13"/>
      <c r="G820" s="65"/>
      <c r="H820" s="19"/>
      <c r="I820" s="68"/>
    </row>
    <row r="821" spans="1:9" x14ac:dyDescent="0.25">
      <c r="A821" s="14"/>
      <c r="B821" s="24"/>
      <c r="C821" s="10"/>
      <c r="D821" s="10"/>
      <c r="E821" s="28"/>
      <c r="F821" s="28"/>
      <c r="G821" s="63"/>
      <c r="H821" s="18"/>
      <c r="I821" s="67"/>
    </row>
    <row r="822" spans="1:9" x14ac:dyDescent="0.25">
      <c r="A822" s="13"/>
      <c r="G822" s="65"/>
      <c r="H822" s="19"/>
      <c r="I822" s="68"/>
    </row>
    <row r="823" spans="1:9" x14ac:dyDescent="0.25">
      <c r="A823" s="14"/>
      <c r="B823" s="24"/>
      <c r="C823" s="10"/>
      <c r="D823" s="10"/>
      <c r="E823" s="28"/>
      <c r="F823" s="28"/>
      <c r="G823" s="63"/>
      <c r="H823" s="18"/>
      <c r="I823" s="67"/>
    </row>
    <row r="824" spans="1:9" x14ac:dyDescent="0.25">
      <c r="A824" s="13"/>
      <c r="G824" s="65"/>
      <c r="H824" s="19"/>
      <c r="I824" s="68"/>
    </row>
    <row r="825" spans="1:9" x14ac:dyDescent="0.25">
      <c r="A825" s="14"/>
      <c r="B825" s="24"/>
      <c r="C825" s="10"/>
      <c r="D825" s="10"/>
      <c r="E825" s="28"/>
      <c r="F825" s="28"/>
      <c r="G825" s="63"/>
      <c r="H825" s="18"/>
      <c r="I825" s="67"/>
    </row>
    <row r="826" spans="1:9" x14ac:dyDescent="0.25">
      <c r="A826" s="13"/>
      <c r="G826" s="65"/>
      <c r="H826" s="19"/>
      <c r="I826" s="68"/>
    </row>
    <row r="827" spans="1:9" x14ac:dyDescent="0.25">
      <c r="A827" s="14"/>
      <c r="B827" s="24"/>
      <c r="C827" s="10"/>
      <c r="D827" s="10"/>
      <c r="E827" s="28"/>
      <c r="F827" s="28"/>
      <c r="G827" s="63"/>
      <c r="H827" s="18"/>
      <c r="I827" s="67"/>
    </row>
    <row r="828" spans="1:9" x14ac:dyDescent="0.25">
      <c r="A828" s="13"/>
      <c r="G828" s="65"/>
      <c r="H828" s="19"/>
      <c r="I828" s="68"/>
    </row>
    <row r="829" spans="1:9" x14ac:dyDescent="0.25">
      <c r="A829" s="14"/>
      <c r="B829" s="24"/>
      <c r="C829" s="10"/>
      <c r="D829" s="10"/>
      <c r="E829" s="28"/>
      <c r="F829" s="28"/>
      <c r="G829" s="63"/>
      <c r="H829" s="18"/>
      <c r="I829" s="67"/>
    </row>
    <row r="830" spans="1:9" x14ac:dyDescent="0.25">
      <c r="A830" s="13"/>
      <c r="G830" s="65"/>
      <c r="H830" s="19"/>
      <c r="I830" s="68"/>
    </row>
    <row r="831" spans="1:9" x14ac:dyDescent="0.25">
      <c r="A831" s="14"/>
      <c r="B831" s="24"/>
      <c r="C831" s="10"/>
      <c r="D831" s="10"/>
      <c r="E831" s="28"/>
      <c r="F831" s="28"/>
      <c r="G831" s="63"/>
      <c r="H831" s="18"/>
      <c r="I831" s="67"/>
    </row>
    <row r="832" spans="1:9" x14ac:dyDescent="0.25">
      <c r="A832" s="13"/>
      <c r="G832" s="65"/>
      <c r="H832" s="19"/>
      <c r="I832" s="68"/>
    </row>
    <row r="833" spans="1:9" x14ac:dyDescent="0.25">
      <c r="A833" s="14"/>
      <c r="B833" s="24"/>
      <c r="C833" s="10"/>
      <c r="D833" s="10"/>
      <c r="E833" s="28"/>
      <c r="F833" s="28"/>
      <c r="G833" s="63"/>
      <c r="H833" s="18"/>
      <c r="I833" s="67"/>
    </row>
    <row r="834" spans="1:9" x14ac:dyDescent="0.25">
      <c r="A834" s="13"/>
      <c r="G834" s="65"/>
      <c r="H834" s="19"/>
      <c r="I834" s="68"/>
    </row>
    <row r="835" spans="1:9" x14ac:dyDescent="0.25">
      <c r="A835" s="14"/>
      <c r="B835" s="24"/>
      <c r="C835" s="10"/>
      <c r="D835" s="10"/>
      <c r="E835" s="28"/>
      <c r="F835" s="28"/>
      <c r="G835" s="63"/>
      <c r="H835" s="18"/>
      <c r="I835" s="67"/>
    </row>
    <row r="836" spans="1:9" x14ac:dyDescent="0.25">
      <c r="A836" s="13"/>
      <c r="G836" s="65"/>
      <c r="H836" s="19"/>
      <c r="I836" s="68"/>
    </row>
    <row r="837" spans="1:9" x14ac:dyDescent="0.25">
      <c r="A837" s="14"/>
      <c r="B837" s="24"/>
      <c r="C837" s="10"/>
      <c r="D837" s="10"/>
      <c r="E837" s="28"/>
      <c r="F837" s="28"/>
      <c r="G837" s="63"/>
      <c r="H837" s="18"/>
      <c r="I837" s="67"/>
    </row>
    <row r="838" spans="1:9" x14ac:dyDescent="0.25">
      <c r="A838" s="13"/>
      <c r="G838" s="65"/>
      <c r="H838" s="19"/>
      <c r="I838" s="68"/>
    </row>
    <row r="839" spans="1:9" x14ac:dyDescent="0.25">
      <c r="A839" s="14"/>
      <c r="B839" s="24"/>
      <c r="C839" s="10"/>
      <c r="D839" s="10"/>
      <c r="E839" s="28"/>
      <c r="F839" s="28"/>
      <c r="G839" s="63"/>
      <c r="H839" s="18"/>
      <c r="I839" s="67"/>
    </row>
    <row r="840" spans="1:9" x14ac:dyDescent="0.25">
      <c r="A840" s="13"/>
      <c r="G840" s="65"/>
      <c r="H840" s="19"/>
      <c r="I840" s="68"/>
    </row>
    <row r="841" spans="1:9" x14ac:dyDescent="0.25">
      <c r="A841" s="14"/>
      <c r="B841" s="24"/>
      <c r="C841" s="10"/>
      <c r="D841" s="10"/>
      <c r="E841" s="28"/>
      <c r="F841" s="28"/>
      <c r="G841" s="63"/>
      <c r="H841" s="18"/>
      <c r="I841" s="67"/>
    </row>
    <row r="842" spans="1:9" x14ac:dyDescent="0.25">
      <c r="A842" s="13"/>
      <c r="G842" s="65"/>
      <c r="H842" s="19"/>
      <c r="I842" s="68"/>
    </row>
    <row r="843" spans="1:9" x14ac:dyDescent="0.25">
      <c r="A843" s="14"/>
      <c r="B843" s="24"/>
      <c r="C843" s="10"/>
      <c r="D843" s="10"/>
      <c r="E843" s="28"/>
      <c r="F843" s="28"/>
      <c r="G843" s="63"/>
      <c r="H843" s="18"/>
      <c r="I843" s="67"/>
    </row>
    <row r="844" spans="1:9" x14ac:dyDescent="0.25">
      <c r="A844" s="13"/>
      <c r="G844" s="65"/>
      <c r="H844" s="19"/>
      <c r="I844" s="68"/>
    </row>
    <row r="845" spans="1:9" x14ac:dyDescent="0.25">
      <c r="A845" s="14"/>
      <c r="B845" s="24"/>
      <c r="C845" s="10"/>
      <c r="D845" s="10"/>
      <c r="E845" s="28"/>
      <c r="F845" s="28"/>
      <c r="G845" s="63"/>
      <c r="H845" s="18"/>
      <c r="I845" s="67"/>
    </row>
    <row r="846" spans="1:9" x14ac:dyDescent="0.25">
      <c r="A846" s="13"/>
      <c r="G846" s="65"/>
      <c r="H846" s="19"/>
      <c r="I846" s="68"/>
    </row>
    <row r="847" spans="1:9" x14ac:dyDescent="0.25">
      <c r="A847" s="14"/>
      <c r="B847" s="24"/>
      <c r="C847" s="10"/>
      <c r="D847" s="10"/>
      <c r="E847" s="28"/>
      <c r="F847" s="28"/>
      <c r="G847" s="63"/>
      <c r="H847" s="18"/>
      <c r="I847" s="67"/>
    </row>
    <row r="848" spans="1:9" x14ac:dyDescent="0.25">
      <c r="A848" s="13"/>
      <c r="G848" s="65"/>
      <c r="H848" s="19"/>
      <c r="I848" s="68"/>
    </row>
    <row r="849" spans="1:9" x14ac:dyDescent="0.25">
      <c r="A849" s="14"/>
      <c r="B849" s="24"/>
      <c r="C849" s="10"/>
      <c r="D849" s="10"/>
      <c r="E849" s="28"/>
      <c r="F849" s="28"/>
      <c r="G849" s="63"/>
      <c r="H849" s="18"/>
      <c r="I849" s="67"/>
    </row>
    <row r="850" spans="1:9" x14ac:dyDescent="0.25">
      <c r="A850" s="13"/>
      <c r="G850" s="65"/>
      <c r="H850" s="19"/>
      <c r="I850" s="68"/>
    </row>
    <row r="851" spans="1:9" x14ac:dyDescent="0.25">
      <c r="A851" s="14"/>
      <c r="B851" s="24"/>
      <c r="C851" s="10"/>
      <c r="D851" s="10"/>
      <c r="E851" s="28"/>
      <c r="F851" s="28"/>
      <c r="G851" s="63"/>
      <c r="H851" s="18"/>
      <c r="I851" s="67"/>
    </row>
    <row r="852" spans="1:9" x14ac:dyDescent="0.25">
      <c r="A852" s="13"/>
      <c r="G852" s="65"/>
      <c r="H852" s="19"/>
      <c r="I852" s="68"/>
    </row>
    <row r="853" spans="1:9" x14ac:dyDescent="0.25">
      <c r="A853" s="14"/>
      <c r="B853" s="24"/>
      <c r="C853" s="10"/>
      <c r="D853" s="10"/>
      <c r="E853" s="28"/>
      <c r="F853" s="28"/>
      <c r="G853" s="63"/>
      <c r="H853" s="18"/>
      <c r="I853" s="67"/>
    </row>
    <row r="854" spans="1:9" x14ac:dyDescent="0.25">
      <c r="A854" s="13"/>
      <c r="G854" s="65"/>
      <c r="H854" s="19"/>
      <c r="I854" s="68"/>
    </row>
    <row r="855" spans="1:9" x14ac:dyDescent="0.25">
      <c r="A855" s="14"/>
      <c r="B855" s="24"/>
      <c r="C855" s="10"/>
      <c r="D855" s="10"/>
      <c r="E855" s="28"/>
      <c r="F855" s="28"/>
      <c r="G855" s="63"/>
      <c r="H855" s="18"/>
      <c r="I855" s="67"/>
    </row>
    <row r="856" spans="1:9" x14ac:dyDescent="0.25">
      <c r="A856" s="13"/>
      <c r="G856" s="65"/>
      <c r="H856" s="19"/>
      <c r="I856" s="68"/>
    </row>
    <row r="857" spans="1:9" x14ac:dyDescent="0.25">
      <c r="A857" s="14"/>
      <c r="B857" s="24"/>
      <c r="C857" s="10"/>
      <c r="D857" s="10"/>
      <c r="E857" s="28"/>
      <c r="F857" s="28"/>
      <c r="G857" s="63"/>
      <c r="H857" s="18"/>
      <c r="I857" s="67"/>
    </row>
    <row r="858" spans="1:9" x14ac:dyDescent="0.25">
      <c r="A858" s="13"/>
      <c r="G858" s="65"/>
      <c r="H858" s="19"/>
      <c r="I858" s="68"/>
    </row>
    <row r="859" spans="1:9" x14ac:dyDescent="0.25">
      <c r="A859" s="14"/>
      <c r="B859" s="24"/>
      <c r="C859" s="10"/>
      <c r="D859" s="10"/>
      <c r="E859" s="28"/>
      <c r="F859" s="28"/>
      <c r="G859" s="63"/>
      <c r="H859" s="18"/>
      <c r="I859" s="67"/>
    </row>
    <row r="860" spans="1:9" x14ac:dyDescent="0.25">
      <c r="A860" s="13"/>
      <c r="G860" s="65"/>
      <c r="H860" s="19"/>
      <c r="I860" s="68"/>
    </row>
    <row r="861" spans="1:9" x14ac:dyDescent="0.25">
      <c r="A861" s="14"/>
      <c r="B861" s="24"/>
      <c r="C861" s="10"/>
      <c r="D861" s="10"/>
      <c r="E861" s="28"/>
      <c r="F861" s="28"/>
      <c r="G861" s="63"/>
      <c r="H861" s="18"/>
      <c r="I861" s="67"/>
    </row>
    <row r="862" spans="1:9" x14ac:dyDescent="0.25">
      <c r="A862" s="13"/>
      <c r="G862" s="65"/>
      <c r="H862" s="19"/>
      <c r="I862" s="68"/>
    </row>
    <row r="863" spans="1:9" x14ac:dyDescent="0.25">
      <c r="A863" s="14"/>
      <c r="B863" s="24"/>
      <c r="C863" s="10"/>
      <c r="D863" s="10"/>
      <c r="E863" s="28"/>
      <c r="F863" s="28"/>
      <c r="G863" s="63"/>
      <c r="H863" s="18"/>
      <c r="I863" s="67"/>
    </row>
    <row r="864" spans="1:9" x14ac:dyDescent="0.25">
      <c r="A864" s="13"/>
      <c r="G864" s="65"/>
      <c r="H864" s="19"/>
      <c r="I864" s="68"/>
    </row>
    <row r="865" spans="1:9" x14ac:dyDescent="0.25">
      <c r="A865" s="14"/>
      <c r="B865" s="24"/>
      <c r="C865" s="10"/>
      <c r="D865" s="10"/>
      <c r="E865" s="28"/>
      <c r="F865" s="28"/>
      <c r="G865" s="63"/>
      <c r="H865" s="18"/>
      <c r="I865" s="67"/>
    </row>
    <row r="866" spans="1:9" x14ac:dyDescent="0.25">
      <c r="A866" s="13"/>
      <c r="G866" s="65"/>
      <c r="H866" s="19"/>
      <c r="I866" s="68"/>
    </row>
    <row r="867" spans="1:9" x14ac:dyDescent="0.25">
      <c r="A867" s="14"/>
      <c r="B867" s="24"/>
      <c r="C867" s="10"/>
      <c r="D867" s="10"/>
      <c r="E867" s="28"/>
      <c r="F867" s="28"/>
      <c r="G867" s="63"/>
      <c r="H867" s="18"/>
      <c r="I867" s="67"/>
    </row>
    <row r="868" spans="1:9" x14ac:dyDescent="0.25">
      <c r="A868" s="13"/>
      <c r="G868" s="65"/>
      <c r="H868" s="19"/>
      <c r="I868" s="68"/>
    </row>
    <row r="869" spans="1:9" x14ac:dyDescent="0.25">
      <c r="A869" s="14"/>
      <c r="B869" s="24"/>
      <c r="C869" s="10"/>
      <c r="D869" s="10"/>
      <c r="E869" s="28"/>
      <c r="F869" s="28"/>
      <c r="G869" s="63"/>
      <c r="H869" s="18"/>
      <c r="I869" s="67"/>
    </row>
    <row r="870" spans="1:9" x14ac:dyDescent="0.25">
      <c r="A870" s="13"/>
      <c r="G870" s="65"/>
      <c r="H870" s="19"/>
      <c r="I870" s="68"/>
    </row>
    <row r="871" spans="1:9" x14ac:dyDescent="0.25">
      <c r="A871" s="14"/>
      <c r="B871" s="24"/>
      <c r="C871" s="10"/>
      <c r="D871" s="10"/>
      <c r="E871" s="28"/>
      <c r="F871" s="28"/>
      <c r="G871" s="63"/>
      <c r="H871" s="18"/>
      <c r="I871" s="67"/>
    </row>
    <row r="872" spans="1:9" x14ac:dyDescent="0.25">
      <c r="A872" s="13"/>
      <c r="G872" s="65"/>
      <c r="H872" s="19"/>
      <c r="I872" s="68"/>
    </row>
    <row r="873" spans="1:9" x14ac:dyDescent="0.25">
      <c r="A873" s="14"/>
      <c r="B873" s="24"/>
      <c r="C873" s="10"/>
      <c r="D873" s="10"/>
      <c r="E873" s="28"/>
      <c r="F873" s="28"/>
      <c r="G873" s="63"/>
      <c r="H873" s="18"/>
      <c r="I873" s="67"/>
    </row>
    <row r="874" spans="1:9" x14ac:dyDescent="0.25">
      <c r="A874" s="13"/>
      <c r="G874" s="65"/>
      <c r="H874" s="19"/>
      <c r="I874" s="68"/>
    </row>
    <row r="875" spans="1:9" x14ac:dyDescent="0.25">
      <c r="A875" s="14"/>
      <c r="B875" s="24"/>
      <c r="C875" s="10"/>
      <c r="D875" s="10"/>
      <c r="E875" s="28"/>
      <c r="F875" s="28"/>
      <c r="G875" s="63"/>
      <c r="H875" s="18"/>
      <c r="I875" s="67"/>
    </row>
    <row r="876" spans="1:9" x14ac:dyDescent="0.25">
      <c r="A876" s="13"/>
      <c r="G876" s="65"/>
      <c r="H876" s="19"/>
      <c r="I876" s="68"/>
    </row>
    <row r="877" spans="1:9" x14ac:dyDescent="0.25">
      <c r="A877" s="14"/>
      <c r="B877" s="24"/>
      <c r="C877" s="10"/>
      <c r="D877" s="10"/>
      <c r="E877" s="28"/>
      <c r="F877" s="28"/>
      <c r="G877" s="63"/>
      <c r="H877" s="18"/>
      <c r="I877" s="67"/>
    </row>
    <row r="878" spans="1:9" x14ac:dyDescent="0.25">
      <c r="A878" s="13"/>
      <c r="G878" s="65"/>
      <c r="H878" s="19"/>
      <c r="I878" s="68"/>
    </row>
    <row r="879" spans="1:9" x14ac:dyDescent="0.25">
      <c r="A879" s="14"/>
      <c r="B879" s="24"/>
      <c r="C879" s="10"/>
      <c r="D879" s="10"/>
      <c r="E879" s="28"/>
      <c r="F879" s="28"/>
      <c r="G879" s="63"/>
      <c r="H879" s="18"/>
      <c r="I879" s="67"/>
    </row>
    <row r="880" spans="1:9" x14ac:dyDescent="0.25">
      <c r="A880" s="13"/>
      <c r="G880" s="65"/>
      <c r="H880" s="19"/>
      <c r="I880" s="68"/>
    </row>
    <row r="881" spans="1:9" x14ac:dyDescent="0.25">
      <c r="A881" s="14"/>
      <c r="B881" s="24"/>
      <c r="C881" s="10"/>
      <c r="D881" s="10"/>
      <c r="E881" s="28"/>
      <c r="F881" s="28"/>
      <c r="G881" s="63"/>
      <c r="H881" s="18"/>
      <c r="I881" s="67"/>
    </row>
    <row r="882" spans="1:9" x14ac:dyDescent="0.25">
      <c r="A882" s="13"/>
      <c r="G882" s="65"/>
      <c r="H882" s="19"/>
      <c r="I882" s="68"/>
    </row>
    <row r="883" spans="1:9" x14ac:dyDescent="0.25">
      <c r="A883" s="14"/>
      <c r="B883" s="24"/>
      <c r="C883" s="10"/>
      <c r="D883" s="10"/>
      <c r="E883" s="28"/>
      <c r="F883" s="28"/>
      <c r="G883" s="63"/>
      <c r="H883" s="18"/>
      <c r="I883" s="67"/>
    </row>
    <row r="884" spans="1:9" x14ac:dyDescent="0.25">
      <c r="A884" s="13"/>
      <c r="G884" s="65"/>
      <c r="H884" s="19"/>
      <c r="I884" s="68"/>
    </row>
    <row r="885" spans="1:9" x14ac:dyDescent="0.25">
      <c r="A885" s="14"/>
      <c r="B885" s="24"/>
      <c r="C885" s="10"/>
      <c r="D885" s="10"/>
      <c r="E885" s="28"/>
      <c r="F885" s="28"/>
      <c r="G885" s="63"/>
      <c r="H885" s="18"/>
      <c r="I885" s="67"/>
    </row>
    <row r="886" spans="1:9" x14ac:dyDescent="0.25">
      <c r="A886" s="13"/>
      <c r="G886" s="65"/>
      <c r="H886" s="19"/>
      <c r="I886" s="68"/>
    </row>
    <row r="887" spans="1:9" x14ac:dyDescent="0.25">
      <c r="A887" s="14"/>
      <c r="B887" s="24"/>
      <c r="C887" s="10"/>
      <c r="D887" s="10"/>
      <c r="E887" s="28"/>
      <c r="F887" s="28"/>
      <c r="G887" s="63"/>
      <c r="H887" s="18"/>
      <c r="I887" s="67"/>
    </row>
    <row r="888" spans="1:9" x14ac:dyDescent="0.25">
      <c r="A888" s="13"/>
      <c r="G888" s="65"/>
      <c r="H888" s="19"/>
      <c r="I888" s="68"/>
    </row>
    <row r="889" spans="1:9" x14ac:dyDescent="0.25">
      <c r="A889" s="14"/>
      <c r="B889" s="24"/>
      <c r="C889" s="10"/>
      <c r="D889" s="10"/>
      <c r="E889" s="28"/>
      <c r="F889" s="28"/>
      <c r="G889" s="63"/>
      <c r="H889" s="18"/>
      <c r="I889" s="67"/>
    </row>
    <row r="890" spans="1:9" x14ac:dyDescent="0.25">
      <c r="A890" s="13"/>
      <c r="G890" s="65"/>
      <c r="H890" s="19"/>
      <c r="I890" s="68"/>
    </row>
    <row r="891" spans="1:9" x14ac:dyDescent="0.25">
      <c r="A891" s="14"/>
      <c r="B891" s="24"/>
      <c r="C891" s="10"/>
      <c r="D891" s="10"/>
      <c r="E891" s="28"/>
      <c r="F891" s="28"/>
      <c r="G891" s="63"/>
      <c r="H891" s="18"/>
      <c r="I891" s="67"/>
    </row>
    <row r="892" spans="1:9" x14ac:dyDescent="0.25">
      <c r="A892" s="13"/>
      <c r="G892" s="65"/>
      <c r="H892" s="19"/>
      <c r="I892" s="68"/>
    </row>
    <row r="893" spans="1:9" x14ac:dyDescent="0.25">
      <c r="A893" s="14"/>
      <c r="B893" s="24"/>
      <c r="C893" s="10"/>
      <c r="D893" s="10"/>
      <c r="E893" s="28"/>
      <c r="F893" s="28"/>
      <c r="G893" s="63"/>
      <c r="H893" s="18"/>
      <c r="I893" s="67"/>
    </row>
    <row r="894" spans="1:9" x14ac:dyDescent="0.25">
      <c r="A894" s="13"/>
      <c r="G894" s="65"/>
      <c r="H894" s="19"/>
      <c r="I894" s="68"/>
    </row>
    <row r="895" spans="1:9" x14ac:dyDescent="0.25">
      <c r="A895" s="14"/>
      <c r="B895" s="24"/>
      <c r="C895" s="10"/>
      <c r="D895" s="10"/>
      <c r="E895" s="28"/>
      <c r="F895" s="28"/>
      <c r="G895" s="63"/>
      <c r="H895" s="18"/>
      <c r="I895" s="67"/>
    </row>
    <row r="896" spans="1:9" x14ac:dyDescent="0.25">
      <c r="A896" s="13"/>
      <c r="G896" s="65"/>
      <c r="H896" s="19"/>
      <c r="I896" s="68"/>
    </row>
    <row r="897" spans="1:9" x14ac:dyDescent="0.25">
      <c r="A897" s="14"/>
      <c r="B897" s="24"/>
      <c r="C897" s="10"/>
      <c r="D897" s="10"/>
      <c r="E897" s="28"/>
      <c r="F897" s="28"/>
      <c r="G897" s="63"/>
      <c r="H897" s="18"/>
      <c r="I897" s="67"/>
    </row>
    <row r="898" spans="1:9" x14ac:dyDescent="0.25">
      <c r="A898" s="13"/>
      <c r="G898" s="65"/>
      <c r="H898" s="19"/>
      <c r="I898" s="68"/>
    </row>
    <row r="899" spans="1:9" x14ac:dyDescent="0.25">
      <c r="A899" s="14"/>
      <c r="B899" s="24"/>
      <c r="C899" s="10"/>
      <c r="D899" s="10"/>
      <c r="E899" s="28"/>
      <c r="F899" s="28"/>
      <c r="G899" s="63"/>
      <c r="H899" s="18"/>
      <c r="I899" s="67"/>
    </row>
    <row r="900" spans="1:9" x14ac:dyDescent="0.25">
      <c r="A900" s="13"/>
      <c r="G900" s="65"/>
      <c r="H900" s="19"/>
      <c r="I900" s="68"/>
    </row>
    <row r="901" spans="1:9" x14ac:dyDescent="0.25">
      <c r="A901" s="14"/>
      <c r="B901" s="24"/>
      <c r="C901" s="10"/>
      <c r="D901" s="10"/>
      <c r="E901" s="28"/>
      <c r="F901" s="28"/>
      <c r="G901" s="63"/>
      <c r="H901" s="18"/>
      <c r="I901" s="67"/>
    </row>
    <row r="902" spans="1:9" x14ac:dyDescent="0.25">
      <c r="A902" s="13"/>
      <c r="G902" s="65"/>
      <c r="H902" s="19"/>
      <c r="I902" s="68"/>
    </row>
    <row r="903" spans="1:9" x14ac:dyDescent="0.25">
      <c r="A903" s="14"/>
      <c r="B903" s="24"/>
      <c r="C903" s="10"/>
      <c r="D903" s="10"/>
      <c r="E903" s="28"/>
      <c r="F903" s="28"/>
      <c r="G903" s="63"/>
      <c r="H903" s="18"/>
      <c r="I903" s="67"/>
    </row>
    <row r="904" spans="1:9" x14ac:dyDescent="0.25">
      <c r="A904" s="13"/>
      <c r="G904" s="65"/>
      <c r="H904" s="19"/>
      <c r="I904" s="68"/>
    </row>
    <row r="905" spans="1:9" x14ac:dyDescent="0.25">
      <c r="A905" s="14"/>
      <c r="B905" s="24"/>
      <c r="C905" s="10"/>
      <c r="D905" s="10"/>
      <c r="E905" s="28"/>
      <c r="F905" s="28"/>
      <c r="G905" s="63"/>
      <c r="H905" s="18"/>
      <c r="I905" s="67"/>
    </row>
    <row r="906" spans="1:9" x14ac:dyDescent="0.25">
      <c r="A906" s="13"/>
      <c r="G906" s="65"/>
      <c r="H906" s="19"/>
      <c r="I906" s="68"/>
    </row>
    <row r="907" spans="1:9" x14ac:dyDescent="0.25">
      <c r="A907" s="14"/>
      <c r="B907" s="24"/>
      <c r="C907" s="10"/>
      <c r="D907" s="10"/>
      <c r="E907" s="28"/>
      <c r="F907" s="28"/>
      <c r="G907" s="63"/>
      <c r="H907" s="18"/>
      <c r="I907" s="67"/>
    </row>
    <row r="908" spans="1:9" x14ac:dyDescent="0.25">
      <c r="A908" s="13"/>
      <c r="G908" s="65"/>
      <c r="H908" s="19"/>
      <c r="I908" s="68"/>
    </row>
    <row r="909" spans="1:9" x14ac:dyDescent="0.25">
      <c r="A909" s="14"/>
      <c r="B909" s="24"/>
      <c r="C909" s="10"/>
      <c r="D909" s="10"/>
      <c r="E909" s="28"/>
      <c r="F909" s="28"/>
      <c r="G909" s="63"/>
      <c r="H909" s="18"/>
      <c r="I909" s="67"/>
    </row>
    <row r="910" spans="1:9" x14ac:dyDescent="0.25">
      <c r="A910" s="13"/>
      <c r="G910" s="65"/>
      <c r="H910" s="19"/>
      <c r="I910" s="68"/>
    </row>
    <row r="911" spans="1:9" x14ac:dyDescent="0.25">
      <c r="A911" s="14"/>
      <c r="B911" s="24"/>
      <c r="C911" s="10"/>
      <c r="D911" s="10"/>
      <c r="E911" s="28"/>
      <c r="F911" s="28"/>
      <c r="G911" s="63"/>
      <c r="H911" s="18"/>
      <c r="I911" s="67"/>
    </row>
    <row r="912" spans="1:9" x14ac:dyDescent="0.25">
      <c r="A912" s="13"/>
      <c r="G912" s="65"/>
      <c r="H912" s="19"/>
      <c r="I912" s="68"/>
    </row>
    <row r="913" spans="1:9" x14ac:dyDescent="0.25">
      <c r="A913" s="14"/>
      <c r="B913" s="24"/>
      <c r="C913" s="10"/>
      <c r="D913" s="10"/>
      <c r="E913" s="28"/>
      <c r="F913" s="28"/>
      <c r="G913" s="63"/>
      <c r="H913" s="18"/>
      <c r="I913" s="67"/>
    </row>
    <row r="914" spans="1:9" x14ac:dyDescent="0.25">
      <c r="A914" s="13"/>
      <c r="G914" s="65"/>
      <c r="H914" s="19"/>
      <c r="I914" s="68"/>
    </row>
    <row r="915" spans="1:9" x14ac:dyDescent="0.25">
      <c r="A915" s="14"/>
      <c r="B915" s="24"/>
      <c r="C915" s="10"/>
      <c r="D915" s="10"/>
      <c r="E915" s="28"/>
      <c r="F915" s="28"/>
      <c r="G915" s="63"/>
      <c r="H915" s="18"/>
      <c r="I915" s="67"/>
    </row>
    <row r="916" spans="1:9" x14ac:dyDescent="0.25">
      <c r="A916" s="13"/>
      <c r="G916" s="65"/>
      <c r="H916" s="19"/>
      <c r="I916" s="68"/>
    </row>
    <row r="917" spans="1:9" x14ac:dyDescent="0.25">
      <c r="A917" s="14"/>
      <c r="B917" s="24"/>
      <c r="C917" s="10"/>
      <c r="D917" s="10"/>
      <c r="E917" s="28"/>
      <c r="F917" s="28"/>
      <c r="G917" s="63"/>
      <c r="H917" s="18"/>
      <c r="I917" s="67"/>
    </row>
    <row r="918" spans="1:9" x14ac:dyDescent="0.25">
      <c r="A918" s="13"/>
      <c r="G918" s="65"/>
      <c r="H918" s="19"/>
      <c r="I918" s="68"/>
    </row>
    <row r="919" spans="1:9" x14ac:dyDescent="0.25">
      <c r="A919" s="14"/>
      <c r="B919" s="24"/>
      <c r="C919" s="10"/>
      <c r="D919" s="10"/>
      <c r="E919" s="28"/>
      <c r="F919" s="28"/>
      <c r="G919" s="63"/>
      <c r="H919" s="18"/>
      <c r="I919" s="67"/>
    </row>
    <row r="920" spans="1:9" x14ac:dyDescent="0.25">
      <c r="A920" s="13"/>
      <c r="G920" s="65"/>
      <c r="H920" s="19"/>
      <c r="I920" s="68"/>
    </row>
    <row r="921" spans="1:9" x14ac:dyDescent="0.25">
      <c r="A921" s="14"/>
      <c r="B921" s="24"/>
      <c r="C921" s="10"/>
      <c r="D921" s="10"/>
      <c r="E921" s="28"/>
      <c r="F921" s="28"/>
      <c r="G921" s="63"/>
      <c r="H921" s="18"/>
      <c r="I921" s="67"/>
    </row>
    <row r="922" spans="1:9" x14ac:dyDescent="0.25">
      <c r="A922" s="13"/>
      <c r="G922" s="65"/>
      <c r="H922" s="19"/>
      <c r="I922" s="68"/>
    </row>
    <row r="923" spans="1:9" x14ac:dyDescent="0.25">
      <c r="A923" s="14"/>
      <c r="B923" s="24"/>
      <c r="C923" s="10"/>
      <c r="D923" s="10"/>
      <c r="E923" s="28"/>
      <c r="F923" s="28"/>
      <c r="G923" s="63"/>
      <c r="H923" s="18"/>
      <c r="I923" s="67"/>
    </row>
    <row r="924" spans="1:9" x14ac:dyDescent="0.25">
      <c r="A924" s="13"/>
      <c r="G924" s="65"/>
      <c r="H924" s="19"/>
      <c r="I924" s="68"/>
    </row>
    <row r="925" spans="1:9" x14ac:dyDescent="0.25">
      <c r="A925" s="14"/>
      <c r="B925" s="24"/>
      <c r="C925" s="10"/>
      <c r="D925" s="10"/>
      <c r="E925" s="28"/>
      <c r="F925" s="28"/>
      <c r="G925" s="63"/>
      <c r="H925" s="18"/>
      <c r="I925" s="67"/>
    </row>
    <row r="926" spans="1:9" x14ac:dyDescent="0.25">
      <c r="A926" s="13"/>
      <c r="G926" s="65"/>
      <c r="H926" s="19"/>
      <c r="I926" s="68"/>
    </row>
    <row r="927" spans="1:9" x14ac:dyDescent="0.25">
      <c r="A927" s="14"/>
      <c r="B927" s="24"/>
      <c r="C927" s="10"/>
      <c r="D927" s="10"/>
      <c r="E927" s="28"/>
      <c r="F927" s="28"/>
      <c r="G927" s="63"/>
      <c r="H927" s="18"/>
      <c r="I927" s="67"/>
    </row>
    <row r="928" spans="1:9" x14ac:dyDescent="0.25">
      <c r="A928" s="13"/>
      <c r="G928" s="65"/>
      <c r="H928" s="19"/>
      <c r="I928" s="68"/>
    </row>
    <row r="929" spans="1:9" x14ac:dyDescent="0.25">
      <c r="A929" s="14"/>
      <c r="B929" s="24"/>
      <c r="C929" s="10"/>
      <c r="D929" s="10"/>
      <c r="E929" s="28"/>
      <c r="F929" s="28"/>
      <c r="G929" s="63"/>
      <c r="H929" s="18"/>
      <c r="I929" s="67"/>
    </row>
    <row r="930" spans="1:9" x14ac:dyDescent="0.25">
      <c r="A930" s="13"/>
      <c r="G930" s="65"/>
      <c r="H930" s="19"/>
      <c r="I930" s="68"/>
    </row>
    <row r="931" spans="1:9" x14ac:dyDescent="0.25">
      <c r="A931" s="14"/>
      <c r="B931" s="24"/>
      <c r="C931" s="10"/>
      <c r="D931" s="10"/>
      <c r="E931" s="28"/>
      <c r="F931" s="28"/>
      <c r="G931" s="63"/>
      <c r="H931" s="18"/>
      <c r="I931" s="67"/>
    </row>
    <row r="932" spans="1:9" x14ac:dyDescent="0.25">
      <c r="A932" s="13"/>
      <c r="G932" s="65"/>
      <c r="H932" s="19"/>
      <c r="I932" s="68"/>
    </row>
    <row r="933" spans="1:9" x14ac:dyDescent="0.25">
      <c r="A933" s="14"/>
      <c r="B933" s="24"/>
      <c r="C933" s="10"/>
      <c r="D933" s="10"/>
      <c r="E933" s="28"/>
      <c r="F933" s="28"/>
      <c r="G933" s="63"/>
      <c r="H933" s="18"/>
      <c r="I933" s="67"/>
    </row>
    <row r="934" spans="1:9" x14ac:dyDescent="0.25">
      <c r="A934" s="13"/>
      <c r="G934" s="65"/>
      <c r="H934" s="19"/>
      <c r="I934" s="68"/>
    </row>
    <row r="935" spans="1:9" x14ac:dyDescent="0.25">
      <c r="A935" s="14"/>
      <c r="B935" s="24"/>
      <c r="C935" s="10"/>
      <c r="D935" s="10"/>
      <c r="E935" s="28"/>
      <c r="F935" s="28"/>
      <c r="G935" s="63"/>
      <c r="H935" s="18"/>
      <c r="I935" s="67"/>
    </row>
    <row r="936" spans="1:9" x14ac:dyDescent="0.25">
      <c r="A936" s="13"/>
      <c r="G936" s="65"/>
      <c r="H936" s="19"/>
      <c r="I936" s="68"/>
    </row>
    <row r="937" spans="1:9" x14ac:dyDescent="0.25">
      <c r="A937" s="14"/>
      <c r="B937" s="24"/>
      <c r="C937" s="10"/>
      <c r="D937" s="10"/>
      <c r="E937" s="28"/>
      <c r="F937" s="28"/>
      <c r="G937" s="63"/>
      <c r="H937" s="18"/>
      <c r="I937" s="67"/>
    </row>
    <row r="938" spans="1:9" x14ac:dyDescent="0.25">
      <c r="A938" s="13"/>
      <c r="G938" s="65"/>
      <c r="H938" s="19"/>
      <c r="I938" s="68"/>
    </row>
    <row r="939" spans="1:9" x14ac:dyDescent="0.25">
      <c r="A939" s="14"/>
      <c r="B939" s="24"/>
      <c r="C939" s="10"/>
      <c r="D939" s="10"/>
      <c r="E939" s="28"/>
      <c r="F939" s="28"/>
      <c r="G939" s="63"/>
      <c r="H939" s="18"/>
      <c r="I939" s="67"/>
    </row>
    <row r="940" spans="1:9" x14ac:dyDescent="0.25">
      <c r="A940" s="13"/>
      <c r="G940" s="65"/>
      <c r="H940" s="19"/>
      <c r="I940" s="68"/>
    </row>
    <row r="941" spans="1:9" x14ac:dyDescent="0.25">
      <c r="A941" s="14"/>
      <c r="B941" s="24"/>
      <c r="C941" s="10"/>
      <c r="D941" s="10"/>
      <c r="E941" s="28"/>
      <c r="F941" s="28"/>
      <c r="G941" s="63"/>
      <c r="H941" s="18"/>
      <c r="I941" s="67"/>
    </row>
    <row r="942" spans="1:9" x14ac:dyDescent="0.25">
      <c r="A942" s="13"/>
      <c r="G942" s="65"/>
      <c r="H942" s="19"/>
      <c r="I942" s="68"/>
    </row>
    <row r="943" spans="1:9" x14ac:dyDescent="0.25">
      <c r="A943" s="14"/>
      <c r="B943" s="24"/>
      <c r="C943" s="10"/>
      <c r="D943" s="10"/>
      <c r="E943" s="28"/>
      <c r="F943" s="28"/>
      <c r="G943" s="63"/>
      <c r="H943" s="18"/>
      <c r="I943" s="67"/>
    </row>
    <row r="944" spans="1:9" x14ac:dyDescent="0.25">
      <c r="A944" s="13"/>
      <c r="G944" s="65"/>
      <c r="H944" s="19"/>
      <c r="I944" s="68"/>
    </row>
    <row r="945" spans="1:9" x14ac:dyDescent="0.25">
      <c r="A945" s="14"/>
      <c r="B945" s="24"/>
      <c r="C945" s="10"/>
      <c r="D945" s="10"/>
      <c r="E945" s="28"/>
      <c r="F945" s="28"/>
      <c r="G945" s="63"/>
      <c r="H945" s="18"/>
      <c r="I945" s="67"/>
    </row>
    <row r="946" spans="1:9" x14ac:dyDescent="0.25">
      <c r="A946" s="13"/>
      <c r="G946" s="65"/>
      <c r="H946" s="19"/>
      <c r="I946" s="68"/>
    </row>
    <row r="947" spans="1:9" x14ac:dyDescent="0.25">
      <c r="A947" s="14"/>
      <c r="B947" s="24"/>
      <c r="C947" s="10"/>
      <c r="D947" s="10"/>
      <c r="E947" s="28"/>
      <c r="F947" s="28"/>
      <c r="G947" s="63"/>
      <c r="H947" s="18"/>
      <c r="I947" s="67"/>
    </row>
    <row r="948" spans="1:9" x14ac:dyDescent="0.25">
      <c r="A948" s="13"/>
      <c r="G948" s="65"/>
      <c r="H948" s="19"/>
      <c r="I948" s="68"/>
    </row>
    <row r="949" spans="1:9" x14ac:dyDescent="0.25">
      <c r="A949" s="14"/>
      <c r="B949" s="24"/>
      <c r="C949" s="10"/>
      <c r="D949" s="10"/>
      <c r="E949" s="28"/>
      <c r="F949" s="28"/>
      <c r="G949" s="63"/>
      <c r="H949" s="18"/>
      <c r="I949" s="67"/>
    </row>
    <row r="950" spans="1:9" x14ac:dyDescent="0.25">
      <c r="A950" s="13"/>
      <c r="G950" s="65"/>
      <c r="H950" s="19"/>
      <c r="I950" s="68"/>
    </row>
    <row r="951" spans="1:9" x14ac:dyDescent="0.25">
      <c r="A951" s="14"/>
      <c r="B951" s="24"/>
      <c r="C951" s="10"/>
      <c r="D951" s="10"/>
      <c r="E951" s="28"/>
      <c r="F951" s="28"/>
      <c r="G951" s="63"/>
      <c r="H951" s="18"/>
      <c r="I951" s="67"/>
    </row>
    <row r="952" spans="1:9" x14ac:dyDescent="0.25">
      <c r="A952" s="13"/>
      <c r="G952" s="65"/>
      <c r="H952" s="19"/>
      <c r="I952" s="68"/>
    </row>
    <row r="953" spans="1:9" x14ac:dyDescent="0.25">
      <c r="A953" s="14"/>
      <c r="B953" s="24"/>
      <c r="C953" s="10"/>
      <c r="D953" s="10"/>
      <c r="E953" s="28"/>
      <c r="F953" s="28"/>
      <c r="G953" s="63"/>
      <c r="H953" s="18"/>
      <c r="I953" s="67"/>
    </row>
    <row r="954" spans="1:9" x14ac:dyDescent="0.25">
      <c r="A954" s="13"/>
      <c r="G954" s="65"/>
      <c r="H954" s="19"/>
      <c r="I954" s="68"/>
    </row>
    <row r="955" spans="1:9" x14ac:dyDescent="0.25">
      <c r="A955" s="14"/>
      <c r="B955" s="24"/>
      <c r="C955" s="10"/>
      <c r="D955" s="10"/>
      <c r="E955" s="28"/>
      <c r="F955" s="28"/>
      <c r="G955" s="63"/>
      <c r="H955" s="18"/>
      <c r="I955" s="67"/>
    </row>
    <row r="956" spans="1:9" x14ac:dyDescent="0.25">
      <c r="A956" s="13"/>
      <c r="G956" s="65"/>
      <c r="H956" s="19"/>
      <c r="I956" s="68"/>
    </row>
    <row r="957" spans="1:9" x14ac:dyDescent="0.25">
      <c r="A957" s="14"/>
      <c r="B957" s="24"/>
      <c r="C957" s="10"/>
      <c r="D957" s="10"/>
      <c r="E957" s="28"/>
      <c r="F957" s="28"/>
      <c r="G957" s="63"/>
      <c r="H957" s="18"/>
      <c r="I957" s="67"/>
    </row>
    <row r="958" spans="1:9" x14ac:dyDescent="0.25">
      <c r="A958" s="13"/>
      <c r="G958" s="65"/>
      <c r="H958" s="19"/>
      <c r="I958" s="68"/>
    </row>
    <row r="959" spans="1:9" x14ac:dyDescent="0.25">
      <c r="A959" s="14"/>
      <c r="B959" s="24"/>
      <c r="C959" s="10"/>
      <c r="D959" s="10"/>
      <c r="E959" s="28"/>
      <c r="F959" s="28"/>
      <c r="G959" s="63"/>
      <c r="H959" s="18"/>
      <c r="I959" s="67"/>
    </row>
    <row r="960" spans="1:9" x14ac:dyDescent="0.25">
      <c r="A960" s="13"/>
      <c r="G960" s="65"/>
      <c r="H960" s="19"/>
      <c r="I960" s="68"/>
    </row>
    <row r="961" spans="1:9" x14ac:dyDescent="0.25">
      <c r="A961" s="14"/>
      <c r="B961" s="24"/>
      <c r="C961" s="10"/>
      <c r="D961" s="10"/>
      <c r="E961" s="28"/>
      <c r="F961" s="28"/>
      <c r="G961" s="63"/>
      <c r="H961" s="18"/>
      <c r="I961" s="67"/>
    </row>
    <row r="962" spans="1:9" x14ac:dyDescent="0.25">
      <c r="A962" s="13"/>
      <c r="G962" s="65"/>
      <c r="H962" s="19"/>
      <c r="I962" s="68"/>
    </row>
    <row r="963" spans="1:9" x14ac:dyDescent="0.25">
      <c r="A963" s="14"/>
      <c r="B963" s="24"/>
      <c r="C963" s="10"/>
      <c r="D963" s="10"/>
      <c r="E963" s="28"/>
      <c r="F963" s="28"/>
      <c r="G963" s="63"/>
      <c r="H963" s="18"/>
      <c r="I963" s="67"/>
    </row>
    <row r="964" spans="1:9" x14ac:dyDescent="0.25">
      <c r="A964" s="13"/>
      <c r="G964" s="65"/>
      <c r="H964" s="19"/>
      <c r="I964" s="68"/>
    </row>
    <row r="965" spans="1:9" x14ac:dyDescent="0.25">
      <c r="A965" s="14"/>
      <c r="B965" s="24"/>
      <c r="C965" s="10"/>
      <c r="D965" s="10"/>
      <c r="E965" s="28"/>
      <c r="F965" s="28"/>
      <c r="G965" s="63"/>
      <c r="H965" s="18"/>
      <c r="I965" s="67"/>
    </row>
    <row r="966" spans="1:9" x14ac:dyDescent="0.25">
      <c r="A966" s="13"/>
      <c r="G966" s="65"/>
      <c r="H966" s="19"/>
      <c r="I966" s="68"/>
    </row>
    <row r="967" spans="1:9" x14ac:dyDescent="0.25">
      <c r="A967" s="14"/>
      <c r="B967" s="24"/>
      <c r="C967" s="10"/>
      <c r="D967" s="10"/>
      <c r="E967" s="28"/>
      <c r="F967" s="28"/>
      <c r="G967" s="63"/>
      <c r="H967" s="18"/>
      <c r="I967" s="67"/>
    </row>
    <row r="968" spans="1:9" x14ac:dyDescent="0.25">
      <c r="A968" s="13"/>
      <c r="G968" s="65"/>
      <c r="H968" s="19"/>
      <c r="I968" s="68"/>
    </row>
    <row r="969" spans="1:9" x14ac:dyDescent="0.25">
      <c r="A969" s="14"/>
      <c r="B969" s="24"/>
      <c r="C969" s="10"/>
      <c r="D969" s="10"/>
      <c r="E969" s="28"/>
      <c r="F969" s="28"/>
      <c r="G969" s="63"/>
      <c r="H969" s="18"/>
      <c r="I969" s="67"/>
    </row>
    <row r="970" spans="1:9" x14ac:dyDescent="0.25">
      <c r="A970" s="13"/>
      <c r="G970" s="65"/>
      <c r="H970" s="19"/>
      <c r="I970" s="68"/>
    </row>
    <row r="971" spans="1:9" x14ac:dyDescent="0.25">
      <c r="A971" s="14"/>
      <c r="B971" s="24"/>
      <c r="C971" s="10"/>
      <c r="D971" s="10"/>
      <c r="E971" s="28"/>
      <c r="F971" s="28"/>
      <c r="G971" s="63"/>
      <c r="H971" s="18"/>
      <c r="I971" s="67"/>
    </row>
    <row r="972" spans="1:9" x14ac:dyDescent="0.25">
      <c r="A972" s="13"/>
      <c r="G972" s="65"/>
      <c r="H972" s="19"/>
      <c r="I972" s="68"/>
    </row>
    <row r="973" spans="1:9" x14ac:dyDescent="0.25">
      <c r="A973" s="14"/>
      <c r="B973" s="24"/>
      <c r="C973" s="10"/>
      <c r="D973" s="10"/>
      <c r="E973" s="28"/>
      <c r="F973" s="28"/>
      <c r="G973" s="63"/>
      <c r="H973" s="18"/>
      <c r="I973" s="67"/>
    </row>
    <row r="974" spans="1:9" x14ac:dyDescent="0.25">
      <c r="A974" s="13"/>
      <c r="G974" s="65"/>
      <c r="H974" s="19"/>
      <c r="I974" s="68"/>
    </row>
    <row r="975" spans="1:9" x14ac:dyDescent="0.25">
      <c r="A975" s="14"/>
      <c r="B975" s="24"/>
      <c r="C975" s="10"/>
      <c r="D975" s="10"/>
      <c r="E975" s="28"/>
      <c r="F975" s="28"/>
      <c r="G975" s="63"/>
      <c r="H975" s="18"/>
      <c r="I975" s="67"/>
    </row>
    <row r="976" spans="1:9" x14ac:dyDescent="0.25">
      <c r="A976" s="13"/>
      <c r="G976" s="65"/>
      <c r="H976" s="19"/>
      <c r="I976" s="68"/>
    </row>
    <row r="977" spans="1:9" x14ac:dyDescent="0.25">
      <c r="A977" s="14"/>
      <c r="B977" s="24"/>
      <c r="C977" s="10"/>
      <c r="D977" s="10"/>
      <c r="E977" s="28"/>
      <c r="F977" s="28"/>
      <c r="G977" s="63"/>
      <c r="H977" s="18"/>
      <c r="I977" s="67"/>
    </row>
    <row r="978" spans="1:9" x14ac:dyDescent="0.25">
      <c r="A978" s="13"/>
      <c r="G978" s="65"/>
      <c r="H978" s="19"/>
      <c r="I978" s="68"/>
    </row>
    <row r="979" spans="1:9" x14ac:dyDescent="0.25">
      <c r="A979" s="14"/>
      <c r="B979" s="24"/>
      <c r="C979" s="10"/>
      <c r="D979" s="10"/>
      <c r="E979" s="28"/>
      <c r="F979" s="28"/>
      <c r="G979" s="63"/>
      <c r="H979" s="18"/>
      <c r="I979" s="67"/>
    </row>
    <row r="980" spans="1:9" x14ac:dyDescent="0.25">
      <c r="A980" s="13"/>
      <c r="G980" s="65"/>
      <c r="H980" s="19"/>
      <c r="I980" s="68"/>
    </row>
    <row r="981" spans="1:9" x14ac:dyDescent="0.25">
      <c r="A981" s="14"/>
      <c r="B981" s="24"/>
      <c r="C981" s="10"/>
      <c r="D981" s="10"/>
      <c r="E981" s="28"/>
      <c r="F981" s="28"/>
      <c r="G981" s="63"/>
      <c r="H981" s="18"/>
      <c r="I981" s="67"/>
    </row>
    <row r="982" spans="1:9" x14ac:dyDescent="0.25">
      <c r="A982" s="13"/>
      <c r="G982" s="65"/>
      <c r="H982" s="19"/>
      <c r="I982" s="68"/>
    </row>
    <row r="983" spans="1:9" x14ac:dyDescent="0.25">
      <c r="A983" s="14"/>
      <c r="B983" s="24"/>
      <c r="C983" s="10"/>
      <c r="D983" s="10"/>
      <c r="E983" s="28"/>
      <c r="F983" s="28"/>
      <c r="G983" s="63"/>
      <c r="H983" s="18"/>
      <c r="I983" s="67"/>
    </row>
    <row r="984" spans="1:9" x14ac:dyDescent="0.25">
      <c r="A984" s="13"/>
      <c r="G984" s="65"/>
      <c r="H984" s="19"/>
      <c r="I984" s="68"/>
    </row>
    <row r="985" spans="1:9" x14ac:dyDescent="0.25">
      <c r="A985" s="14"/>
      <c r="B985" s="24"/>
      <c r="C985" s="10"/>
      <c r="D985" s="10"/>
      <c r="E985" s="28"/>
      <c r="F985" s="28"/>
      <c r="G985" s="63"/>
      <c r="H985" s="18"/>
      <c r="I985" s="67"/>
    </row>
    <row r="986" spans="1:9" x14ac:dyDescent="0.25">
      <c r="A986" s="13"/>
      <c r="G986" s="65"/>
      <c r="H986" s="19"/>
      <c r="I986" s="68"/>
    </row>
    <row r="987" spans="1:9" x14ac:dyDescent="0.25">
      <c r="A987" s="14"/>
      <c r="B987" s="24"/>
      <c r="C987" s="10"/>
      <c r="D987" s="10"/>
      <c r="E987" s="28"/>
      <c r="F987" s="28"/>
      <c r="G987" s="63"/>
      <c r="H987" s="18"/>
      <c r="I987" s="67"/>
    </row>
    <row r="988" spans="1:9" x14ac:dyDescent="0.25">
      <c r="A988" s="13"/>
      <c r="G988" s="65"/>
      <c r="H988" s="19"/>
      <c r="I988" s="68"/>
    </row>
    <row r="989" spans="1:9" x14ac:dyDescent="0.25">
      <c r="A989" s="14"/>
      <c r="B989" s="24"/>
      <c r="C989" s="10"/>
      <c r="D989" s="10"/>
      <c r="E989" s="28"/>
      <c r="F989" s="28"/>
      <c r="G989" s="63"/>
      <c r="H989" s="18"/>
      <c r="I989" s="67"/>
    </row>
    <row r="990" spans="1:9" x14ac:dyDescent="0.25">
      <c r="A990" s="13"/>
      <c r="G990" s="65"/>
      <c r="H990" s="19"/>
      <c r="I990" s="68"/>
    </row>
    <row r="991" spans="1:9" x14ac:dyDescent="0.25">
      <c r="A991" s="14"/>
      <c r="B991" s="24"/>
      <c r="C991" s="10"/>
      <c r="D991" s="10"/>
      <c r="E991" s="28"/>
      <c r="F991" s="28"/>
      <c r="G991" s="63"/>
      <c r="H991" s="18"/>
      <c r="I991" s="67"/>
    </row>
    <row r="992" spans="1:9" x14ac:dyDescent="0.25">
      <c r="A992" s="13"/>
      <c r="G992" s="65"/>
      <c r="H992" s="19"/>
      <c r="I992" s="68"/>
    </row>
    <row r="993" spans="1:9" x14ac:dyDescent="0.25">
      <c r="A993" s="14"/>
      <c r="B993" s="24"/>
      <c r="C993" s="10"/>
      <c r="D993" s="10"/>
      <c r="E993" s="28"/>
      <c r="F993" s="28"/>
      <c r="G993" s="63"/>
      <c r="H993" s="18"/>
      <c r="I993" s="67"/>
    </row>
    <row r="994" spans="1:9" x14ac:dyDescent="0.25">
      <c r="A994" s="13"/>
      <c r="G994" s="65"/>
      <c r="H994" s="19"/>
      <c r="I994" s="68"/>
    </row>
    <row r="995" spans="1:9" x14ac:dyDescent="0.25">
      <c r="A995" s="14"/>
      <c r="B995" s="24"/>
      <c r="C995" s="10"/>
      <c r="D995" s="10"/>
      <c r="E995" s="28"/>
      <c r="F995" s="28"/>
      <c r="G995" s="63"/>
      <c r="H995" s="18"/>
      <c r="I995" s="67"/>
    </row>
    <row r="996" spans="1:9" x14ac:dyDescent="0.25">
      <c r="A996" s="13"/>
      <c r="G996" s="65"/>
      <c r="H996" s="19"/>
      <c r="I996" s="68"/>
    </row>
    <row r="997" spans="1:9" x14ac:dyDescent="0.25">
      <c r="A997" s="14"/>
      <c r="B997" s="24"/>
      <c r="C997" s="10"/>
      <c r="D997" s="10"/>
      <c r="E997" s="28"/>
      <c r="F997" s="28"/>
      <c r="G997" s="63"/>
      <c r="H997" s="18"/>
      <c r="I997" s="67"/>
    </row>
    <row r="998" spans="1:9" x14ac:dyDescent="0.25">
      <c r="A998" s="13"/>
      <c r="G998" s="65"/>
      <c r="H998" s="19"/>
      <c r="I998" s="68"/>
    </row>
    <row r="999" spans="1:9" x14ac:dyDescent="0.25">
      <c r="A999" s="14"/>
      <c r="B999" s="24"/>
      <c r="C999" s="10"/>
      <c r="D999" s="10"/>
      <c r="E999" s="28"/>
      <c r="F999" s="28"/>
      <c r="G999" s="63"/>
      <c r="H999" s="18"/>
      <c r="I999" s="67"/>
    </row>
    <row r="1000" spans="1:9" x14ac:dyDescent="0.25">
      <c r="A1000" s="13"/>
      <c r="G1000" s="65"/>
      <c r="H1000" s="19"/>
      <c r="I1000" s="68"/>
    </row>
    <row r="1001" spans="1:9" x14ac:dyDescent="0.25">
      <c r="A1001" s="14"/>
      <c r="B1001" s="24"/>
      <c r="C1001" s="10"/>
      <c r="D1001" s="10"/>
      <c r="E1001" s="28"/>
      <c r="F1001" s="28"/>
      <c r="G1001" s="63"/>
      <c r="H1001" s="18"/>
      <c r="I1001" s="67"/>
    </row>
    <row r="1002" spans="1:9" x14ac:dyDescent="0.25">
      <c r="A1002" s="13"/>
      <c r="G1002" s="65"/>
      <c r="H1002" s="19"/>
      <c r="I1002" s="68"/>
    </row>
    <row r="1003" spans="1:9" x14ac:dyDescent="0.25">
      <c r="A1003" s="14"/>
      <c r="B1003" s="24"/>
      <c r="C1003" s="10"/>
      <c r="D1003" s="10"/>
      <c r="E1003" s="28"/>
      <c r="F1003" s="28"/>
      <c r="G1003" s="63"/>
      <c r="H1003" s="18"/>
      <c r="I1003" s="67"/>
    </row>
    <row r="1004" spans="1:9" x14ac:dyDescent="0.25">
      <c r="A1004" s="13"/>
      <c r="G1004" s="65"/>
      <c r="H1004" s="19"/>
      <c r="I1004" s="68"/>
    </row>
    <row r="1005" spans="1:9" x14ac:dyDescent="0.25">
      <c r="A1005" s="14"/>
      <c r="B1005" s="24"/>
      <c r="C1005" s="10"/>
      <c r="D1005" s="10"/>
      <c r="E1005" s="28"/>
      <c r="F1005" s="28"/>
      <c r="G1005" s="63"/>
      <c r="H1005" s="18"/>
      <c r="I1005" s="67"/>
    </row>
    <row r="1006" spans="1:9" x14ac:dyDescent="0.25">
      <c r="A1006" s="13"/>
      <c r="G1006" s="65"/>
      <c r="H1006" s="19"/>
      <c r="I1006" s="68"/>
    </row>
    <row r="1007" spans="1:9" x14ac:dyDescent="0.25">
      <c r="A1007" s="14"/>
      <c r="B1007" s="24"/>
      <c r="C1007" s="10"/>
      <c r="D1007" s="10"/>
      <c r="E1007" s="28"/>
      <c r="F1007" s="28"/>
      <c r="G1007" s="63"/>
      <c r="H1007" s="18"/>
      <c r="I1007" s="67"/>
    </row>
    <row r="1008" spans="1:9" x14ac:dyDescent="0.25">
      <c r="A1008" s="13"/>
      <c r="G1008" s="65"/>
      <c r="H1008" s="19"/>
      <c r="I1008" s="68"/>
    </row>
    <row r="1009" spans="1:9" x14ac:dyDescent="0.25">
      <c r="A1009" s="14"/>
      <c r="B1009" s="24"/>
      <c r="C1009" s="10"/>
      <c r="D1009" s="10"/>
      <c r="E1009" s="28"/>
      <c r="F1009" s="28"/>
      <c r="G1009" s="63"/>
      <c r="H1009" s="18"/>
      <c r="I1009" s="67"/>
    </row>
    <row r="1010" spans="1:9" x14ac:dyDescent="0.25">
      <c r="A1010" s="13"/>
      <c r="G1010" s="65"/>
      <c r="H1010" s="19"/>
      <c r="I1010" s="68"/>
    </row>
    <row r="1011" spans="1:9" x14ac:dyDescent="0.25">
      <c r="A1011" s="14"/>
      <c r="B1011" s="24"/>
      <c r="C1011" s="10"/>
      <c r="D1011" s="10"/>
      <c r="E1011" s="28"/>
      <c r="F1011" s="28"/>
      <c r="G1011" s="63"/>
      <c r="H1011" s="18"/>
      <c r="I1011" s="67"/>
    </row>
  </sheetData>
  <autoFilter ref="A1:Q129" xr:uid="{DA5BF9E8-791A-471A-9B13-8E5C21393851}"/>
  <sortState xmlns:xlrd2="http://schemas.microsoft.com/office/spreadsheetml/2017/richdata2" ref="B2:G31">
    <sortCondition ref="G2:G31"/>
  </sortState>
  <printOptions horizontalCentered="1"/>
  <pageMargins left="0.7" right="0.7" top="0.75" bottom="0.75" header="0.3" footer="0.3"/>
  <pageSetup paperSize="9" orientation="landscape" r:id="rId1"/>
  <headerFooter>
    <oddHeader>&amp;LClassement général&amp;CLes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ctualiser_classement_gen">
                <anchor moveWithCells="1" sizeWithCells="1">
                  <from>
                    <xdr:col>13</xdr:col>
                    <xdr:colOff>304800</xdr:colOff>
                    <xdr:row>1</xdr:row>
                    <xdr:rowOff>123825</xdr:rowOff>
                  </from>
                  <to>
                    <xdr:col>16</xdr:col>
                    <xdr:colOff>704850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mprimer_classement">
                <anchor moveWithCells="1" sizeWithCells="1">
                  <from>
                    <xdr:col>13</xdr:col>
                    <xdr:colOff>276225</xdr:colOff>
                    <xdr:row>4</xdr:row>
                    <xdr:rowOff>104775</xdr:rowOff>
                  </from>
                  <to>
                    <xdr:col>16</xdr:col>
                    <xdr:colOff>628650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F334A-1E02-4AD8-BD68-130BC567CEFF}">
  <sheetPr codeName="Feuil3"/>
  <dimension ref="A1:N30"/>
  <sheetViews>
    <sheetView tabSelected="1" workbookViewId="0">
      <selection activeCell="J4" sqref="J4"/>
    </sheetView>
  </sheetViews>
  <sheetFormatPr baseColWidth="10" defaultRowHeight="15" x14ac:dyDescent="0.25"/>
  <cols>
    <col min="1" max="1" width="18.140625" customWidth="1"/>
    <col min="2" max="2" width="21.28515625" customWidth="1"/>
    <col min="7" max="7" width="23.85546875" customWidth="1"/>
    <col min="8" max="8" width="37.28515625" customWidth="1"/>
    <col min="9" max="9" width="12.5703125" customWidth="1"/>
    <col min="10" max="10" width="13.140625" customWidth="1"/>
    <col min="12" max="12" width="22.42578125" bestFit="1" customWidth="1"/>
  </cols>
  <sheetData>
    <row r="1" spans="1:14" x14ac:dyDescent="0.25">
      <c r="A1" s="8" t="s">
        <v>112</v>
      </c>
      <c r="B1">
        <v>2022</v>
      </c>
      <c r="I1" s="173" t="s">
        <v>54</v>
      </c>
      <c r="J1" s="173"/>
      <c r="L1" s="174" t="s">
        <v>76</v>
      </c>
      <c r="M1" s="174"/>
      <c r="N1" s="174"/>
    </row>
    <row r="2" spans="1:14" x14ac:dyDescent="0.25">
      <c r="A2" s="44" t="s">
        <v>43</v>
      </c>
      <c r="B2" s="44">
        <f>19-COUNTBLANK(A3:A22)</f>
        <v>9</v>
      </c>
      <c r="H2" s="42">
        <f>COUNTA(H3:H10)</f>
        <v>6</v>
      </c>
      <c r="I2" s="173"/>
      <c r="J2" s="173"/>
      <c r="L2" s="174"/>
      <c r="M2" s="174"/>
      <c r="N2" s="174"/>
    </row>
    <row r="3" spans="1:14" x14ac:dyDescent="0.25">
      <c r="A3" s="44" t="s">
        <v>44</v>
      </c>
      <c r="B3" s="44" t="s">
        <v>45</v>
      </c>
      <c r="C3" s="44">
        <f>B1-13</f>
        <v>2009</v>
      </c>
      <c r="D3" s="44">
        <f>B1-14</f>
        <v>2008</v>
      </c>
      <c r="E3" s="43" t="s">
        <v>13</v>
      </c>
      <c r="F3" s="43" t="s">
        <v>11</v>
      </c>
      <c r="G3" s="42" t="s">
        <v>23</v>
      </c>
      <c r="H3" s="42" t="s">
        <v>28</v>
      </c>
      <c r="I3" s="41" t="s">
        <v>52</v>
      </c>
      <c r="J3" s="41" t="s">
        <v>53</v>
      </c>
      <c r="L3" s="45" t="s">
        <v>8</v>
      </c>
      <c r="M3" s="45" t="s">
        <v>68</v>
      </c>
      <c r="N3">
        <v>2</v>
      </c>
    </row>
    <row r="4" spans="1:14" x14ac:dyDescent="0.25">
      <c r="A4" s="44" t="s">
        <v>44</v>
      </c>
      <c r="B4" s="44" t="s">
        <v>46</v>
      </c>
      <c r="C4" s="44">
        <f>B1-15</f>
        <v>2007</v>
      </c>
      <c r="D4" s="44">
        <f>B1-16</f>
        <v>2006</v>
      </c>
      <c r="F4" s="43" t="s">
        <v>14</v>
      </c>
      <c r="H4" s="42" t="s">
        <v>24</v>
      </c>
      <c r="I4" s="41"/>
      <c r="J4" s="41" t="s">
        <v>55</v>
      </c>
      <c r="L4" s="45" t="s">
        <v>2</v>
      </c>
      <c r="M4" s="45" t="s">
        <v>69</v>
      </c>
    </row>
    <row r="5" spans="1:14" x14ac:dyDescent="0.25">
      <c r="A5" s="44" t="s">
        <v>44</v>
      </c>
      <c r="B5" s="44" t="s">
        <v>47</v>
      </c>
      <c r="C5" s="44">
        <f>B1-17</f>
        <v>2005</v>
      </c>
      <c r="D5" s="44">
        <f>B1-18</f>
        <v>2004</v>
      </c>
      <c r="H5" s="42" t="s">
        <v>25</v>
      </c>
      <c r="L5" s="45" t="s">
        <v>10</v>
      </c>
      <c r="M5" s="45" t="s">
        <v>72</v>
      </c>
    </row>
    <row r="6" spans="1:14" x14ac:dyDescent="0.25">
      <c r="A6" s="44" t="s">
        <v>44</v>
      </c>
      <c r="B6" s="44" t="s">
        <v>49</v>
      </c>
      <c r="C6" s="44">
        <f>B1-19</f>
        <v>2003</v>
      </c>
      <c r="D6" s="44">
        <f>B1-22</f>
        <v>2000</v>
      </c>
      <c r="H6" s="42" t="s">
        <v>74</v>
      </c>
      <c r="L6" s="45" t="s">
        <v>106</v>
      </c>
      <c r="M6" s="45" t="s">
        <v>57</v>
      </c>
    </row>
    <row r="7" spans="1:14" x14ac:dyDescent="0.25">
      <c r="A7" s="44" t="s">
        <v>44</v>
      </c>
      <c r="B7" s="44" t="s">
        <v>48</v>
      </c>
      <c r="C7" s="44">
        <f>B1-23</f>
        <v>1999</v>
      </c>
      <c r="D7" s="44">
        <f>B1-39</f>
        <v>1983</v>
      </c>
      <c r="H7" s="42" t="s">
        <v>26</v>
      </c>
      <c r="L7" s="45" t="s">
        <v>107</v>
      </c>
      <c r="M7" s="45" t="s">
        <v>70</v>
      </c>
    </row>
    <row r="8" spans="1:14" x14ac:dyDescent="0.25">
      <c r="A8" s="44" t="s">
        <v>44</v>
      </c>
      <c r="B8" s="44" t="s">
        <v>66</v>
      </c>
      <c r="C8" s="44">
        <f>B1-40</f>
        <v>1982</v>
      </c>
      <c r="D8" s="44">
        <f>B1-49</f>
        <v>1973</v>
      </c>
      <c r="H8" s="42" t="s">
        <v>27</v>
      </c>
      <c r="L8" s="45" t="s">
        <v>108</v>
      </c>
      <c r="M8" s="45" t="s">
        <v>11</v>
      </c>
    </row>
    <row r="9" spans="1:14" x14ac:dyDescent="0.25">
      <c r="A9" s="44" t="s">
        <v>44</v>
      </c>
      <c r="B9" s="44" t="s">
        <v>65</v>
      </c>
      <c r="C9" s="44">
        <f>B1-50</f>
        <v>1972</v>
      </c>
      <c r="D9" s="44">
        <v>1961</v>
      </c>
      <c r="L9" s="45" t="s">
        <v>109</v>
      </c>
      <c r="M9" s="45" t="s">
        <v>73</v>
      </c>
    </row>
    <row r="10" spans="1:14" x14ac:dyDescent="0.25">
      <c r="A10" s="44" t="s">
        <v>44</v>
      </c>
      <c r="B10" s="44" t="s">
        <v>64</v>
      </c>
      <c r="C10" s="44">
        <f>B1-60</f>
        <v>1962</v>
      </c>
      <c r="D10" s="44">
        <f>B1-69</f>
        <v>1953</v>
      </c>
      <c r="L10" s="45" t="s">
        <v>32</v>
      </c>
      <c r="M10" s="45" t="s">
        <v>79</v>
      </c>
    </row>
    <row r="11" spans="1:14" x14ac:dyDescent="0.25">
      <c r="A11" s="44" t="s">
        <v>44</v>
      </c>
      <c r="B11" s="44" t="s">
        <v>63</v>
      </c>
      <c r="C11" s="44">
        <f>B1-70</f>
        <v>1952</v>
      </c>
      <c r="D11" s="44">
        <v>1900</v>
      </c>
      <c r="F11" s="53" t="s">
        <v>59</v>
      </c>
      <c r="G11" s="53" t="s">
        <v>60</v>
      </c>
      <c r="L11" s="45" t="s">
        <v>58</v>
      </c>
      <c r="M11" s="45">
        <v>0</v>
      </c>
    </row>
    <row r="12" spans="1:14" x14ac:dyDescent="0.25">
      <c r="A12" s="44" t="s">
        <v>44</v>
      </c>
      <c r="B12" s="44" t="s">
        <v>67</v>
      </c>
      <c r="C12" s="44">
        <v>1899</v>
      </c>
      <c r="D12" s="44">
        <v>1888</v>
      </c>
      <c r="F12" s="53"/>
      <c r="G12" s="53" t="e">
        <f>MATCH(F12,Inscription!B2:B1000,0)</f>
        <v>#N/A</v>
      </c>
      <c r="L12" s="45" t="s">
        <v>110</v>
      </c>
      <c r="M12" s="45" t="s">
        <v>71</v>
      </c>
    </row>
    <row r="13" spans="1:14" x14ac:dyDescent="0.25">
      <c r="A13" s="44"/>
      <c r="B13" s="44" t="s">
        <v>48</v>
      </c>
      <c r="C13" s="44"/>
      <c r="D13" s="44"/>
      <c r="L13" s="45" t="s">
        <v>111</v>
      </c>
      <c r="M13" s="45" t="s">
        <v>14</v>
      </c>
    </row>
    <row r="14" spans="1:14" x14ac:dyDescent="0.25">
      <c r="L14" s="45" t="s">
        <v>3</v>
      </c>
      <c r="M14" s="45" t="s">
        <v>75</v>
      </c>
    </row>
    <row r="15" spans="1:14" x14ac:dyDescent="0.25">
      <c r="L15" s="45" t="s">
        <v>78</v>
      </c>
      <c r="M15" s="45" t="s">
        <v>113</v>
      </c>
    </row>
    <row r="16" spans="1:14" x14ac:dyDescent="0.25">
      <c r="A16" s="64"/>
    </row>
    <row r="23" spans="1:2" x14ac:dyDescent="0.25">
      <c r="A23" t="s">
        <v>83</v>
      </c>
      <c r="B23">
        <f>COUNTA(A25:F25)</f>
        <v>2</v>
      </c>
    </row>
    <row r="24" spans="1:2" x14ac:dyDescent="0.25">
      <c r="A24">
        <f>COUNTA(A26:A39)</f>
        <v>5</v>
      </c>
      <c r="B24">
        <f>COUNTA(B26:B39)</f>
        <v>4</v>
      </c>
    </row>
    <row r="25" spans="1:2" x14ac:dyDescent="0.25">
      <c r="A25" t="str">
        <f>"-de 40"</f>
        <v>-de 40</v>
      </c>
      <c r="B25" t="str">
        <f>"+de 40"</f>
        <v>+de 40</v>
      </c>
    </row>
    <row r="26" spans="1:2" x14ac:dyDescent="0.25">
      <c r="A26" t="s">
        <v>45</v>
      </c>
      <c r="B26" t="s">
        <v>66</v>
      </c>
    </row>
    <row r="27" spans="1:2" x14ac:dyDescent="0.25">
      <c r="A27" t="s">
        <v>46</v>
      </c>
      <c r="B27" t="s">
        <v>65</v>
      </c>
    </row>
    <row r="28" spans="1:2" x14ac:dyDescent="0.25">
      <c r="A28" t="s">
        <v>47</v>
      </c>
      <c r="B28" t="s">
        <v>64</v>
      </c>
    </row>
    <row r="29" spans="1:2" x14ac:dyDescent="0.25">
      <c r="A29" t="s">
        <v>49</v>
      </c>
      <c r="B29" t="s">
        <v>63</v>
      </c>
    </row>
    <row r="30" spans="1:2" x14ac:dyDescent="0.25">
      <c r="A30" t="s">
        <v>48</v>
      </c>
    </row>
  </sheetData>
  <mergeCells count="2">
    <mergeCell ref="I1:J2"/>
    <mergeCell ref="L1:N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F4F7-6434-4819-97EE-BF203C590DF5}">
  <sheetPr codeName="Feuil5"/>
  <dimension ref="A1:S1005"/>
  <sheetViews>
    <sheetView workbookViewId="0">
      <selection activeCell="B2" sqref="B2:M1000"/>
    </sheetView>
  </sheetViews>
  <sheetFormatPr baseColWidth="10" defaultRowHeight="15" x14ac:dyDescent="0.25"/>
  <cols>
    <col min="1" max="1" width="11.42578125" style="39"/>
    <col min="2" max="2" width="7.85546875" customWidth="1"/>
    <col min="3" max="3" width="8.85546875" customWidth="1"/>
    <col min="4" max="4" width="13.85546875" customWidth="1"/>
    <col min="5" max="5" width="11.85546875" customWidth="1"/>
    <col min="7" max="7" width="6.85546875" style="34" customWidth="1"/>
    <col min="8" max="8" width="12.140625" style="34" customWidth="1"/>
    <col min="9" max="9" width="21.5703125" style="34" bestFit="1" customWidth="1"/>
    <col min="10" max="10" width="17.42578125" style="34" customWidth="1"/>
    <col min="11" max="11" width="14.42578125" style="34" customWidth="1"/>
    <col min="12" max="12" width="12" customWidth="1"/>
    <col min="14" max="14" width="12" hidden="1" customWidth="1"/>
    <col min="19" max="19" width="22.140625" customWidth="1"/>
  </cols>
  <sheetData>
    <row r="1" spans="1:19" ht="15.75" thickBot="1" x14ac:dyDescent="0.3">
      <c r="A1" s="37" t="s">
        <v>40</v>
      </c>
      <c r="B1" s="35" t="s">
        <v>12</v>
      </c>
      <c r="C1" s="22" t="s">
        <v>0</v>
      </c>
      <c r="D1" s="17" t="s">
        <v>8</v>
      </c>
      <c r="E1" s="17" t="s">
        <v>9</v>
      </c>
      <c r="F1" s="30" t="s">
        <v>32</v>
      </c>
      <c r="G1" s="30" t="s">
        <v>42</v>
      </c>
      <c r="H1" s="30" t="s">
        <v>3</v>
      </c>
      <c r="I1" s="30" t="s">
        <v>99</v>
      </c>
      <c r="J1" s="30" t="s">
        <v>97</v>
      </c>
      <c r="K1" s="30" t="s">
        <v>56</v>
      </c>
      <c r="L1" s="17" t="s">
        <v>6</v>
      </c>
      <c r="M1" s="17" t="s">
        <v>35</v>
      </c>
      <c r="N1" s="30" t="s">
        <v>7</v>
      </c>
      <c r="S1" s="40" t="s">
        <v>51</v>
      </c>
    </row>
    <row r="2" spans="1:19" ht="15.75" thickTop="1" x14ac:dyDescent="0.25">
      <c r="A2" s="38"/>
      <c r="B2" s="121"/>
      <c r="C2" s="122"/>
      <c r="D2" s="123"/>
      <c r="E2" s="123"/>
      <c r="F2" s="124"/>
      <c r="G2" s="125"/>
      <c r="H2" s="125"/>
      <c r="I2" s="125"/>
      <c r="J2" s="125"/>
      <c r="K2" s="126"/>
      <c r="L2" s="127"/>
      <c r="M2" s="128"/>
      <c r="N2" s="129">
        <v>48.539325842696634</v>
      </c>
      <c r="O2">
        <v>128</v>
      </c>
      <c r="S2" s="40">
        <v>27</v>
      </c>
    </row>
    <row r="3" spans="1:19" x14ac:dyDescent="0.25">
      <c r="B3" s="130"/>
      <c r="C3" s="131"/>
      <c r="D3" s="132"/>
      <c r="E3" s="132"/>
      <c r="F3" s="133"/>
      <c r="G3" s="134"/>
      <c r="H3" s="134"/>
      <c r="I3" s="134"/>
      <c r="J3" s="134"/>
      <c r="K3" s="135"/>
      <c r="L3" s="136"/>
      <c r="M3" s="137"/>
      <c r="N3" s="138">
        <v>48.178438661710047</v>
      </c>
    </row>
    <row r="4" spans="1:19" x14ac:dyDescent="0.25">
      <c r="A4" s="37" t="s">
        <v>41</v>
      </c>
      <c r="B4" s="121"/>
      <c r="C4" s="139"/>
      <c r="D4" s="140"/>
      <c r="E4" s="140"/>
      <c r="F4" s="141"/>
      <c r="G4" s="142"/>
      <c r="H4" s="125"/>
      <c r="I4" s="125"/>
      <c r="J4" s="125"/>
      <c r="K4" s="126"/>
      <c r="L4" s="127"/>
      <c r="M4" s="143"/>
      <c r="N4" s="129">
        <v>48</v>
      </c>
    </row>
    <row r="5" spans="1:19" x14ac:dyDescent="0.25">
      <c r="A5" s="38"/>
      <c r="B5" s="130"/>
      <c r="C5" s="131"/>
      <c r="D5" s="132"/>
      <c r="E5" s="132"/>
      <c r="F5" s="133"/>
      <c r="G5" s="134"/>
      <c r="H5" s="134"/>
      <c r="I5" s="134"/>
      <c r="J5" s="134"/>
      <c r="K5" s="135"/>
      <c r="L5" s="136"/>
      <c r="M5" s="137"/>
      <c r="N5" s="138">
        <v>46.888567293777136</v>
      </c>
    </row>
    <row r="6" spans="1:19" x14ac:dyDescent="0.25">
      <c r="B6" s="121"/>
      <c r="C6" s="139"/>
      <c r="D6" s="140"/>
      <c r="E6" s="140"/>
      <c r="F6" s="141"/>
      <c r="G6" s="142"/>
      <c r="H6" s="125"/>
      <c r="I6" s="125"/>
      <c r="J6" s="125"/>
      <c r="K6" s="126"/>
      <c r="L6" s="127"/>
      <c r="M6" s="143"/>
      <c r="N6" s="129">
        <v>46.854663774403463</v>
      </c>
      <c r="S6" t="s">
        <v>101</v>
      </c>
    </row>
    <row r="7" spans="1:19" x14ac:dyDescent="0.25">
      <c r="A7" s="120" t="s">
        <v>100</v>
      </c>
      <c r="B7" s="130"/>
      <c r="C7" s="131"/>
      <c r="D7" s="132"/>
      <c r="E7" s="132"/>
      <c r="F7" s="133"/>
      <c r="G7" s="134"/>
      <c r="H7" s="134"/>
      <c r="I7" s="134"/>
      <c r="J7" s="134"/>
      <c r="K7" s="135"/>
      <c r="L7" s="136"/>
      <c r="M7" s="137"/>
      <c r="N7" s="138">
        <v>46.7870036101083</v>
      </c>
      <c r="S7" s="145">
        <v>0.8</v>
      </c>
    </row>
    <row r="8" spans="1:19" x14ac:dyDescent="0.25">
      <c r="A8" s="119" t="s">
        <v>87</v>
      </c>
      <c r="B8" s="121"/>
      <c r="C8" s="139"/>
      <c r="D8" s="140"/>
      <c r="E8" s="140"/>
      <c r="F8" s="141"/>
      <c r="G8" s="142"/>
      <c r="H8" s="125"/>
      <c r="I8" s="125"/>
      <c r="J8" s="125"/>
      <c r="K8" s="126"/>
      <c r="L8" s="127"/>
      <c r="M8" s="143"/>
      <c r="N8" s="129">
        <v>46.252676659528902</v>
      </c>
    </row>
    <row r="9" spans="1:19" x14ac:dyDescent="0.25">
      <c r="B9" s="130"/>
      <c r="C9" s="131"/>
      <c r="D9" s="132"/>
      <c r="E9" s="132"/>
      <c r="F9" s="133"/>
      <c r="G9" s="134"/>
      <c r="H9" s="134"/>
      <c r="I9" s="134"/>
      <c r="J9" s="134"/>
      <c r="K9" s="135"/>
      <c r="L9" s="136"/>
      <c r="M9" s="137"/>
      <c r="N9" s="138">
        <v>46.055437100213219</v>
      </c>
    </row>
    <row r="10" spans="1:19" x14ac:dyDescent="0.25">
      <c r="B10" s="121"/>
      <c r="C10" s="139"/>
      <c r="D10" s="140"/>
      <c r="E10" s="140"/>
      <c r="F10" s="141"/>
      <c r="G10" s="142"/>
      <c r="H10" s="125"/>
      <c r="I10" s="125"/>
      <c r="J10" s="125"/>
      <c r="K10" s="126"/>
      <c r="L10" s="127"/>
      <c r="M10" s="143"/>
      <c r="N10" s="129">
        <v>45.859872611464965</v>
      </c>
    </row>
    <row r="11" spans="1:19" x14ac:dyDescent="0.25">
      <c r="B11" s="130"/>
      <c r="C11" s="131"/>
      <c r="D11" s="132"/>
      <c r="E11" s="132"/>
      <c r="F11" s="133"/>
      <c r="G11" s="134"/>
      <c r="H11" s="134"/>
      <c r="I11" s="134"/>
      <c r="J11" s="134"/>
      <c r="K11" s="135"/>
      <c r="L11" s="136"/>
      <c r="M11" s="137"/>
      <c r="N11" s="138">
        <v>45.827439886845831</v>
      </c>
    </row>
    <row r="12" spans="1:19" x14ac:dyDescent="0.25">
      <c r="B12" s="121"/>
      <c r="C12" s="139"/>
      <c r="D12" s="140"/>
      <c r="E12" s="140"/>
      <c r="F12" s="141"/>
      <c r="G12" s="142"/>
      <c r="H12" s="125"/>
      <c r="I12" s="125"/>
      <c r="J12" s="125"/>
      <c r="K12" s="126"/>
      <c r="L12" s="127"/>
      <c r="M12" s="143"/>
      <c r="N12" s="129">
        <v>45.60168895144264</v>
      </c>
    </row>
    <row r="13" spans="1:19" x14ac:dyDescent="0.25">
      <c r="B13" s="130"/>
      <c r="C13" s="131"/>
      <c r="D13" s="132"/>
      <c r="E13" s="132"/>
      <c r="F13" s="133"/>
      <c r="G13" s="134"/>
      <c r="H13" s="134"/>
      <c r="I13" s="134"/>
      <c r="J13" s="134"/>
      <c r="K13" s="135"/>
      <c r="L13" s="136"/>
      <c r="M13" s="137"/>
      <c r="N13" s="138">
        <v>45.569620253164558</v>
      </c>
    </row>
    <row r="14" spans="1:19" x14ac:dyDescent="0.25">
      <c r="B14" s="121"/>
      <c r="C14" s="139"/>
      <c r="D14" s="140"/>
      <c r="E14" s="140"/>
      <c r="F14" s="141"/>
      <c r="G14" s="142"/>
      <c r="H14" s="125"/>
      <c r="I14" s="125"/>
      <c r="J14" s="125"/>
      <c r="K14" s="126"/>
      <c r="L14" s="127"/>
      <c r="M14" s="143"/>
      <c r="N14" s="129">
        <v>45.505617977528082</v>
      </c>
    </row>
    <row r="15" spans="1:19" x14ac:dyDescent="0.25">
      <c r="B15" s="130"/>
      <c r="C15" s="131"/>
      <c r="D15" s="132"/>
      <c r="E15" s="132"/>
      <c r="F15" s="133"/>
      <c r="G15" s="134"/>
      <c r="H15" s="134"/>
      <c r="I15" s="134"/>
      <c r="J15" s="134"/>
      <c r="K15" s="135"/>
      <c r="L15" s="136"/>
      <c r="M15" s="137"/>
      <c r="N15" s="138">
        <v>45.314685314685313</v>
      </c>
    </row>
    <row r="16" spans="1:19" x14ac:dyDescent="0.25">
      <c r="B16" s="121"/>
      <c r="C16" s="139"/>
      <c r="D16" s="140"/>
      <c r="E16" s="140"/>
      <c r="F16" s="141"/>
      <c r="G16" s="142"/>
      <c r="H16" s="125"/>
      <c r="I16" s="125"/>
      <c r="J16" s="125"/>
      <c r="K16" s="126"/>
      <c r="L16" s="127"/>
      <c r="M16" s="143"/>
      <c r="N16" s="129">
        <v>45.062586926286507</v>
      </c>
    </row>
    <row r="17" spans="2:14" x14ac:dyDescent="0.25">
      <c r="B17" s="130"/>
      <c r="C17" s="131"/>
      <c r="D17" s="132"/>
      <c r="E17" s="132"/>
      <c r="F17" s="133"/>
      <c r="G17" s="134"/>
      <c r="H17" s="134"/>
      <c r="I17" s="134"/>
      <c r="J17" s="134"/>
      <c r="K17" s="135"/>
      <c r="L17" s="136"/>
      <c r="M17" s="137"/>
      <c r="N17" s="138">
        <v>44.844290657439444</v>
      </c>
    </row>
    <row r="18" spans="2:14" x14ac:dyDescent="0.25">
      <c r="B18" s="121"/>
      <c r="C18" s="139"/>
      <c r="D18" s="140"/>
      <c r="E18" s="140"/>
      <c r="F18" s="141"/>
      <c r="G18" s="142"/>
      <c r="H18" s="125"/>
      <c r="I18" s="125"/>
      <c r="J18" s="125"/>
      <c r="K18" s="126"/>
      <c r="L18" s="127"/>
      <c r="M18" s="143"/>
      <c r="N18" s="129">
        <v>44.689655172413794</v>
      </c>
    </row>
    <row r="19" spans="2:14" x14ac:dyDescent="0.25">
      <c r="B19" s="130"/>
      <c r="C19" s="131"/>
      <c r="D19" s="132"/>
      <c r="E19" s="132"/>
      <c r="F19" s="133"/>
      <c r="G19" s="134"/>
      <c r="H19" s="134"/>
      <c r="I19" s="134"/>
      <c r="J19" s="134"/>
      <c r="K19" s="135"/>
      <c r="L19" s="136"/>
      <c r="M19" s="137"/>
      <c r="N19" s="138">
        <v>44.474948524365132</v>
      </c>
    </row>
    <row r="20" spans="2:14" x14ac:dyDescent="0.25">
      <c r="B20" s="121"/>
      <c r="C20" s="139"/>
      <c r="D20" s="140"/>
      <c r="E20" s="140"/>
      <c r="F20" s="141"/>
      <c r="G20" s="142"/>
      <c r="H20" s="125"/>
      <c r="I20" s="125"/>
      <c r="J20" s="125"/>
      <c r="K20" s="126"/>
      <c r="L20" s="127"/>
      <c r="M20" s="143"/>
      <c r="N20" s="129">
        <v>44.383561643835613</v>
      </c>
    </row>
    <row r="21" spans="2:14" x14ac:dyDescent="0.25">
      <c r="B21" s="130"/>
      <c r="C21" s="131"/>
      <c r="D21" s="132"/>
      <c r="E21" s="132"/>
      <c r="F21" s="133"/>
      <c r="G21" s="134"/>
      <c r="H21" s="134"/>
      <c r="I21" s="134"/>
      <c r="J21" s="134"/>
      <c r="K21" s="135"/>
      <c r="L21" s="136"/>
      <c r="M21" s="137"/>
      <c r="N21" s="138">
        <v>44.322845417236657</v>
      </c>
    </row>
    <row r="22" spans="2:14" x14ac:dyDescent="0.25">
      <c r="B22" s="121"/>
      <c r="C22" s="139"/>
      <c r="D22" s="140"/>
      <c r="E22" s="140"/>
      <c r="F22" s="141"/>
      <c r="G22" s="142"/>
      <c r="H22" s="125"/>
      <c r="I22" s="125"/>
      <c r="J22" s="125"/>
      <c r="K22" s="126"/>
      <c r="L22" s="127"/>
      <c r="M22" s="143"/>
      <c r="N22" s="129">
        <v>44.201909959072303</v>
      </c>
    </row>
    <row r="23" spans="2:14" x14ac:dyDescent="0.25">
      <c r="B23" s="130"/>
      <c r="C23" s="131"/>
      <c r="D23" s="132"/>
      <c r="E23" s="132"/>
      <c r="F23" s="133"/>
      <c r="G23" s="134"/>
      <c r="H23" s="134"/>
      <c r="I23" s="134"/>
      <c r="J23" s="134"/>
      <c r="K23" s="135"/>
      <c r="L23" s="136"/>
      <c r="M23" s="137"/>
      <c r="N23" s="138">
        <v>44.08163265306122</v>
      </c>
    </row>
    <row r="24" spans="2:14" x14ac:dyDescent="0.25">
      <c r="B24" s="121"/>
      <c r="C24" s="139"/>
      <c r="D24" s="140"/>
      <c r="E24" s="140"/>
      <c r="F24" s="141"/>
      <c r="G24" s="142"/>
      <c r="H24" s="125"/>
      <c r="I24" s="125"/>
      <c r="J24" s="125"/>
      <c r="K24" s="126"/>
      <c r="L24" s="127"/>
      <c r="M24" s="143"/>
      <c r="N24" s="129">
        <v>43.962008141112619</v>
      </c>
    </row>
    <row r="25" spans="2:14" x14ac:dyDescent="0.25">
      <c r="B25" s="130"/>
      <c r="C25" s="131"/>
      <c r="D25" s="132"/>
      <c r="E25" s="132"/>
      <c r="F25" s="133"/>
      <c r="G25" s="134"/>
      <c r="H25" s="134"/>
      <c r="I25" s="134"/>
      <c r="J25" s="134"/>
      <c r="K25" s="135"/>
      <c r="L25" s="136"/>
      <c r="M25" s="137"/>
      <c r="N25" s="138">
        <v>43.90243902439024</v>
      </c>
    </row>
    <row r="26" spans="2:14" x14ac:dyDescent="0.25">
      <c r="B26" s="121"/>
      <c r="C26" s="139"/>
      <c r="D26" s="140"/>
      <c r="E26" s="140"/>
      <c r="F26" s="141"/>
      <c r="G26" s="142"/>
      <c r="H26" s="125"/>
      <c r="I26" s="125"/>
      <c r="J26" s="125"/>
      <c r="K26" s="126"/>
      <c r="L26" s="127"/>
      <c r="M26" s="143"/>
      <c r="N26" s="129">
        <v>43.813387423935083</v>
      </c>
    </row>
    <row r="27" spans="2:14" x14ac:dyDescent="0.25">
      <c r="B27" s="130"/>
      <c r="C27" s="131"/>
      <c r="D27" s="132"/>
      <c r="E27" s="132"/>
      <c r="F27" s="133"/>
      <c r="G27" s="134"/>
      <c r="H27" s="134"/>
      <c r="I27" s="134"/>
      <c r="J27" s="134"/>
      <c r="K27" s="135"/>
      <c r="L27" s="136"/>
      <c r="M27" s="137"/>
      <c r="N27" s="138">
        <v>43.606998654104977</v>
      </c>
    </row>
    <row r="28" spans="2:14" x14ac:dyDescent="0.25">
      <c r="B28" s="121"/>
      <c r="C28" s="139"/>
      <c r="D28" s="140"/>
      <c r="E28" s="140"/>
      <c r="F28" s="141"/>
      <c r="G28" s="142"/>
      <c r="H28" s="125"/>
      <c r="I28" s="125"/>
      <c r="J28" s="125"/>
      <c r="K28" s="126"/>
      <c r="L28" s="127"/>
      <c r="M28" s="143"/>
      <c r="N28" s="129">
        <v>43.373493975903614</v>
      </c>
    </row>
    <row r="29" spans="2:14" x14ac:dyDescent="0.25">
      <c r="B29" s="130"/>
      <c r="C29" s="131"/>
      <c r="D29" s="132"/>
      <c r="E29" s="132"/>
      <c r="F29" s="133"/>
      <c r="G29" s="134"/>
      <c r="H29" s="134"/>
      <c r="I29" s="134"/>
      <c r="J29" s="134"/>
      <c r="K29" s="135"/>
      <c r="L29" s="136"/>
      <c r="M29" s="137"/>
      <c r="N29" s="138">
        <v>43.315508021390372</v>
      </c>
    </row>
    <row r="30" spans="2:14" x14ac:dyDescent="0.25">
      <c r="B30" s="121"/>
      <c r="C30" s="139"/>
      <c r="D30" s="140"/>
      <c r="E30" s="140"/>
      <c r="F30" s="141"/>
      <c r="G30" s="142"/>
      <c r="H30" s="125"/>
      <c r="I30" s="125"/>
      <c r="J30" s="125"/>
      <c r="K30" s="126"/>
      <c r="L30" s="127"/>
      <c r="M30" s="143"/>
      <c r="N30" s="129">
        <v>43.286573146292582</v>
      </c>
    </row>
    <row r="31" spans="2:14" x14ac:dyDescent="0.25">
      <c r="B31" s="130"/>
      <c r="C31" s="131"/>
      <c r="D31" s="132"/>
      <c r="E31" s="132"/>
      <c r="F31" s="133"/>
      <c r="G31" s="134"/>
      <c r="H31" s="134"/>
      <c r="I31" s="134"/>
      <c r="J31" s="134"/>
      <c r="K31" s="135"/>
      <c r="L31" s="136"/>
      <c r="M31" s="137"/>
      <c r="N31" s="138">
        <v>43.199999999999996</v>
      </c>
    </row>
    <row r="32" spans="2:14" x14ac:dyDescent="0.25">
      <c r="B32" s="121"/>
      <c r="C32" s="139"/>
      <c r="D32" s="140"/>
      <c r="E32" s="140"/>
      <c r="F32" s="141"/>
      <c r="G32" s="142"/>
      <c r="H32" s="125"/>
      <c r="I32" s="125"/>
      <c r="J32" s="125"/>
      <c r="K32" s="126"/>
      <c r="L32" s="127"/>
      <c r="M32" s="143"/>
      <c r="N32" s="129">
        <v>43.085106382978722</v>
      </c>
    </row>
    <row r="33" spans="2:14" x14ac:dyDescent="0.25">
      <c r="B33" s="130"/>
      <c r="C33" s="131"/>
      <c r="D33" s="132"/>
      <c r="E33" s="132"/>
      <c r="F33" s="133"/>
      <c r="G33" s="134"/>
      <c r="H33" s="134"/>
      <c r="I33" s="134"/>
      <c r="J33" s="134"/>
      <c r="K33" s="135"/>
      <c r="L33" s="136"/>
      <c r="M33" s="137"/>
      <c r="N33" s="138">
        <v>43.085106382978722</v>
      </c>
    </row>
    <row r="34" spans="2:14" x14ac:dyDescent="0.25">
      <c r="B34" s="121"/>
      <c r="C34" s="139"/>
      <c r="D34" s="140"/>
      <c r="E34" s="140"/>
      <c r="F34" s="141"/>
      <c r="G34" s="142"/>
      <c r="H34" s="125"/>
      <c r="I34" s="125"/>
      <c r="J34" s="125"/>
      <c r="K34" s="126"/>
      <c r="L34" s="127"/>
      <c r="M34" s="143"/>
      <c r="N34" s="129">
        <v>43.056478405315616</v>
      </c>
    </row>
    <row r="35" spans="2:14" x14ac:dyDescent="0.25">
      <c r="B35" s="130"/>
      <c r="C35" s="131"/>
      <c r="D35" s="132"/>
      <c r="E35" s="132"/>
      <c r="F35" s="133"/>
      <c r="G35" s="134"/>
      <c r="H35" s="134"/>
      <c r="I35" s="134"/>
      <c r="J35" s="134"/>
      <c r="K35" s="135"/>
      <c r="L35" s="136"/>
      <c r="M35" s="137"/>
      <c r="N35" s="138">
        <v>42.74406332453826</v>
      </c>
    </row>
    <row r="36" spans="2:14" x14ac:dyDescent="0.25">
      <c r="B36" s="121"/>
      <c r="C36" s="139"/>
      <c r="D36" s="140"/>
      <c r="E36" s="140"/>
      <c r="F36" s="141"/>
      <c r="G36" s="142"/>
      <c r="H36" s="125"/>
      <c r="I36" s="125"/>
      <c r="J36" s="125"/>
      <c r="K36" s="126"/>
      <c r="L36" s="127"/>
      <c r="M36" s="143"/>
      <c r="N36" s="129">
        <v>42.547603414313855</v>
      </c>
    </row>
    <row r="37" spans="2:14" x14ac:dyDescent="0.25">
      <c r="B37" s="130"/>
      <c r="C37" s="131"/>
      <c r="D37" s="132"/>
      <c r="E37" s="132"/>
      <c r="F37" s="133"/>
      <c r="G37" s="134"/>
      <c r="H37" s="134"/>
      <c r="I37" s="134"/>
      <c r="J37" s="134"/>
      <c r="K37" s="135"/>
      <c r="L37" s="136"/>
      <c r="M37" s="137"/>
      <c r="N37" s="138">
        <v>42.408376963350783</v>
      </c>
    </row>
    <row r="38" spans="2:14" x14ac:dyDescent="0.25">
      <c r="B38" s="121"/>
      <c r="C38" s="139"/>
      <c r="D38" s="140"/>
      <c r="E38" s="140"/>
      <c r="F38" s="141"/>
      <c r="G38" s="142"/>
      <c r="H38" s="125"/>
      <c r="I38" s="125"/>
      <c r="J38" s="125"/>
      <c r="K38" s="126"/>
      <c r="L38" s="127"/>
      <c r="M38" s="143"/>
      <c r="N38" s="129">
        <v>42.352941176470587</v>
      </c>
    </row>
    <row r="39" spans="2:14" x14ac:dyDescent="0.25">
      <c r="B39" s="130"/>
      <c r="C39" s="131"/>
      <c r="D39" s="132"/>
      <c r="E39" s="132"/>
      <c r="F39" s="133"/>
      <c r="G39" s="134"/>
      <c r="H39" s="134"/>
      <c r="I39" s="134"/>
      <c r="J39" s="134"/>
      <c r="K39" s="135"/>
      <c r="L39" s="136"/>
      <c r="M39" s="137"/>
      <c r="N39" s="138">
        <v>42.325277596342254</v>
      </c>
    </row>
    <row r="40" spans="2:14" x14ac:dyDescent="0.25">
      <c r="B40" s="121"/>
      <c r="C40" s="139"/>
      <c r="D40" s="140"/>
      <c r="E40" s="140"/>
      <c r="F40" s="141"/>
      <c r="G40" s="142"/>
      <c r="H40" s="125"/>
      <c r="I40" s="125"/>
      <c r="J40" s="125"/>
      <c r="K40" s="126"/>
      <c r="L40" s="127"/>
      <c r="M40" s="143"/>
      <c r="N40" s="129">
        <v>42.325277596342254</v>
      </c>
    </row>
    <row r="41" spans="2:14" x14ac:dyDescent="0.25">
      <c r="B41" s="130"/>
      <c r="C41" s="131"/>
      <c r="D41" s="132"/>
      <c r="E41" s="132"/>
      <c r="F41" s="133"/>
      <c r="G41" s="134"/>
      <c r="H41" s="134"/>
      <c r="I41" s="134"/>
      <c r="J41" s="134"/>
      <c r="K41" s="135"/>
      <c r="L41" s="136"/>
      <c r="M41" s="137"/>
      <c r="N41" s="138">
        <v>42.297650130548298</v>
      </c>
    </row>
    <row r="42" spans="2:14" x14ac:dyDescent="0.25">
      <c r="B42" s="121"/>
      <c r="C42" s="139"/>
      <c r="D42" s="140"/>
      <c r="E42" s="140"/>
      <c r="F42" s="141"/>
      <c r="G42" s="142"/>
      <c r="H42" s="125"/>
      <c r="I42" s="125"/>
      <c r="J42" s="125"/>
      <c r="K42" s="126"/>
      <c r="L42" s="127"/>
      <c r="M42" s="143"/>
      <c r="N42" s="129">
        <v>42.270058708414872</v>
      </c>
    </row>
    <row r="43" spans="2:14" x14ac:dyDescent="0.25">
      <c r="B43" s="130"/>
      <c r="C43" s="131"/>
      <c r="D43" s="132"/>
      <c r="E43" s="132"/>
      <c r="F43" s="133"/>
      <c r="G43" s="134"/>
      <c r="H43" s="134"/>
      <c r="I43" s="134"/>
      <c r="J43" s="134"/>
      <c r="K43" s="135"/>
      <c r="L43" s="136"/>
      <c r="M43" s="137"/>
      <c r="N43" s="138">
        <v>42.270058708414872</v>
      </c>
    </row>
    <row r="44" spans="2:14" x14ac:dyDescent="0.25">
      <c r="B44" s="121"/>
      <c r="C44" s="139"/>
      <c r="D44" s="140"/>
      <c r="E44" s="140"/>
      <c r="F44" s="141"/>
      <c r="G44" s="142"/>
      <c r="H44" s="125"/>
      <c r="I44" s="125"/>
      <c r="J44" s="125"/>
      <c r="K44" s="126"/>
      <c r="L44" s="127"/>
      <c r="M44" s="143"/>
      <c r="N44" s="129">
        <v>42.132639791937578</v>
      </c>
    </row>
    <row r="45" spans="2:14" x14ac:dyDescent="0.25">
      <c r="B45" s="130"/>
      <c r="C45" s="131"/>
      <c r="D45" s="132"/>
      <c r="E45" s="132"/>
      <c r="F45" s="133"/>
      <c r="G45" s="134"/>
      <c r="H45" s="134"/>
      <c r="I45" s="134"/>
      <c r="J45" s="134"/>
      <c r="K45" s="135"/>
      <c r="L45" s="136"/>
      <c r="M45" s="137"/>
      <c r="N45" s="138">
        <v>42.132639791937578</v>
      </c>
    </row>
    <row r="46" spans="2:14" x14ac:dyDescent="0.25">
      <c r="B46" s="121"/>
      <c r="C46" s="139"/>
      <c r="D46" s="140"/>
      <c r="E46" s="140"/>
      <c r="F46" s="141"/>
      <c r="G46" s="142"/>
      <c r="H46" s="125"/>
      <c r="I46" s="125"/>
      <c r="J46" s="125"/>
      <c r="K46" s="126"/>
      <c r="L46" s="127"/>
      <c r="M46" s="143"/>
      <c r="N46" s="129">
        <v>42.077922077922075</v>
      </c>
    </row>
    <row r="47" spans="2:14" x14ac:dyDescent="0.25">
      <c r="B47" s="130"/>
      <c r="C47" s="131"/>
      <c r="D47" s="132"/>
      <c r="E47" s="132"/>
      <c r="F47" s="133"/>
      <c r="G47" s="134"/>
      <c r="H47" s="134"/>
      <c r="I47" s="134"/>
      <c r="J47" s="134"/>
      <c r="K47" s="135"/>
      <c r="L47" s="136"/>
      <c r="M47" s="137"/>
      <c r="N47" s="138">
        <v>42.023346303501945</v>
      </c>
    </row>
    <row r="48" spans="2:14" x14ac:dyDescent="0.25">
      <c r="B48" s="121"/>
      <c r="C48" s="139"/>
      <c r="D48" s="140"/>
      <c r="E48" s="140"/>
      <c r="F48" s="141"/>
      <c r="G48" s="142"/>
      <c r="H48" s="125"/>
      <c r="I48" s="125"/>
      <c r="J48" s="125"/>
      <c r="K48" s="126"/>
      <c r="L48" s="127"/>
      <c r="M48" s="143"/>
      <c r="N48" s="129">
        <v>42.023346303501945</v>
      </c>
    </row>
    <row r="49" spans="2:14" x14ac:dyDescent="0.25">
      <c r="B49" s="130"/>
      <c r="C49" s="131"/>
      <c r="D49" s="132"/>
      <c r="E49" s="132"/>
      <c r="F49" s="133"/>
      <c r="G49" s="134"/>
      <c r="H49" s="134"/>
      <c r="I49" s="134"/>
      <c r="J49" s="134"/>
      <c r="K49" s="135"/>
      <c r="L49" s="136"/>
      <c r="M49" s="137"/>
      <c r="N49" s="138">
        <v>41.94174757281553</v>
      </c>
    </row>
    <row r="50" spans="2:14" x14ac:dyDescent="0.25">
      <c r="B50" s="121"/>
      <c r="C50" s="139"/>
      <c r="D50" s="140"/>
      <c r="E50" s="140"/>
      <c r="F50" s="141"/>
      <c r="G50" s="142"/>
      <c r="H50" s="125"/>
      <c r="I50" s="125"/>
      <c r="J50" s="125"/>
      <c r="K50" s="126"/>
      <c r="L50" s="127"/>
      <c r="M50" s="143"/>
      <c r="N50" s="129">
        <v>41.887524240465417</v>
      </c>
    </row>
    <row r="51" spans="2:14" x14ac:dyDescent="0.25">
      <c r="B51" s="130"/>
      <c r="C51" s="131"/>
      <c r="D51" s="132"/>
      <c r="E51" s="132"/>
      <c r="F51" s="133"/>
      <c r="G51" s="134"/>
      <c r="H51" s="134"/>
      <c r="I51" s="134"/>
      <c r="J51" s="134"/>
      <c r="K51" s="135"/>
      <c r="L51" s="136"/>
      <c r="M51" s="137"/>
      <c r="N51" s="138">
        <v>41.75257731958763</v>
      </c>
    </row>
    <row r="52" spans="2:14" x14ac:dyDescent="0.25">
      <c r="B52" s="121"/>
      <c r="C52" s="139"/>
      <c r="D52" s="140"/>
      <c r="E52" s="140"/>
      <c r="F52" s="141"/>
      <c r="G52" s="142"/>
      <c r="H52" s="125"/>
      <c r="I52" s="125"/>
      <c r="J52" s="125"/>
      <c r="K52" s="126"/>
      <c r="L52" s="127"/>
      <c r="M52" s="143"/>
      <c r="N52" s="129">
        <v>41.591784338896019</v>
      </c>
    </row>
    <row r="53" spans="2:14" x14ac:dyDescent="0.25">
      <c r="B53" s="130"/>
      <c r="C53" s="131"/>
      <c r="D53" s="132"/>
      <c r="E53" s="132"/>
      <c r="F53" s="133"/>
      <c r="G53" s="134"/>
      <c r="H53" s="134"/>
      <c r="I53" s="134"/>
      <c r="J53" s="134"/>
      <c r="K53" s="135"/>
      <c r="L53" s="136"/>
      <c r="M53" s="137"/>
      <c r="N53" s="138">
        <v>41.432225063938617</v>
      </c>
    </row>
    <row r="54" spans="2:14" x14ac:dyDescent="0.25">
      <c r="B54" s="121"/>
      <c r="C54" s="139"/>
      <c r="D54" s="140"/>
      <c r="E54" s="140"/>
      <c r="F54" s="141"/>
      <c r="G54" s="142"/>
      <c r="H54" s="125"/>
      <c r="I54" s="125"/>
      <c r="J54" s="125"/>
      <c r="K54" s="126"/>
      <c r="L54" s="127"/>
      <c r="M54" s="143"/>
      <c r="N54" s="129">
        <v>41.405750798722046</v>
      </c>
    </row>
    <row r="55" spans="2:14" x14ac:dyDescent="0.25">
      <c r="B55" s="130"/>
      <c r="C55" s="131"/>
      <c r="D55" s="132"/>
      <c r="E55" s="132"/>
      <c r="F55" s="133"/>
      <c r="G55" s="134"/>
      <c r="H55" s="134"/>
      <c r="I55" s="134"/>
      <c r="J55" s="134"/>
      <c r="K55" s="135"/>
      <c r="L55" s="136"/>
      <c r="M55" s="137"/>
      <c r="N55" s="138">
        <v>41.35290363752393</v>
      </c>
    </row>
    <row r="56" spans="2:14" x14ac:dyDescent="0.25">
      <c r="B56" s="121"/>
      <c r="C56" s="139"/>
      <c r="D56" s="140"/>
      <c r="E56" s="140"/>
      <c r="F56" s="141"/>
      <c r="G56" s="142"/>
      <c r="H56" s="125"/>
      <c r="I56" s="125"/>
      <c r="J56" s="125"/>
      <c r="K56" s="126"/>
      <c r="L56" s="127"/>
      <c r="M56" s="143"/>
      <c r="N56" s="129">
        <v>41.247612985359645</v>
      </c>
    </row>
    <row r="57" spans="2:14" x14ac:dyDescent="0.25">
      <c r="B57" s="130"/>
      <c r="C57" s="131"/>
      <c r="D57" s="132"/>
      <c r="E57" s="132"/>
      <c r="F57" s="133"/>
      <c r="G57" s="134"/>
      <c r="H57" s="134"/>
      <c r="I57" s="134"/>
      <c r="J57" s="134"/>
      <c r="K57" s="135"/>
      <c r="L57" s="136"/>
      <c r="M57" s="137"/>
      <c r="N57" s="138">
        <v>41.221374045801525</v>
      </c>
    </row>
    <row r="58" spans="2:14" x14ac:dyDescent="0.25">
      <c r="B58" s="121"/>
      <c r="C58" s="139"/>
      <c r="D58" s="140"/>
      <c r="E58" s="140"/>
      <c r="F58" s="141"/>
      <c r="G58" s="142"/>
      <c r="H58" s="125"/>
      <c r="I58" s="125"/>
      <c r="J58" s="125"/>
      <c r="K58" s="126"/>
      <c r="L58" s="127"/>
      <c r="M58" s="143"/>
      <c r="N58" s="129">
        <v>41.116751269035532</v>
      </c>
    </row>
    <row r="59" spans="2:14" x14ac:dyDescent="0.25">
      <c r="B59" s="130"/>
      <c r="C59" s="131"/>
      <c r="D59" s="132"/>
      <c r="E59" s="132"/>
      <c r="F59" s="133"/>
      <c r="G59" s="134"/>
      <c r="H59" s="134"/>
      <c r="I59" s="134"/>
      <c r="J59" s="134"/>
      <c r="K59" s="135"/>
      <c r="L59" s="136"/>
      <c r="M59" s="137"/>
      <c r="N59" s="138">
        <v>41.038632045598476</v>
      </c>
    </row>
    <row r="60" spans="2:14" x14ac:dyDescent="0.25">
      <c r="B60" s="121"/>
      <c r="C60" s="139"/>
      <c r="D60" s="140"/>
      <c r="E60" s="140"/>
      <c r="F60" s="141"/>
      <c r="G60" s="142"/>
      <c r="H60" s="125"/>
      <c r="I60" s="125"/>
      <c r="J60" s="125"/>
      <c r="K60" s="126"/>
      <c r="L60" s="127"/>
      <c r="M60" s="143"/>
      <c r="N60" s="129">
        <v>40.883280757097793</v>
      </c>
    </row>
    <row r="61" spans="2:14" x14ac:dyDescent="0.25">
      <c r="B61" s="130"/>
      <c r="C61" s="131"/>
      <c r="D61" s="132"/>
      <c r="E61" s="132"/>
      <c r="F61" s="133"/>
      <c r="G61" s="134"/>
      <c r="H61" s="134"/>
      <c r="I61" s="134"/>
      <c r="J61" s="134"/>
      <c r="K61" s="135"/>
      <c r="L61" s="136"/>
      <c r="M61" s="137"/>
      <c r="N61" s="138">
        <v>40.831758034026464</v>
      </c>
    </row>
    <row r="62" spans="2:14" x14ac:dyDescent="0.25">
      <c r="B62" s="121"/>
      <c r="C62" s="139"/>
      <c r="D62" s="140"/>
      <c r="E62" s="140"/>
      <c r="F62" s="141"/>
      <c r="G62" s="142"/>
      <c r="H62" s="125"/>
      <c r="I62" s="125"/>
      <c r="J62" s="125"/>
      <c r="K62" s="126"/>
      <c r="L62" s="127"/>
      <c r="M62" s="143"/>
      <c r="N62" s="129">
        <v>40.806045340050375</v>
      </c>
    </row>
    <row r="63" spans="2:14" x14ac:dyDescent="0.25">
      <c r="B63" s="130"/>
      <c r="C63" s="131"/>
      <c r="D63" s="132"/>
      <c r="E63" s="132"/>
      <c r="F63" s="133"/>
      <c r="G63" s="134"/>
      <c r="H63" s="134"/>
      <c r="I63" s="134"/>
      <c r="J63" s="134"/>
      <c r="K63" s="135"/>
      <c r="L63" s="136"/>
      <c r="M63" s="137"/>
      <c r="N63" s="138">
        <v>40.75471698113207</v>
      </c>
    </row>
    <row r="64" spans="2:14" x14ac:dyDescent="0.25">
      <c r="B64" s="121"/>
      <c r="C64" s="139"/>
      <c r="D64" s="140"/>
      <c r="E64" s="140"/>
      <c r="F64" s="141"/>
      <c r="G64" s="142"/>
      <c r="H64" s="125"/>
      <c r="I64" s="125"/>
      <c r="J64" s="125"/>
      <c r="K64" s="126"/>
      <c r="L64" s="127"/>
      <c r="M64" s="143"/>
      <c r="N64" s="129">
        <v>40.7035175879397</v>
      </c>
    </row>
    <row r="65" spans="2:14" x14ac:dyDescent="0.25">
      <c r="B65" s="130"/>
      <c r="C65" s="131"/>
      <c r="D65" s="132"/>
      <c r="E65" s="132"/>
      <c r="F65" s="133"/>
      <c r="G65" s="134"/>
      <c r="H65" s="134"/>
      <c r="I65" s="134"/>
      <c r="J65" s="134"/>
      <c r="K65" s="135"/>
      <c r="L65" s="136"/>
      <c r="M65" s="137"/>
      <c r="N65" s="138">
        <v>40.626959247648898</v>
      </c>
    </row>
    <row r="66" spans="2:14" x14ac:dyDescent="0.25">
      <c r="B66" s="121"/>
      <c r="C66" s="139"/>
      <c r="D66" s="140"/>
      <c r="E66" s="140"/>
      <c r="F66" s="141"/>
      <c r="G66" s="142"/>
      <c r="H66" s="125"/>
      <c r="I66" s="125"/>
      <c r="J66" s="125"/>
      <c r="K66" s="126"/>
      <c r="L66" s="127"/>
      <c r="M66" s="143"/>
      <c r="N66" s="129">
        <v>40.601503759398497</v>
      </c>
    </row>
    <row r="67" spans="2:14" x14ac:dyDescent="0.25">
      <c r="B67" s="130"/>
      <c r="C67" s="131"/>
      <c r="D67" s="132"/>
      <c r="E67" s="132"/>
      <c r="F67" s="133"/>
      <c r="G67" s="134"/>
      <c r="H67" s="134"/>
      <c r="I67" s="134"/>
      <c r="J67" s="134"/>
      <c r="K67" s="135"/>
      <c r="L67" s="136"/>
      <c r="M67" s="137"/>
      <c r="N67" s="138">
        <v>40.576080150281776</v>
      </c>
    </row>
    <row r="68" spans="2:14" x14ac:dyDescent="0.25">
      <c r="B68" s="121"/>
      <c r="C68" s="139"/>
      <c r="D68" s="140"/>
      <c r="E68" s="140"/>
      <c r="F68" s="141"/>
      <c r="G68" s="142"/>
      <c r="H68" s="125"/>
      <c r="I68" s="125"/>
      <c r="J68" s="125"/>
      <c r="K68" s="126"/>
      <c r="L68" s="127"/>
      <c r="M68" s="143"/>
      <c r="N68" s="129">
        <v>40.550688360450565</v>
      </c>
    </row>
    <row r="69" spans="2:14" x14ac:dyDescent="0.25">
      <c r="B69" s="130"/>
      <c r="C69" s="131"/>
      <c r="D69" s="132"/>
      <c r="E69" s="132"/>
      <c r="F69" s="133"/>
      <c r="G69" s="134"/>
      <c r="H69" s="134"/>
      <c r="I69" s="134"/>
      <c r="J69" s="134"/>
      <c r="K69" s="135"/>
      <c r="L69" s="136"/>
      <c r="M69" s="137"/>
      <c r="N69" s="138">
        <v>40.550688360450565</v>
      </c>
    </row>
    <row r="70" spans="2:14" x14ac:dyDescent="0.25">
      <c r="B70" s="121"/>
      <c r="C70" s="139"/>
      <c r="D70" s="140"/>
      <c r="E70" s="140"/>
      <c r="F70" s="141"/>
      <c r="G70" s="142"/>
      <c r="H70" s="125"/>
      <c r="I70" s="125"/>
      <c r="J70" s="125"/>
      <c r="K70" s="126"/>
      <c r="L70" s="127"/>
      <c r="M70" s="143"/>
      <c r="N70" s="129">
        <v>40.5</v>
      </c>
    </row>
    <row r="71" spans="2:14" x14ac:dyDescent="0.25">
      <c r="B71" s="130"/>
      <c r="C71" s="131"/>
      <c r="D71" s="132"/>
      <c r="E71" s="132"/>
      <c r="F71" s="133"/>
      <c r="G71" s="134"/>
      <c r="H71" s="134"/>
      <c r="I71" s="134"/>
      <c r="J71" s="134"/>
      <c r="K71" s="135"/>
      <c r="L71" s="136"/>
      <c r="M71" s="137"/>
      <c r="N71" s="138">
        <v>40.449438202247194</v>
      </c>
    </row>
    <row r="72" spans="2:14" x14ac:dyDescent="0.25">
      <c r="B72" s="121"/>
      <c r="C72" s="139"/>
      <c r="D72" s="140"/>
      <c r="E72" s="140"/>
      <c r="F72" s="141"/>
      <c r="G72" s="142"/>
      <c r="H72" s="125"/>
      <c r="I72" s="125"/>
      <c r="J72" s="125"/>
      <c r="K72" s="126"/>
      <c r="L72" s="127"/>
      <c r="M72" s="143"/>
      <c r="N72" s="129">
        <v>40.424204616344355</v>
      </c>
    </row>
    <row r="73" spans="2:14" x14ac:dyDescent="0.25">
      <c r="B73" s="130"/>
      <c r="C73" s="131"/>
      <c r="D73" s="132"/>
      <c r="E73" s="132"/>
      <c r="F73" s="133"/>
      <c r="G73" s="134"/>
      <c r="H73" s="134"/>
      <c r="I73" s="134"/>
      <c r="J73" s="134"/>
      <c r="K73" s="135"/>
      <c r="L73" s="136"/>
      <c r="M73" s="137"/>
      <c r="N73" s="138">
        <v>40.399002493765586</v>
      </c>
    </row>
    <row r="74" spans="2:14" x14ac:dyDescent="0.25">
      <c r="B74" s="121"/>
      <c r="C74" s="139"/>
      <c r="D74" s="140"/>
      <c r="E74" s="140"/>
      <c r="F74" s="141"/>
      <c r="G74" s="142"/>
      <c r="H74" s="125"/>
      <c r="I74" s="125"/>
      <c r="J74" s="125"/>
      <c r="K74" s="126"/>
      <c r="L74" s="127"/>
      <c r="M74" s="143"/>
      <c r="N74" s="129">
        <v>40.348692403486922</v>
      </c>
    </row>
    <row r="75" spans="2:14" x14ac:dyDescent="0.25">
      <c r="B75" s="130"/>
      <c r="C75" s="131"/>
      <c r="D75" s="132"/>
      <c r="E75" s="132"/>
      <c r="F75" s="133"/>
      <c r="G75" s="134"/>
      <c r="H75" s="134"/>
      <c r="I75" s="134"/>
      <c r="J75" s="134"/>
      <c r="K75" s="135"/>
      <c r="L75" s="136"/>
      <c r="M75" s="137"/>
      <c r="N75" s="138">
        <v>40.123839009287927</v>
      </c>
    </row>
    <row r="76" spans="2:14" x14ac:dyDescent="0.25">
      <c r="B76" s="121"/>
      <c r="C76" s="139"/>
      <c r="D76" s="140"/>
      <c r="E76" s="140"/>
      <c r="F76" s="141"/>
      <c r="G76" s="142"/>
      <c r="H76" s="125"/>
      <c r="I76" s="125"/>
      <c r="J76" s="125"/>
      <c r="K76" s="126"/>
      <c r="L76" s="127"/>
      <c r="M76" s="143"/>
      <c r="N76" s="129">
        <v>40.049443757725584</v>
      </c>
    </row>
    <row r="77" spans="2:14" x14ac:dyDescent="0.25">
      <c r="B77" s="130"/>
      <c r="C77" s="131"/>
      <c r="D77" s="132"/>
      <c r="E77" s="132"/>
      <c r="F77" s="133"/>
      <c r="G77" s="134"/>
      <c r="H77" s="134"/>
      <c r="I77" s="134"/>
      <c r="J77" s="134"/>
      <c r="K77" s="135"/>
      <c r="L77" s="136"/>
      <c r="M77" s="137"/>
      <c r="N77" s="138">
        <v>39.926062846580407</v>
      </c>
    </row>
    <row r="78" spans="2:14" x14ac:dyDescent="0.25">
      <c r="B78" s="121"/>
      <c r="C78" s="139"/>
      <c r="D78" s="140"/>
      <c r="E78" s="140"/>
      <c r="F78" s="141"/>
      <c r="G78" s="142"/>
      <c r="H78" s="125"/>
      <c r="I78" s="125"/>
      <c r="J78" s="125"/>
      <c r="K78" s="126"/>
      <c r="L78" s="127"/>
      <c r="M78" s="143"/>
      <c r="N78" s="129">
        <v>39.926062846580407</v>
      </c>
    </row>
    <row r="79" spans="2:14" x14ac:dyDescent="0.25">
      <c r="B79" s="130"/>
      <c r="C79" s="131"/>
      <c r="D79" s="132"/>
      <c r="E79" s="132"/>
      <c r="F79" s="133"/>
      <c r="G79" s="134"/>
      <c r="H79" s="134"/>
      <c r="I79" s="134"/>
      <c r="J79" s="134"/>
      <c r="K79" s="135"/>
      <c r="L79" s="136"/>
      <c r="M79" s="137"/>
      <c r="N79" s="138">
        <v>39.852398523985244</v>
      </c>
    </row>
    <row r="80" spans="2:14" x14ac:dyDescent="0.25">
      <c r="B80" s="121"/>
      <c r="C80" s="139"/>
      <c r="D80" s="140"/>
      <c r="E80" s="140"/>
      <c r="F80" s="141"/>
      <c r="G80" s="142"/>
      <c r="H80" s="125"/>
      <c r="I80" s="125"/>
      <c r="J80" s="125"/>
      <c r="K80" s="126"/>
      <c r="L80" s="127"/>
      <c r="M80" s="143"/>
      <c r="N80" s="129">
        <v>39.852398523985244</v>
      </c>
    </row>
    <row r="81" spans="2:14" x14ac:dyDescent="0.25">
      <c r="B81" s="130"/>
      <c r="C81" s="131"/>
      <c r="D81" s="132"/>
      <c r="E81" s="132"/>
      <c r="F81" s="133"/>
      <c r="G81" s="134"/>
      <c r="H81" s="134"/>
      <c r="I81" s="134"/>
      <c r="J81" s="134"/>
      <c r="K81" s="135"/>
      <c r="L81" s="136"/>
      <c r="M81" s="137"/>
      <c r="N81" s="138">
        <v>39.827904118008604</v>
      </c>
    </row>
    <row r="82" spans="2:14" x14ac:dyDescent="0.25">
      <c r="B82" s="121"/>
      <c r="C82" s="139"/>
      <c r="D82" s="140"/>
      <c r="E82" s="140"/>
      <c r="F82" s="141"/>
      <c r="G82" s="142"/>
      <c r="H82" s="125"/>
      <c r="I82" s="125"/>
      <c r="J82" s="125"/>
      <c r="K82" s="126"/>
      <c r="L82" s="127"/>
      <c r="M82" s="143"/>
      <c r="N82" s="129">
        <v>39.754601226993863</v>
      </c>
    </row>
    <row r="83" spans="2:14" x14ac:dyDescent="0.25">
      <c r="B83" s="130"/>
      <c r="C83" s="131"/>
      <c r="D83" s="132"/>
      <c r="E83" s="132"/>
      <c r="F83" s="133"/>
      <c r="G83" s="134"/>
      <c r="H83" s="134"/>
      <c r="I83" s="134"/>
      <c r="J83" s="134"/>
      <c r="K83" s="135"/>
      <c r="L83" s="136"/>
      <c r="M83" s="137"/>
      <c r="N83" s="138">
        <v>39.657282741738065</v>
      </c>
    </row>
    <row r="84" spans="2:14" x14ac:dyDescent="0.25">
      <c r="B84" s="121"/>
      <c r="C84" s="139"/>
      <c r="D84" s="140"/>
      <c r="E84" s="140"/>
      <c r="F84" s="141"/>
      <c r="G84" s="142"/>
      <c r="H84" s="125"/>
      <c r="I84" s="125"/>
      <c r="J84" s="125"/>
      <c r="K84" s="126"/>
      <c r="L84" s="127"/>
      <c r="M84" s="143"/>
      <c r="N84" s="129">
        <v>39.512195121951223</v>
      </c>
    </row>
    <row r="85" spans="2:14" x14ac:dyDescent="0.25">
      <c r="B85" s="130"/>
      <c r="C85" s="131"/>
      <c r="D85" s="132"/>
      <c r="E85" s="132"/>
      <c r="F85" s="133"/>
      <c r="G85" s="134"/>
      <c r="H85" s="134"/>
      <c r="I85" s="134"/>
      <c r="J85" s="134"/>
      <c r="K85" s="135"/>
      <c r="L85" s="136"/>
      <c r="M85" s="137"/>
      <c r="N85" s="138">
        <v>39.344262295081968</v>
      </c>
    </row>
    <row r="86" spans="2:14" x14ac:dyDescent="0.25">
      <c r="B86" s="121"/>
      <c r="C86" s="139"/>
      <c r="D86" s="140"/>
      <c r="E86" s="140"/>
      <c r="F86" s="141"/>
      <c r="G86" s="142"/>
      <c r="H86" s="125"/>
      <c r="I86" s="125"/>
      <c r="J86" s="125"/>
      <c r="K86" s="126"/>
      <c r="L86" s="127"/>
      <c r="M86" s="143"/>
      <c r="N86" s="129">
        <v>39.320388349514566</v>
      </c>
    </row>
    <row r="87" spans="2:14" x14ac:dyDescent="0.25">
      <c r="B87" s="130"/>
      <c r="C87" s="131"/>
      <c r="D87" s="132"/>
      <c r="E87" s="132"/>
      <c r="F87" s="133"/>
      <c r="G87" s="134"/>
      <c r="H87" s="134"/>
      <c r="I87" s="134"/>
      <c r="J87" s="134"/>
      <c r="K87" s="135"/>
      <c r="L87" s="136"/>
      <c r="M87" s="137"/>
      <c r="N87" s="138">
        <v>39.201451905626136</v>
      </c>
    </row>
    <row r="88" spans="2:14" x14ac:dyDescent="0.25">
      <c r="B88" s="121"/>
      <c r="C88" s="139"/>
      <c r="D88" s="140"/>
      <c r="E88" s="140"/>
      <c r="F88" s="141"/>
      <c r="G88" s="142"/>
      <c r="H88" s="125"/>
      <c r="I88" s="125"/>
      <c r="J88" s="125"/>
      <c r="K88" s="126"/>
      <c r="L88" s="127"/>
      <c r="M88" s="143"/>
      <c r="N88" s="129">
        <v>39.177750906892385</v>
      </c>
    </row>
    <row r="89" spans="2:14" x14ac:dyDescent="0.25">
      <c r="B89" s="130"/>
      <c r="C89" s="131"/>
      <c r="D89" s="132"/>
      <c r="E89" s="132"/>
      <c r="F89" s="133"/>
      <c r="G89" s="134"/>
      <c r="H89" s="134"/>
      <c r="I89" s="134"/>
      <c r="J89" s="134"/>
      <c r="K89" s="135"/>
      <c r="L89" s="136"/>
      <c r="M89" s="137"/>
      <c r="N89" s="138">
        <v>39.106819553409778</v>
      </c>
    </row>
    <row r="90" spans="2:14" x14ac:dyDescent="0.25">
      <c r="B90" s="121"/>
      <c r="C90" s="139"/>
      <c r="D90" s="140"/>
      <c r="E90" s="140"/>
      <c r="F90" s="141"/>
      <c r="G90" s="142"/>
      <c r="H90" s="125"/>
      <c r="I90" s="125"/>
      <c r="J90" s="125"/>
      <c r="K90" s="126"/>
      <c r="L90" s="127"/>
      <c r="M90" s="143"/>
      <c r="N90" s="129">
        <v>39.0832328106152</v>
      </c>
    </row>
    <row r="91" spans="2:14" x14ac:dyDescent="0.25">
      <c r="B91" s="130"/>
      <c r="C91" s="131"/>
      <c r="D91" s="132"/>
      <c r="E91" s="132"/>
      <c r="F91" s="133"/>
      <c r="G91" s="134"/>
      <c r="H91" s="134"/>
      <c r="I91" s="134"/>
      <c r="J91" s="134"/>
      <c r="K91" s="135"/>
      <c r="L91" s="136"/>
      <c r="M91" s="137"/>
      <c r="N91" s="138">
        <v>39.059674502712475</v>
      </c>
    </row>
    <row r="92" spans="2:14" x14ac:dyDescent="0.25">
      <c r="B92" s="121"/>
      <c r="C92" s="139"/>
      <c r="D92" s="140"/>
      <c r="E92" s="140"/>
      <c r="F92" s="141"/>
      <c r="G92" s="142"/>
      <c r="H92" s="125"/>
      <c r="I92" s="125"/>
      <c r="J92" s="125"/>
      <c r="K92" s="126"/>
      <c r="L92" s="127"/>
      <c r="M92" s="143"/>
      <c r="N92" s="129">
        <v>39.036144578313248</v>
      </c>
    </row>
    <row r="93" spans="2:14" x14ac:dyDescent="0.25">
      <c r="B93" s="130"/>
      <c r="C93" s="131"/>
      <c r="D93" s="132"/>
      <c r="E93" s="132"/>
      <c r="F93" s="133"/>
      <c r="G93" s="134"/>
      <c r="H93" s="134"/>
      <c r="I93" s="134"/>
      <c r="J93" s="134"/>
      <c r="K93" s="135"/>
      <c r="L93" s="136"/>
      <c r="M93" s="137"/>
      <c r="N93" s="138">
        <v>39.012642986152919</v>
      </c>
    </row>
    <row r="94" spans="2:14" x14ac:dyDescent="0.25">
      <c r="B94" s="121"/>
      <c r="C94" s="139"/>
      <c r="D94" s="140"/>
      <c r="E94" s="140"/>
      <c r="F94" s="141"/>
      <c r="G94" s="142"/>
      <c r="H94" s="125"/>
      <c r="I94" s="125"/>
      <c r="J94" s="125"/>
      <c r="K94" s="126"/>
      <c r="L94" s="127"/>
      <c r="M94" s="143"/>
      <c r="N94" s="129">
        <v>38.802395209580837</v>
      </c>
    </row>
    <row r="95" spans="2:14" x14ac:dyDescent="0.25">
      <c r="B95" s="130"/>
      <c r="C95" s="131"/>
      <c r="D95" s="132"/>
      <c r="E95" s="132"/>
      <c r="F95" s="133"/>
      <c r="G95" s="134"/>
      <c r="H95" s="134"/>
      <c r="I95" s="134"/>
      <c r="J95" s="134"/>
      <c r="K95" s="135"/>
      <c r="L95" s="136"/>
      <c r="M95" s="137"/>
      <c r="N95" s="138">
        <v>38.732815301852959</v>
      </c>
    </row>
    <row r="96" spans="2:14" x14ac:dyDescent="0.25">
      <c r="B96" s="121"/>
      <c r="C96" s="139"/>
      <c r="D96" s="140"/>
      <c r="E96" s="140"/>
      <c r="F96" s="141"/>
      <c r="G96" s="142"/>
      <c r="H96" s="125"/>
      <c r="I96" s="125"/>
      <c r="J96" s="125"/>
      <c r="K96" s="126"/>
      <c r="L96" s="127"/>
      <c r="M96" s="143"/>
      <c r="N96" s="129">
        <v>38.640429338103758</v>
      </c>
    </row>
    <row r="97" spans="2:14" x14ac:dyDescent="0.25">
      <c r="B97" s="130"/>
      <c r="C97" s="131"/>
      <c r="D97" s="132"/>
      <c r="E97" s="132"/>
      <c r="F97" s="133"/>
      <c r="G97" s="134"/>
      <c r="H97" s="134"/>
      <c r="I97" s="134"/>
      <c r="J97" s="134"/>
      <c r="K97" s="135"/>
      <c r="L97" s="136"/>
      <c r="M97" s="137"/>
      <c r="N97" s="138">
        <v>38.594401429422277</v>
      </c>
    </row>
    <row r="98" spans="2:14" x14ac:dyDescent="0.25">
      <c r="B98" s="121"/>
      <c r="C98" s="139"/>
      <c r="D98" s="140"/>
      <c r="E98" s="140"/>
      <c r="F98" s="141"/>
      <c r="G98" s="142"/>
      <c r="H98" s="125"/>
      <c r="I98" s="125"/>
      <c r="J98" s="125"/>
      <c r="K98" s="126"/>
      <c r="L98" s="127"/>
      <c r="M98" s="143"/>
      <c r="N98" s="129">
        <v>38.525564803804997</v>
      </c>
    </row>
    <row r="99" spans="2:14" x14ac:dyDescent="0.25">
      <c r="B99" s="130"/>
      <c r="C99" s="131"/>
      <c r="D99" s="132"/>
      <c r="E99" s="132"/>
      <c r="F99" s="133"/>
      <c r="G99" s="134"/>
      <c r="H99" s="134"/>
      <c r="I99" s="134"/>
      <c r="J99" s="134"/>
      <c r="K99" s="135"/>
      <c r="L99" s="136"/>
      <c r="M99" s="137"/>
      <c r="N99" s="138">
        <v>38.525564803804997</v>
      </c>
    </row>
    <row r="100" spans="2:14" x14ac:dyDescent="0.25">
      <c r="B100" s="121"/>
      <c r="C100" s="139"/>
      <c r="D100" s="140"/>
      <c r="E100" s="140"/>
      <c r="F100" s="141"/>
      <c r="G100" s="142"/>
      <c r="H100" s="125"/>
      <c r="I100" s="125"/>
      <c r="J100" s="125"/>
      <c r="K100" s="126"/>
      <c r="L100" s="127"/>
      <c r="M100" s="143"/>
      <c r="N100" s="129">
        <v>38.297872340425528</v>
      </c>
    </row>
    <row r="101" spans="2:14" x14ac:dyDescent="0.25">
      <c r="B101" s="130"/>
      <c r="C101" s="131"/>
      <c r="D101" s="132"/>
      <c r="E101" s="132"/>
      <c r="F101" s="133"/>
      <c r="G101" s="134"/>
      <c r="H101" s="134"/>
      <c r="I101" s="134"/>
      <c r="J101" s="134"/>
      <c r="K101" s="135"/>
      <c r="L101" s="136"/>
      <c r="M101" s="137"/>
      <c r="N101" s="138">
        <v>38.252656434474616</v>
      </c>
    </row>
    <row r="102" spans="2:14" x14ac:dyDescent="0.25">
      <c r="B102" s="121"/>
      <c r="C102" s="139"/>
      <c r="D102" s="140"/>
      <c r="E102" s="140"/>
      <c r="F102" s="141"/>
      <c r="G102" s="142"/>
      <c r="H102" s="125"/>
      <c r="I102" s="125"/>
      <c r="J102" s="125"/>
      <c r="K102" s="126"/>
      <c r="L102" s="127"/>
      <c r="M102" s="143"/>
      <c r="N102" s="129">
        <v>38.185032410135534</v>
      </c>
    </row>
    <row r="103" spans="2:14" x14ac:dyDescent="0.25">
      <c r="B103" s="130"/>
      <c r="C103" s="131"/>
      <c r="D103" s="132"/>
      <c r="E103" s="132"/>
      <c r="F103" s="133"/>
      <c r="G103" s="134"/>
      <c r="H103" s="134"/>
      <c r="I103" s="134"/>
      <c r="J103" s="134"/>
      <c r="K103" s="135"/>
      <c r="L103" s="136"/>
      <c r="M103" s="137"/>
      <c r="N103" s="138">
        <v>38.050499119201412</v>
      </c>
    </row>
    <row r="104" spans="2:14" x14ac:dyDescent="0.25">
      <c r="B104" s="121"/>
      <c r="C104" s="139"/>
      <c r="D104" s="140"/>
      <c r="E104" s="140"/>
      <c r="F104" s="141"/>
      <c r="G104" s="142"/>
      <c r="H104" s="125"/>
      <c r="I104" s="125"/>
      <c r="J104" s="125"/>
      <c r="K104" s="126"/>
      <c r="L104" s="127"/>
      <c r="M104" s="143"/>
      <c r="N104" s="129">
        <v>37.91691047396138</v>
      </c>
    </row>
    <row r="105" spans="2:14" x14ac:dyDescent="0.25">
      <c r="B105" s="130"/>
      <c r="C105" s="131"/>
      <c r="D105" s="132"/>
      <c r="E105" s="132"/>
      <c r="F105" s="133"/>
      <c r="G105" s="134"/>
      <c r="H105" s="134"/>
      <c r="I105" s="134"/>
      <c r="J105" s="134"/>
      <c r="K105" s="135"/>
      <c r="L105" s="136"/>
      <c r="M105" s="137"/>
      <c r="N105" s="138">
        <v>37.89473684210526</v>
      </c>
    </row>
    <row r="106" spans="2:14" x14ac:dyDescent="0.25">
      <c r="B106" s="121"/>
      <c r="C106" s="139"/>
      <c r="D106" s="140"/>
      <c r="E106" s="140"/>
      <c r="F106" s="141"/>
      <c r="G106" s="142"/>
      <c r="H106" s="125"/>
      <c r="I106" s="125"/>
      <c r="J106" s="125"/>
      <c r="K106" s="126"/>
      <c r="L106" s="127"/>
      <c r="M106" s="143"/>
      <c r="N106" s="129">
        <v>37.80630105017503</v>
      </c>
    </row>
    <row r="107" spans="2:14" x14ac:dyDescent="0.25">
      <c r="B107" s="130"/>
      <c r="C107" s="131"/>
      <c r="D107" s="132"/>
      <c r="E107" s="132"/>
      <c r="F107" s="133"/>
      <c r="G107" s="134"/>
      <c r="H107" s="134"/>
      <c r="I107" s="134"/>
      <c r="J107" s="134"/>
      <c r="K107" s="135"/>
      <c r="L107" s="136"/>
      <c r="M107" s="137"/>
      <c r="N107" s="138">
        <v>37.543453070683661</v>
      </c>
    </row>
    <row r="108" spans="2:14" x14ac:dyDescent="0.25">
      <c r="B108" s="121"/>
      <c r="C108" s="139"/>
      <c r="D108" s="140"/>
      <c r="E108" s="140"/>
      <c r="F108" s="141"/>
      <c r="G108" s="142"/>
      <c r="H108" s="125"/>
      <c r="I108" s="125"/>
      <c r="J108" s="125"/>
      <c r="K108" s="126"/>
      <c r="L108" s="127"/>
      <c r="M108" s="143"/>
      <c r="N108" s="129">
        <v>37.370242214532873</v>
      </c>
    </row>
    <row r="109" spans="2:14" x14ac:dyDescent="0.25">
      <c r="B109" s="130"/>
      <c r="C109" s="131"/>
      <c r="D109" s="132"/>
      <c r="E109" s="132"/>
      <c r="F109" s="133"/>
      <c r="G109" s="134"/>
      <c r="H109" s="134"/>
      <c r="I109" s="134"/>
      <c r="J109" s="134"/>
      <c r="K109" s="135"/>
      <c r="L109" s="136"/>
      <c r="M109" s="137"/>
      <c r="N109" s="138">
        <v>36.902050113895221</v>
      </c>
    </row>
    <row r="110" spans="2:14" x14ac:dyDescent="0.25">
      <c r="B110" s="121"/>
      <c r="C110" s="139"/>
      <c r="D110" s="140"/>
      <c r="E110" s="140"/>
      <c r="F110" s="141"/>
      <c r="G110" s="142"/>
      <c r="H110" s="125"/>
      <c r="I110" s="125"/>
      <c r="J110" s="125"/>
      <c r="K110" s="126"/>
      <c r="L110" s="127"/>
      <c r="M110" s="143"/>
      <c r="N110" s="129">
        <v>36.839113132461627</v>
      </c>
    </row>
    <row r="111" spans="2:14" x14ac:dyDescent="0.25">
      <c r="B111" s="130"/>
      <c r="C111" s="131"/>
      <c r="D111" s="132"/>
      <c r="E111" s="132"/>
      <c r="F111" s="133"/>
      <c r="G111" s="134"/>
      <c r="H111" s="134"/>
      <c r="I111" s="134"/>
      <c r="J111" s="134"/>
      <c r="K111" s="135"/>
      <c r="L111" s="136"/>
      <c r="M111" s="137"/>
      <c r="N111" s="138">
        <v>36.755530346001137</v>
      </c>
    </row>
    <row r="112" spans="2:14" x14ac:dyDescent="0.25">
      <c r="B112" s="121"/>
      <c r="C112" s="139"/>
      <c r="D112" s="140"/>
      <c r="E112" s="140"/>
      <c r="F112" s="141"/>
      <c r="G112" s="142"/>
      <c r="H112" s="125"/>
      <c r="I112" s="125"/>
      <c r="J112" s="125"/>
      <c r="K112" s="126"/>
      <c r="L112" s="127"/>
      <c r="M112" s="143"/>
      <c r="N112" s="129">
        <v>36.693091732729329</v>
      </c>
    </row>
    <row r="113" spans="2:14" x14ac:dyDescent="0.25">
      <c r="B113" s="130"/>
      <c r="C113" s="131"/>
      <c r="D113" s="132"/>
      <c r="E113" s="132"/>
      <c r="F113" s="133"/>
      <c r="G113" s="134"/>
      <c r="H113" s="134"/>
      <c r="I113" s="134"/>
      <c r="J113" s="134"/>
      <c r="K113" s="135"/>
      <c r="L113" s="136"/>
      <c r="M113" s="137"/>
      <c r="N113" s="138">
        <v>36.548223350253807</v>
      </c>
    </row>
    <row r="114" spans="2:14" x14ac:dyDescent="0.25">
      <c r="B114" s="121"/>
      <c r="C114" s="139"/>
      <c r="D114" s="140"/>
      <c r="E114" s="140"/>
      <c r="F114" s="141"/>
      <c r="G114" s="142"/>
      <c r="H114" s="125"/>
      <c r="I114" s="125"/>
      <c r="J114" s="125"/>
      <c r="K114" s="126"/>
      <c r="L114" s="127"/>
      <c r="M114" s="143"/>
      <c r="N114" s="129">
        <v>36.22135271101174</v>
      </c>
    </row>
    <row r="115" spans="2:14" x14ac:dyDescent="0.25">
      <c r="B115" s="130"/>
      <c r="C115" s="131"/>
      <c r="D115" s="132"/>
      <c r="E115" s="132"/>
      <c r="F115" s="133"/>
      <c r="G115" s="134"/>
      <c r="H115" s="134"/>
      <c r="I115" s="134"/>
      <c r="J115" s="134"/>
      <c r="K115" s="135"/>
      <c r="L115" s="136"/>
      <c r="M115" s="137"/>
      <c r="N115" s="138">
        <v>35.880398671096344</v>
      </c>
    </row>
    <row r="116" spans="2:14" x14ac:dyDescent="0.25">
      <c r="B116" s="121"/>
      <c r="C116" s="139"/>
      <c r="D116" s="140"/>
      <c r="E116" s="140"/>
      <c r="F116" s="141"/>
      <c r="G116" s="142"/>
      <c r="H116" s="125"/>
      <c r="I116" s="125"/>
      <c r="J116" s="125"/>
      <c r="K116" s="126"/>
      <c r="L116" s="127"/>
      <c r="M116" s="143"/>
      <c r="N116" s="129">
        <v>35.526315789473678</v>
      </c>
    </row>
    <row r="117" spans="2:14" x14ac:dyDescent="0.25">
      <c r="B117" s="130"/>
      <c r="C117" s="131"/>
      <c r="D117" s="132"/>
      <c r="E117" s="132"/>
      <c r="F117" s="133"/>
      <c r="G117" s="134"/>
      <c r="H117" s="134"/>
      <c r="I117" s="134"/>
      <c r="J117" s="134"/>
      <c r="K117" s="135"/>
      <c r="L117" s="136"/>
      <c r="M117" s="137"/>
      <c r="N117" s="138">
        <v>35.506849315068493</v>
      </c>
    </row>
    <row r="118" spans="2:14" x14ac:dyDescent="0.25">
      <c r="B118" s="121"/>
      <c r="C118" s="139"/>
      <c r="D118" s="140"/>
      <c r="E118" s="140"/>
      <c r="F118" s="141"/>
      <c r="G118" s="142"/>
      <c r="H118" s="125"/>
      <c r="I118" s="125"/>
      <c r="J118" s="125"/>
      <c r="K118" s="126"/>
      <c r="L118" s="127"/>
      <c r="M118" s="143"/>
      <c r="N118" s="129">
        <v>35.37117903930131</v>
      </c>
    </row>
    <row r="119" spans="2:14" x14ac:dyDescent="0.25">
      <c r="B119" s="130"/>
      <c r="C119" s="131"/>
      <c r="D119" s="132"/>
      <c r="E119" s="132"/>
      <c r="F119" s="133"/>
      <c r="G119" s="134"/>
      <c r="H119" s="134"/>
      <c r="I119" s="134"/>
      <c r="J119" s="134"/>
      <c r="K119" s="135"/>
      <c r="L119" s="136"/>
      <c r="M119" s="137"/>
      <c r="N119" s="138">
        <v>35.332606324972737</v>
      </c>
    </row>
    <row r="120" spans="2:14" x14ac:dyDescent="0.25">
      <c r="B120" s="121"/>
      <c r="C120" s="139"/>
      <c r="D120" s="140"/>
      <c r="E120" s="140"/>
      <c r="F120" s="141"/>
      <c r="G120" s="142"/>
      <c r="H120" s="125"/>
      <c r="I120" s="125"/>
      <c r="J120" s="125"/>
      <c r="K120" s="126"/>
      <c r="L120" s="127"/>
      <c r="M120" s="143"/>
      <c r="N120" s="129">
        <v>35.2557127312296</v>
      </c>
    </row>
    <row r="121" spans="2:14" x14ac:dyDescent="0.25">
      <c r="B121" s="130"/>
      <c r="C121" s="131"/>
      <c r="D121" s="132"/>
      <c r="E121" s="132"/>
      <c r="F121" s="133"/>
      <c r="G121" s="134"/>
      <c r="H121" s="134"/>
      <c r="I121" s="134"/>
      <c r="J121" s="134"/>
      <c r="K121" s="135"/>
      <c r="L121" s="136"/>
      <c r="M121" s="137"/>
      <c r="N121" s="138">
        <v>35.064935064935064</v>
      </c>
    </row>
    <row r="122" spans="2:14" x14ac:dyDescent="0.25">
      <c r="B122" s="121"/>
      <c r="C122" s="139"/>
      <c r="D122" s="140"/>
      <c r="E122" s="140"/>
      <c r="F122" s="141"/>
      <c r="G122" s="142"/>
      <c r="H122" s="125"/>
      <c r="I122" s="125"/>
      <c r="J122" s="125"/>
      <c r="K122" s="126"/>
      <c r="L122" s="127"/>
      <c r="M122" s="143"/>
      <c r="N122" s="129">
        <v>34.59690336358782</v>
      </c>
    </row>
    <row r="123" spans="2:14" x14ac:dyDescent="0.25">
      <c r="B123" s="130"/>
      <c r="C123" s="131"/>
      <c r="D123" s="132"/>
      <c r="E123" s="132"/>
      <c r="F123" s="133"/>
      <c r="G123" s="134"/>
      <c r="H123" s="134"/>
      <c r="I123" s="134"/>
      <c r="J123" s="134"/>
      <c r="K123" s="135"/>
      <c r="L123" s="136"/>
      <c r="M123" s="137"/>
      <c r="N123" s="138">
        <v>33.523021210553544</v>
      </c>
    </row>
    <row r="124" spans="2:14" x14ac:dyDescent="0.25">
      <c r="B124" s="121"/>
      <c r="C124" s="139"/>
      <c r="D124" s="140"/>
      <c r="E124" s="140"/>
      <c r="F124" s="141"/>
      <c r="G124" s="142"/>
      <c r="H124" s="125"/>
      <c r="I124" s="125"/>
      <c r="J124" s="125"/>
      <c r="K124" s="126"/>
      <c r="L124" s="127"/>
      <c r="M124" s="143"/>
      <c r="N124" s="129">
        <v>33.027522935779814</v>
      </c>
    </row>
    <row r="125" spans="2:14" x14ac:dyDescent="0.25">
      <c r="B125" s="130"/>
      <c r="C125" s="131"/>
      <c r="D125" s="132"/>
      <c r="E125" s="132"/>
      <c r="F125" s="133"/>
      <c r="G125" s="134"/>
      <c r="H125" s="134"/>
      <c r="I125" s="134"/>
      <c r="J125" s="134"/>
      <c r="K125" s="135"/>
      <c r="L125" s="136"/>
      <c r="M125" s="137"/>
      <c r="N125" s="138">
        <v>31.19884448724121</v>
      </c>
    </row>
    <row r="126" spans="2:14" x14ac:dyDescent="0.25">
      <c r="B126" s="121"/>
      <c r="C126" s="139"/>
      <c r="D126" s="140"/>
      <c r="E126" s="140"/>
      <c r="F126" s="141"/>
      <c r="G126" s="142"/>
      <c r="H126" s="125"/>
      <c r="I126" s="125"/>
      <c r="J126" s="125"/>
      <c r="K126" s="126"/>
      <c r="L126" s="127"/>
      <c r="M126" s="143"/>
      <c r="N126" s="129">
        <v>30.813124108416545</v>
      </c>
    </row>
    <row r="127" spans="2:14" x14ac:dyDescent="0.25">
      <c r="B127" s="130"/>
      <c r="C127" s="131"/>
      <c r="D127" s="132"/>
      <c r="E127" s="132"/>
      <c r="F127" s="133"/>
      <c r="G127" s="134"/>
      <c r="H127" s="134"/>
      <c r="I127" s="134"/>
      <c r="J127" s="134"/>
      <c r="K127" s="135"/>
      <c r="L127" s="136"/>
      <c r="M127" s="137"/>
      <c r="N127" s="138">
        <v>30.1255230125523</v>
      </c>
    </row>
    <row r="128" spans="2:14" x14ac:dyDescent="0.25">
      <c r="B128" s="121"/>
      <c r="C128" s="139"/>
      <c r="D128" s="140"/>
      <c r="E128" s="140"/>
      <c r="F128" s="141"/>
      <c r="G128" s="142"/>
      <c r="H128" s="125"/>
      <c r="I128" s="125"/>
      <c r="J128" s="125"/>
      <c r="K128" s="126"/>
      <c r="L128" s="127"/>
      <c r="M128" s="143"/>
      <c r="N128" s="129">
        <v>29.75206611570248</v>
      </c>
    </row>
    <row r="129" spans="2:14" x14ac:dyDescent="0.25">
      <c r="B129" s="130"/>
      <c r="C129" s="131"/>
      <c r="D129" s="132"/>
      <c r="E129" s="132"/>
      <c r="F129" s="133"/>
      <c r="G129" s="134"/>
      <c r="H129" s="134"/>
      <c r="I129" s="134"/>
      <c r="J129" s="134"/>
      <c r="K129" s="135"/>
      <c r="L129" s="136"/>
      <c r="M129" s="137"/>
      <c r="N129" s="138">
        <v>26.966292134831463</v>
      </c>
    </row>
    <row r="130" spans="2:14" x14ac:dyDescent="0.25">
      <c r="B130" s="144"/>
      <c r="C130" s="139"/>
      <c r="D130" s="140"/>
      <c r="E130" s="140"/>
      <c r="F130" s="141"/>
      <c r="G130" s="142"/>
      <c r="H130" s="125"/>
      <c r="I130" s="125"/>
      <c r="J130" s="125"/>
      <c r="K130" s="125"/>
      <c r="L130" s="127"/>
      <c r="M130" s="143"/>
      <c r="N130" s="129"/>
    </row>
    <row r="131" spans="2:14" x14ac:dyDescent="0.25">
      <c r="B131" s="130"/>
      <c r="C131" s="131"/>
      <c r="D131" s="132"/>
      <c r="E131" s="132"/>
      <c r="F131" s="133"/>
      <c r="G131" s="134"/>
      <c r="H131" s="134"/>
      <c r="I131" s="134"/>
      <c r="J131" s="134"/>
      <c r="K131" s="134"/>
      <c r="L131" s="136"/>
      <c r="M131" s="137"/>
      <c r="N131" s="138"/>
    </row>
    <row r="132" spans="2:14" x14ac:dyDescent="0.25">
      <c r="B132" s="144"/>
      <c r="C132" s="139"/>
      <c r="D132" s="140"/>
      <c r="E132" s="140"/>
      <c r="F132" s="141"/>
      <c r="G132" s="142"/>
      <c r="H132" s="125"/>
      <c r="I132" s="125"/>
      <c r="J132" s="125"/>
      <c r="K132" s="125"/>
      <c r="L132" s="127"/>
      <c r="M132" s="143"/>
      <c r="N132" s="129"/>
    </row>
    <row r="133" spans="2:14" x14ac:dyDescent="0.25">
      <c r="B133" s="130"/>
      <c r="C133" s="131"/>
      <c r="D133" s="132"/>
      <c r="E133" s="132"/>
      <c r="F133" s="133"/>
      <c r="G133" s="134"/>
      <c r="H133" s="134"/>
      <c r="I133" s="134"/>
      <c r="J133" s="134"/>
      <c r="K133" s="134"/>
      <c r="L133" s="136"/>
      <c r="M133" s="137"/>
      <c r="N133" s="138"/>
    </row>
    <row r="134" spans="2:14" x14ac:dyDescent="0.25">
      <c r="B134" s="144"/>
      <c r="C134" s="139"/>
      <c r="D134" s="140"/>
      <c r="E134" s="140"/>
      <c r="F134" s="141"/>
      <c r="G134" s="142"/>
      <c r="H134" s="125"/>
      <c r="I134" s="125"/>
      <c r="J134" s="125"/>
      <c r="K134" s="125"/>
      <c r="L134" s="127"/>
      <c r="M134" s="143"/>
      <c r="N134" s="129"/>
    </row>
    <row r="135" spans="2:14" x14ac:dyDescent="0.25">
      <c r="B135" s="130"/>
      <c r="C135" s="131"/>
      <c r="D135" s="132"/>
      <c r="E135" s="132"/>
      <c r="F135" s="133"/>
      <c r="G135" s="134"/>
      <c r="H135" s="134"/>
      <c r="I135" s="134"/>
      <c r="J135" s="134"/>
      <c r="K135" s="134"/>
      <c r="L135" s="136"/>
      <c r="M135" s="137"/>
      <c r="N135" s="138"/>
    </row>
    <row r="136" spans="2:14" x14ac:dyDescent="0.25">
      <c r="B136" s="144"/>
      <c r="C136" s="139"/>
      <c r="D136" s="140"/>
      <c r="E136" s="140"/>
      <c r="F136" s="141"/>
      <c r="G136" s="142"/>
      <c r="H136" s="125"/>
      <c r="I136" s="125"/>
      <c r="J136" s="125"/>
      <c r="K136" s="125"/>
      <c r="L136" s="127"/>
      <c r="M136" s="143"/>
      <c r="N136" s="129"/>
    </row>
    <row r="137" spans="2:14" x14ac:dyDescent="0.25">
      <c r="B137" s="130"/>
      <c r="C137" s="131"/>
      <c r="D137" s="132"/>
      <c r="E137" s="132"/>
      <c r="F137" s="133"/>
      <c r="G137" s="134"/>
      <c r="H137" s="134"/>
      <c r="I137" s="134"/>
      <c r="J137" s="134"/>
      <c r="K137" s="134"/>
      <c r="L137" s="136"/>
      <c r="M137" s="137"/>
      <c r="N137" s="138"/>
    </row>
    <row r="138" spans="2:14" x14ac:dyDescent="0.25">
      <c r="B138" s="144"/>
      <c r="C138" s="139"/>
      <c r="D138" s="140"/>
      <c r="E138" s="140"/>
      <c r="F138" s="141"/>
      <c r="G138" s="142"/>
      <c r="H138" s="125"/>
      <c r="I138" s="125"/>
      <c r="J138" s="125"/>
      <c r="K138" s="125"/>
      <c r="L138" s="127"/>
      <c r="M138" s="143"/>
      <c r="N138" s="129"/>
    </row>
    <row r="139" spans="2:14" x14ac:dyDescent="0.25">
      <c r="B139" s="130"/>
      <c r="C139" s="131"/>
      <c r="D139" s="132"/>
      <c r="E139" s="132"/>
      <c r="F139" s="133"/>
      <c r="G139" s="134"/>
      <c r="H139" s="134"/>
      <c r="I139" s="134"/>
      <c r="J139" s="134"/>
      <c r="K139" s="134"/>
      <c r="L139" s="136"/>
      <c r="M139" s="137"/>
      <c r="N139" s="138"/>
    </row>
    <row r="140" spans="2:14" x14ac:dyDescent="0.25">
      <c r="B140" s="144"/>
      <c r="C140" s="139"/>
      <c r="D140" s="140"/>
      <c r="E140" s="140"/>
      <c r="F140" s="141"/>
      <c r="G140" s="142"/>
      <c r="H140" s="125"/>
      <c r="I140" s="125"/>
      <c r="J140" s="125"/>
      <c r="K140" s="125"/>
      <c r="L140" s="127"/>
      <c r="M140" s="143"/>
      <c r="N140" s="129"/>
    </row>
    <row r="141" spans="2:14" x14ac:dyDescent="0.25">
      <c r="B141" s="130"/>
      <c r="C141" s="131"/>
      <c r="D141" s="132"/>
      <c r="E141" s="132"/>
      <c r="F141" s="133"/>
      <c r="G141" s="134"/>
      <c r="H141" s="134"/>
      <c r="I141" s="134"/>
      <c r="J141" s="134"/>
      <c r="K141" s="134"/>
      <c r="L141" s="136"/>
      <c r="M141" s="137"/>
      <c r="N141" s="138"/>
    </row>
    <row r="142" spans="2:14" x14ac:dyDescent="0.25">
      <c r="B142" s="144"/>
      <c r="C142" s="139"/>
      <c r="D142" s="140"/>
      <c r="E142" s="140"/>
      <c r="F142" s="141"/>
      <c r="G142" s="142"/>
      <c r="H142" s="125"/>
      <c r="I142" s="125"/>
      <c r="J142" s="125"/>
      <c r="K142" s="125"/>
      <c r="L142" s="127"/>
      <c r="M142" s="143"/>
      <c r="N142" s="129"/>
    </row>
    <row r="143" spans="2:14" x14ac:dyDescent="0.25">
      <c r="B143" s="130"/>
      <c r="C143" s="131"/>
      <c r="D143" s="132"/>
      <c r="E143" s="132"/>
      <c r="F143" s="133"/>
      <c r="G143" s="134"/>
      <c r="H143" s="134"/>
      <c r="I143" s="134"/>
      <c r="J143" s="134"/>
      <c r="K143" s="134"/>
      <c r="L143" s="136"/>
      <c r="M143" s="137"/>
      <c r="N143" s="138"/>
    </row>
    <row r="144" spans="2:14" x14ac:dyDescent="0.25">
      <c r="B144" s="144"/>
      <c r="C144" s="139"/>
      <c r="D144" s="140"/>
      <c r="E144" s="140"/>
      <c r="F144" s="141"/>
      <c r="G144" s="142"/>
      <c r="H144" s="125"/>
      <c r="I144" s="125"/>
      <c r="J144" s="125"/>
      <c r="K144" s="125"/>
      <c r="L144" s="127"/>
      <c r="M144" s="143"/>
      <c r="N144" s="129"/>
    </row>
    <row r="145" spans="2:14" x14ac:dyDescent="0.25">
      <c r="B145" s="130"/>
      <c r="C145" s="131"/>
      <c r="D145" s="132"/>
      <c r="E145" s="132"/>
      <c r="F145" s="133"/>
      <c r="G145" s="134"/>
      <c r="H145" s="134"/>
      <c r="I145" s="134"/>
      <c r="J145" s="134"/>
      <c r="K145" s="134"/>
      <c r="L145" s="136"/>
      <c r="M145" s="137"/>
      <c r="N145" s="138"/>
    </row>
    <row r="146" spans="2:14" x14ac:dyDescent="0.25">
      <c r="B146" s="144"/>
      <c r="C146" s="139"/>
      <c r="D146" s="140"/>
      <c r="E146" s="140"/>
      <c r="F146" s="141"/>
      <c r="G146" s="142"/>
      <c r="H146" s="125"/>
      <c r="I146" s="125"/>
      <c r="J146" s="125"/>
      <c r="K146" s="125"/>
      <c r="L146" s="127"/>
      <c r="M146" s="143"/>
      <c r="N146" s="129"/>
    </row>
    <row r="147" spans="2:14" x14ac:dyDescent="0.25">
      <c r="B147" s="130"/>
      <c r="C147" s="131"/>
      <c r="D147" s="132"/>
      <c r="E147" s="132"/>
      <c r="F147" s="133"/>
      <c r="G147" s="134"/>
      <c r="H147" s="134"/>
      <c r="I147" s="134"/>
      <c r="J147" s="134"/>
      <c r="K147" s="134"/>
      <c r="L147" s="136"/>
      <c r="M147" s="137"/>
      <c r="N147" s="138"/>
    </row>
    <row r="148" spans="2:14" x14ac:dyDescent="0.25">
      <c r="B148" s="144"/>
      <c r="C148" s="139"/>
      <c r="D148" s="140"/>
      <c r="E148" s="140"/>
      <c r="F148" s="141"/>
      <c r="G148" s="142"/>
      <c r="H148" s="125"/>
      <c r="I148" s="125"/>
      <c r="J148" s="125"/>
      <c r="K148" s="125"/>
      <c r="L148" s="127"/>
      <c r="M148" s="143"/>
      <c r="N148" s="129"/>
    </row>
    <row r="149" spans="2:14" x14ac:dyDescent="0.25">
      <c r="B149" s="130"/>
      <c r="C149" s="131"/>
      <c r="D149" s="132"/>
      <c r="E149" s="132"/>
      <c r="F149" s="133"/>
      <c r="G149" s="134"/>
      <c r="H149" s="134"/>
      <c r="I149" s="134"/>
      <c r="J149" s="134"/>
      <c r="K149" s="134"/>
      <c r="L149" s="136"/>
      <c r="M149" s="137"/>
      <c r="N149" s="138"/>
    </row>
    <row r="150" spans="2:14" x14ac:dyDescent="0.25">
      <c r="B150" s="144"/>
      <c r="C150" s="139"/>
      <c r="D150" s="140"/>
      <c r="E150" s="140"/>
      <c r="F150" s="141"/>
      <c r="G150" s="142"/>
      <c r="H150" s="125"/>
      <c r="I150" s="125"/>
      <c r="J150" s="125"/>
      <c r="K150" s="125"/>
      <c r="L150" s="127"/>
      <c r="M150" s="143"/>
      <c r="N150" s="129"/>
    </row>
    <row r="151" spans="2:14" x14ac:dyDescent="0.25">
      <c r="B151" s="130"/>
      <c r="C151" s="131"/>
      <c r="D151" s="132"/>
      <c r="E151" s="132"/>
      <c r="F151" s="133"/>
      <c r="G151" s="134"/>
      <c r="H151" s="134"/>
      <c r="I151" s="134"/>
      <c r="J151" s="134"/>
      <c r="K151" s="134"/>
      <c r="L151" s="136"/>
      <c r="M151" s="137"/>
      <c r="N151" s="138"/>
    </row>
    <row r="152" spans="2:14" x14ac:dyDescent="0.25">
      <c r="B152" s="144"/>
      <c r="C152" s="139"/>
      <c r="D152" s="140"/>
      <c r="E152" s="140"/>
      <c r="F152" s="141"/>
      <c r="G152" s="142"/>
      <c r="H152" s="125"/>
      <c r="I152" s="125"/>
      <c r="J152" s="125"/>
      <c r="K152" s="125"/>
      <c r="L152" s="127"/>
      <c r="M152" s="143"/>
      <c r="N152" s="129"/>
    </row>
    <row r="153" spans="2:14" x14ac:dyDescent="0.25">
      <c r="B153" s="130"/>
      <c r="C153" s="131"/>
      <c r="D153" s="132"/>
      <c r="E153" s="132"/>
      <c r="F153" s="133"/>
      <c r="G153" s="134"/>
      <c r="H153" s="134"/>
      <c r="I153" s="134"/>
      <c r="J153" s="134"/>
      <c r="K153" s="134"/>
      <c r="L153" s="136"/>
      <c r="M153" s="137"/>
      <c r="N153" s="138"/>
    </row>
    <row r="154" spans="2:14" x14ac:dyDescent="0.25">
      <c r="B154" s="144"/>
      <c r="C154" s="139"/>
      <c r="D154" s="140"/>
      <c r="E154" s="140"/>
      <c r="F154" s="141"/>
      <c r="G154" s="142"/>
      <c r="H154" s="125"/>
      <c r="I154" s="125"/>
      <c r="J154" s="125"/>
      <c r="K154" s="125"/>
      <c r="L154" s="127"/>
      <c r="M154" s="143"/>
      <c r="N154" s="129"/>
    </row>
    <row r="155" spans="2:14" x14ac:dyDescent="0.25">
      <c r="B155" s="130"/>
      <c r="C155" s="131"/>
      <c r="D155" s="132"/>
      <c r="E155" s="132"/>
      <c r="F155" s="133"/>
      <c r="G155" s="134"/>
      <c r="H155" s="134"/>
      <c r="I155" s="134"/>
      <c r="J155" s="134"/>
      <c r="K155" s="134"/>
      <c r="L155" s="136"/>
      <c r="M155" s="137"/>
      <c r="N155" s="138"/>
    </row>
    <row r="156" spans="2:14" x14ac:dyDescent="0.25">
      <c r="B156" s="144"/>
      <c r="C156" s="139"/>
      <c r="D156" s="140"/>
      <c r="E156" s="140"/>
      <c r="F156" s="141"/>
      <c r="G156" s="142"/>
      <c r="H156" s="125"/>
      <c r="I156" s="125"/>
      <c r="J156" s="125"/>
      <c r="K156" s="125"/>
      <c r="L156" s="127"/>
      <c r="M156" s="143"/>
      <c r="N156" s="129"/>
    </row>
    <row r="157" spans="2:14" x14ac:dyDescent="0.25">
      <c r="B157" s="130"/>
      <c r="C157" s="131"/>
      <c r="D157" s="132"/>
      <c r="E157" s="132"/>
      <c r="F157" s="133"/>
      <c r="G157" s="134"/>
      <c r="H157" s="134"/>
      <c r="I157" s="134"/>
      <c r="J157" s="134"/>
      <c r="K157" s="134"/>
      <c r="L157" s="136"/>
      <c r="M157" s="137"/>
      <c r="N157" s="138"/>
    </row>
    <row r="158" spans="2:14" x14ac:dyDescent="0.25">
      <c r="B158" s="144"/>
      <c r="C158" s="139"/>
      <c r="D158" s="140"/>
      <c r="E158" s="140"/>
      <c r="F158" s="141"/>
      <c r="G158" s="142"/>
      <c r="H158" s="125"/>
      <c r="I158" s="125"/>
      <c r="J158" s="125"/>
      <c r="K158" s="125"/>
      <c r="L158" s="127"/>
      <c r="M158" s="143"/>
      <c r="N158" s="129"/>
    </row>
    <row r="159" spans="2:14" x14ac:dyDescent="0.25">
      <c r="B159" s="130"/>
      <c r="C159" s="131"/>
      <c r="D159" s="132"/>
      <c r="E159" s="132"/>
      <c r="F159" s="133"/>
      <c r="G159" s="134"/>
      <c r="H159" s="134"/>
      <c r="I159" s="134"/>
      <c r="J159" s="134"/>
      <c r="K159" s="134"/>
      <c r="L159" s="136"/>
      <c r="M159" s="137"/>
      <c r="N159" s="138"/>
    </row>
    <row r="160" spans="2:14" x14ac:dyDescent="0.25">
      <c r="B160" s="144"/>
      <c r="C160" s="139"/>
      <c r="D160" s="140"/>
      <c r="E160" s="140"/>
      <c r="F160" s="141"/>
      <c r="G160" s="142"/>
      <c r="H160" s="125"/>
      <c r="I160" s="125"/>
      <c r="J160" s="125"/>
      <c r="K160" s="125"/>
      <c r="L160" s="127"/>
      <c r="M160" s="143"/>
      <c r="N160" s="129"/>
    </row>
    <row r="161" spans="2:14" x14ac:dyDescent="0.25">
      <c r="B161" s="130"/>
      <c r="C161" s="131"/>
      <c r="D161" s="132"/>
      <c r="E161" s="132"/>
      <c r="F161" s="133"/>
      <c r="G161" s="134"/>
      <c r="H161" s="134"/>
      <c r="I161" s="134"/>
      <c r="J161" s="134"/>
      <c r="K161" s="134"/>
      <c r="L161" s="136"/>
      <c r="M161" s="137"/>
      <c r="N161" s="138"/>
    </row>
    <row r="162" spans="2:14" x14ac:dyDescent="0.25">
      <c r="B162" s="144"/>
      <c r="C162" s="139"/>
      <c r="D162" s="140"/>
      <c r="E162" s="140"/>
      <c r="F162" s="141"/>
      <c r="G162" s="142"/>
      <c r="H162" s="125"/>
      <c r="I162" s="125"/>
      <c r="J162" s="125"/>
      <c r="K162" s="125"/>
      <c r="L162" s="127"/>
      <c r="M162" s="143"/>
      <c r="N162" s="129"/>
    </row>
    <row r="163" spans="2:14" x14ac:dyDescent="0.25">
      <c r="B163" s="130"/>
      <c r="C163" s="131"/>
      <c r="D163" s="132"/>
      <c r="E163" s="132"/>
      <c r="F163" s="133"/>
      <c r="G163" s="134"/>
      <c r="H163" s="134"/>
      <c r="I163" s="134"/>
      <c r="J163" s="134"/>
      <c r="K163" s="134"/>
      <c r="L163" s="136"/>
      <c r="M163" s="137"/>
      <c r="N163" s="138"/>
    </row>
    <row r="164" spans="2:14" x14ac:dyDescent="0.25">
      <c r="B164" s="144"/>
      <c r="C164" s="139"/>
      <c r="D164" s="140"/>
      <c r="E164" s="140"/>
      <c r="F164" s="141"/>
      <c r="G164" s="142"/>
      <c r="H164" s="125"/>
      <c r="I164" s="125"/>
      <c r="J164" s="125"/>
      <c r="K164" s="125"/>
      <c r="L164" s="127"/>
      <c r="M164" s="143"/>
      <c r="N164" s="129"/>
    </row>
    <row r="165" spans="2:14" x14ac:dyDescent="0.25">
      <c r="B165" s="130"/>
      <c r="C165" s="131"/>
      <c r="D165" s="132"/>
      <c r="E165" s="132"/>
      <c r="F165" s="133"/>
      <c r="G165" s="134"/>
      <c r="H165" s="134"/>
      <c r="I165" s="134"/>
      <c r="J165" s="134"/>
      <c r="K165" s="134"/>
      <c r="L165" s="136"/>
      <c r="M165" s="137"/>
      <c r="N165" s="138"/>
    </row>
    <row r="166" spans="2:14" x14ac:dyDescent="0.25">
      <c r="B166" s="144"/>
      <c r="C166" s="139"/>
      <c r="D166" s="140"/>
      <c r="E166" s="140"/>
      <c r="F166" s="141"/>
      <c r="G166" s="142"/>
      <c r="H166" s="125"/>
      <c r="I166" s="125"/>
      <c r="J166" s="125"/>
      <c r="K166" s="125"/>
      <c r="L166" s="127"/>
      <c r="M166" s="143"/>
      <c r="N166" s="129"/>
    </row>
    <row r="167" spans="2:14" x14ac:dyDescent="0.25">
      <c r="B167" s="130"/>
      <c r="C167" s="131"/>
      <c r="D167" s="132"/>
      <c r="E167" s="132"/>
      <c r="F167" s="133"/>
      <c r="G167" s="134"/>
      <c r="H167" s="134"/>
      <c r="I167" s="134"/>
      <c r="J167" s="134"/>
      <c r="K167" s="134"/>
      <c r="L167" s="136"/>
      <c r="M167" s="137"/>
      <c r="N167" s="138"/>
    </row>
    <row r="168" spans="2:14" x14ac:dyDescent="0.25">
      <c r="B168" s="144"/>
      <c r="C168" s="139"/>
      <c r="D168" s="140"/>
      <c r="E168" s="140"/>
      <c r="F168" s="141"/>
      <c r="G168" s="142"/>
      <c r="H168" s="125"/>
      <c r="I168" s="125"/>
      <c r="J168" s="125"/>
      <c r="K168" s="125"/>
      <c r="L168" s="127"/>
      <c r="M168" s="143"/>
      <c r="N168" s="129"/>
    </row>
    <row r="169" spans="2:14" x14ac:dyDescent="0.25">
      <c r="B169" s="130"/>
      <c r="C169" s="131"/>
      <c r="D169" s="132"/>
      <c r="E169" s="132"/>
      <c r="F169" s="133"/>
      <c r="G169" s="134"/>
      <c r="H169" s="134"/>
      <c r="I169" s="134"/>
      <c r="J169" s="134"/>
      <c r="K169" s="134"/>
      <c r="L169" s="136"/>
      <c r="M169" s="137"/>
      <c r="N169" s="138"/>
    </row>
    <row r="170" spans="2:14" x14ac:dyDescent="0.25">
      <c r="B170" s="144"/>
      <c r="C170" s="139"/>
      <c r="D170" s="140"/>
      <c r="E170" s="140"/>
      <c r="F170" s="141"/>
      <c r="G170" s="142"/>
      <c r="H170" s="125"/>
      <c r="I170" s="125"/>
      <c r="J170" s="125"/>
      <c r="K170" s="125"/>
      <c r="L170" s="127"/>
      <c r="M170" s="143"/>
      <c r="N170" s="129"/>
    </row>
    <row r="171" spans="2:14" x14ac:dyDescent="0.25">
      <c r="B171" s="130"/>
      <c r="C171" s="131"/>
      <c r="D171" s="132"/>
      <c r="E171" s="132"/>
      <c r="F171" s="133"/>
      <c r="G171" s="134"/>
      <c r="H171" s="134"/>
      <c r="I171" s="134"/>
      <c r="J171" s="134"/>
      <c r="K171" s="134"/>
      <c r="L171" s="136"/>
      <c r="M171" s="137"/>
      <c r="N171" s="138"/>
    </row>
    <row r="172" spans="2:14" x14ac:dyDescent="0.25">
      <c r="B172" s="144"/>
      <c r="C172" s="139"/>
      <c r="D172" s="140"/>
      <c r="E172" s="140"/>
      <c r="F172" s="141"/>
      <c r="G172" s="142"/>
      <c r="H172" s="125"/>
      <c r="I172" s="125"/>
      <c r="J172" s="125"/>
      <c r="K172" s="125"/>
      <c r="L172" s="127"/>
      <c r="M172" s="143"/>
      <c r="N172" s="129"/>
    </row>
    <row r="173" spans="2:14" x14ac:dyDescent="0.25">
      <c r="B173" s="130"/>
      <c r="C173" s="131"/>
      <c r="D173" s="132"/>
      <c r="E173" s="132"/>
      <c r="F173" s="133"/>
      <c r="G173" s="134"/>
      <c r="H173" s="134"/>
      <c r="I173" s="134"/>
      <c r="J173" s="134"/>
      <c r="K173" s="134"/>
      <c r="L173" s="136"/>
      <c r="M173" s="137"/>
      <c r="N173" s="138"/>
    </row>
    <row r="174" spans="2:14" x14ac:dyDescent="0.25">
      <c r="B174" s="144"/>
      <c r="C174" s="139"/>
      <c r="D174" s="140"/>
      <c r="E174" s="140"/>
      <c r="F174" s="141"/>
      <c r="G174" s="142"/>
      <c r="H174" s="125"/>
      <c r="I174" s="125"/>
      <c r="J174" s="125"/>
      <c r="K174" s="125"/>
      <c r="L174" s="127"/>
      <c r="M174" s="143"/>
      <c r="N174" s="129"/>
    </row>
    <row r="175" spans="2:14" x14ac:dyDescent="0.25">
      <c r="B175" s="130"/>
      <c r="C175" s="131"/>
      <c r="D175" s="132"/>
      <c r="E175" s="132"/>
      <c r="F175" s="133"/>
      <c r="G175" s="134"/>
      <c r="H175" s="134"/>
      <c r="I175" s="134"/>
      <c r="J175" s="134"/>
      <c r="K175" s="134"/>
      <c r="L175" s="136"/>
      <c r="M175" s="137"/>
      <c r="N175" s="138"/>
    </row>
    <row r="176" spans="2:14" x14ac:dyDescent="0.25">
      <c r="B176" s="144"/>
      <c r="C176" s="139"/>
      <c r="D176" s="140"/>
      <c r="E176" s="140"/>
      <c r="F176" s="141"/>
      <c r="G176" s="142"/>
      <c r="H176" s="125"/>
      <c r="I176" s="125"/>
      <c r="J176" s="125"/>
      <c r="K176" s="125"/>
      <c r="L176" s="127"/>
      <c r="M176" s="143"/>
      <c r="N176" s="129"/>
    </row>
    <row r="177" spans="2:14" x14ac:dyDescent="0.25">
      <c r="B177" s="130"/>
      <c r="C177" s="131"/>
      <c r="D177" s="132"/>
      <c r="E177" s="132"/>
      <c r="F177" s="133"/>
      <c r="G177" s="134"/>
      <c r="H177" s="134"/>
      <c r="I177" s="134"/>
      <c r="J177" s="134"/>
      <c r="K177" s="134"/>
      <c r="L177" s="136"/>
      <c r="M177" s="137"/>
      <c r="N177" s="138"/>
    </row>
    <row r="178" spans="2:14" x14ac:dyDescent="0.25">
      <c r="B178" s="144"/>
      <c r="C178" s="139"/>
      <c r="D178" s="140"/>
      <c r="E178" s="140"/>
      <c r="F178" s="141"/>
      <c r="G178" s="142"/>
      <c r="H178" s="125"/>
      <c r="I178" s="125"/>
      <c r="J178" s="125"/>
      <c r="K178" s="125"/>
      <c r="L178" s="127"/>
      <c r="M178" s="143"/>
      <c r="N178" s="129"/>
    </row>
    <row r="179" spans="2:14" x14ac:dyDescent="0.25">
      <c r="B179" s="130"/>
      <c r="C179" s="131"/>
      <c r="D179" s="132"/>
      <c r="E179" s="132"/>
      <c r="F179" s="133"/>
      <c r="G179" s="134"/>
      <c r="H179" s="134"/>
      <c r="I179" s="134"/>
      <c r="J179" s="134"/>
      <c r="K179" s="134"/>
      <c r="L179" s="136"/>
      <c r="M179" s="137"/>
      <c r="N179" s="138"/>
    </row>
    <row r="180" spans="2:14" x14ac:dyDescent="0.25">
      <c r="B180" s="144"/>
      <c r="C180" s="139"/>
      <c r="D180" s="140"/>
      <c r="E180" s="140"/>
      <c r="F180" s="141"/>
      <c r="G180" s="142"/>
      <c r="H180" s="125"/>
      <c r="I180" s="125"/>
      <c r="J180" s="125"/>
      <c r="K180" s="125"/>
      <c r="L180" s="127"/>
      <c r="M180" s="143"/>
      <c r="N180" s="129"/>
    </row>
    <row r="181" spans="2:14" x14ac:dyDescent="0.25">
      <c r="B181" s="130"/>
      <c r="C181" s="131"/>
      <c r="D181" s="132"/>
      <c r="E181" s="132"/>
      <c r="F181" s="133"/>
      <c r="G181" s="134"/>
      <c r="H181" s="134"/>
      <c r="I181" s="134"/>
      <c r="J181" s="134"/>
      <c r="K181" s="134"/>
      <c r="L181" s="136"/>
      <c r="M181" s="137"/>
      <c r="N181" s="138"/>
    </row>
    <row r="182" spans="2:14" x14ac:dyDescent="0.25">
      <c r="B182" s="144"/>
      <c r="C182" s="139"/>
      <c r="D182" s="140"/>
      <c r="E182" s="140"/>
      <c r="F182" s="141"/>
      <c r="G182" s="142"/>
      <c r="H182" s="125"/>
      <c r="I182" s="125"/>
      <c r="J182" s="125"/>
      <c r="K182" s="125"/>
      <c r="L182" s="127"/>
      <c r="M182" s="143"/>
      <c r="N182" s="129"/>
    </row>
    <row r="183" spans="2:14" x14ac:dyDescent="0.25">
      <c r="B183" s="130"/>
      <c r="C183" s="131"/>
      <c r="D183" s="132"/>
      <c r="E183" s="132"/>
      <c r="F183" s="133"/>
      <c r="G183" s="134"/>
      <c r="H183" s="134"/>
      <c r="I183" s="134"/>
      <c r="J183" s="134"/>
      <c r="K183" s="134"/>
      <c r="L183" s="136"/>
      <c r="M183" s="137"/>
      <c r="N183" s="138"/>
    </row>
    <row r="184" spans="2:14" x14ac:dyDescent="0.25">
      <c r="B184" s="144"/>
      <c r="C184" s="139"/>
      <c r="D184" s="140"/>
      <c r="E184" s="140"/>
      <c r="F184" s="141"/>
      <c r="G184" s="142"/>
      <c r="H184" s="125"/>
      <c r="I184" s="125"/>
      <c r="J184" s="125"/>
      <c r="K184" s="125"/>
      <c r="L184" s="127"/>
      <c r="M184" s="143"/>
      <c r="N184" s="129"/>
    </row>
    <row r="185" spans="2:14" x14ac:dyDescent="0.25">
      <c r="B185" s="130"/>
      <c r="C185" s="131"/>
      <c r="D185" s="132"/>
      <c r="E185" s="132"/>
      <c r="F185" s="133"/>
      <c r="G185" s="134"/>
      <c r="H185" s="134"/>
      <c r="I185" s="134"/>
      <c r="J185" s="134"/>
      <c r="K185" s="134"/>
      <c r="L185" s="136"/>
      <c r="M185" s="137"/>
      <c r="N185" s="138"/>
    </row>
    <row r="186" spans="2:14" x14ac:dyDescent="0.25">
      <c r="B186" s="144"/>
      <c r="C186" s="139"/>
      <c r="D186" s="140"/>
      <c r="E186" s="140"/>
      <c r="F186" s="141"/>
      <c r="G186" s="142"/>
      <c r="H186" s="125"/>
      <c r="I186" s="125"/>
      <c r="J186" s="125"/>
      <c r="K186" s="125"/>
      <c r="L186" s="127"/>
      <c r="M186" s="143"/>
      <c r="N186" s="129"/>
    </row>
    <row r="187" spans="2:14" x14ac:dyDescent="0.25">
      <c r="B187" s="130"/>
      <c r="C187" s="131"/>
      <c r="D187" s="132"/>
      <c r="E187" s="132"/>
      <c r="F187" s="133"/>
      <c r="G187" s="134"/>
      <c r="H187" s="134"/>
      <c r="I187" s="134"/>
      <c r="J187" s="134"/>
      <c r="K187" s="134"/>
      <c r="L187" s="136"/>
      <c r="M187" s="137"/>
      <c r="N187" s="138"/>
    </row>
    <row r="188" spans="2:14" x14ac:dyDescent="0.25">
      <c r="B188" s="144"/>
      <c r="C188" s="139"/>
      <c r="D188" s="140"/>
      <c r="E188" s="140"/>
      <c r="F188" s="141"/>
      <c r="G188" s="142"/>
      <c r="H188" s="125"/>
      <c r="I188" s="125"/>
      <c r="J188" s="125"/>
      <c r="K188" s="125"/>
      <c r="L188" s="127"/>
      <c r="M188" s="143"/>
      <c r="N188" s="129"/>
    </row>
    <row r="189" spans="2:14" x14ac:dyDescent="0.25">
      <c r="B189" s="130"/>
      <c r="C189" s="131"/>
      <c r="D189" s="132"/>
      <c r="E189" s="132"/>
      <c r="F189" s="133"/>
      <c r="G189" s="134"/>
      <c r="H189" s="134"/>
      <c r="I189" s="134"/>
      <c r="J189" s="134"/>
      <c r="K189" s="134"/>
      <c r="L189" s="136"/>
      <c r="M189" s="137"/>
      <c r="N189" s="138"/>
    </row>
    <row r="190" spans="2:14" x14ac:dyDescent="0.25">
      <c r="B190" s="144"/>
      <c r="C190" s="139"/>
      <c r="D190" s="140"/>
      <c r="E190" s="140"/>
      <c r="F190" s="141"/>
      <c r="G190" s="142"/>
      <c r="H190" s="125"/>
      <c r="I190" s="125"/>
      <c r="J190" s="125"/>
      <c r="K190" s="125"/>
      <c r="L190" s="127"/>
      <c r="M190" s="143"/>
      <c r="N190" s="129"/>
    </row>
    <row r="191" spans="2:14" x14ac:dyDescent="0.25">
      <c r="B191" s="130"/>
      <c r="C191" s="131"/>
      <c r="D191" s="132"/>
      <c r="E191" s="132"/>
      <c r="F191" s="133"/>
      <c r="G191" s="134"/>
      <c r="H191" s="134"/>
      <c r="I191" s="134"/>
      <c r="J191" s="134"/>
      <c r="K191" s="134"/>
      <c r="L191" s="136"/>
      <c r="M191" s="137"/>
      <c r="N191" s="138"/>
    </row>
    <row r="192" spans="2:14" x14ac:dyDescent="0.25">
      <c r="B192" s="144"/>
      <c r="C192" s="139"/>
      <c r="D192" s="140"/>
      <c r="E192" s="140"/>
      <c r="F192" s="141"/>
      <c r="G192" s="142"/>
      <c r="H192" s="125"/>
      <c r="I192" s="125"/>
      <c r="J192" s="125"/>
      <c r="K192" s="125"/>
      <c r="L192" s="127"/>
      <c r="M192" s="143"/>
      <c r="N192" s="129"/>
    </row>
    <row r="193" spans="2:14" x14ac:dyDescent="0.25">
      <c r="B193" s="130"/>
      <c r="C193" s="131"/>
      <c r="D193" s="132"/>
      <c r="E193" s="132"/>
      <c r="F193" s="133"/>
      <c r="G193" s="134"/>
      <c r="H193" s="134"/>
      <c r="I193" s="134"/>
      <c r="J193" s="134"/>
      <c r="K193" s="134"/>
      <c r="L193" s="136"/>
      <c r="M193" s="137"/>
      <c r="N193" s="138"/>
    </row>
    <row r="194" spans="2:14" x14ac:dyDescent="0.25">
      <c r="B194" s="144"/>
      <c r="C194" s="139"/>
      <c r="D194" s="140"/>
      <c r="E194" s="140"/>
      <c r="F194" s="141"/>
      <c r="G194" s="142"/>
      <c r="H194" s="125"/>
      <c r="I194" s="125"/>
      <c r="J194" s="125"/>
      <c r="K194" s="125"/>
      <c r="L194" s="127"/>
      <c r="M194" s="143"/>
      <c r="N194" s="129"/>
    </row>
    <row r="195" spans="2:14" x14ac:dyDescent="0.25">
      <c r="B195" s="130"/>
      <c r="C195" s="131"/>
      <c r="D195" s="132"/>
      <c r="E195" s="132"/>
      <c r="F195" s="133"/>
      <c r="G195" s="134"/>
      <c r="H195" s="134"/>
      <c r="I195" s="134"/>
      <c r="J195" s="134"/>
      <c r="K195" s="134"/>
      <c r="L195" s="136"/>
      <c r="M195" s="137"/>
      <c r="N195" s="138"/>
    </row>
    <row r="196" spans="2:14" x14ac:dyDescent="0.25">
      <c r="B196" s="144"/>
      <c r="C196" s="139"/>
      <c r="D196" s="140"/>
      <c r="E196" s="140"/>
      <c r="F196" s="141"/>
      <c r="G196" s="142"/>
      <c r="H196" s="125"/>
      <c r="I196" s="125"/>
      <c r="J196" s="125"/>
      <c r="K196" s="125"/>
      <c r="L196" s="127"/>
      <c r="M196" s="143"/>
      <c r="N196" s="129"/>
    </row>
    <row r="197" spans="2:14" x14ac:dyDescent="0.25">
      <c r="B197" s="130"/>
      <c r="C197" s="131"/>
      <c r="D197" s="132"/>
      <c r="E197" s="132"/>
      <c r="F197" s="133"/>
      <c r="G197" s="134"/>
      <c r="H197" s="134"/>
      <c r="I197" s="134"/>
      <c r="J197" s="134"/>
      <c r="K197" s="134"/>
      <c r="L197" s="136"/>
      <c r="M197" s="137"/>
      <c r="N197" s="138"/>
    </row>
    <row r="198" spans="2:14" x14ac:dyDescent="0.25">
      <c r="B198" s="144"/>
      <c r="C198" s="139"/>
      <c r="D198" s="140"/>
      <c r="E198" s="140"/>
      <c r="F198" s="141"/>
      <c r="G198" s="142"/>
      <c r="H198" s="125"/>
      <c r="I198" s="125"/>
      <c r="J198" s="125"/>
      <c r="K198" s="125"/>
      <c r="L198" s="127"/>
      <c r="M198" s="143"/>
      <c r="N198" s="129"/>
    </row>
    <row r="199" spans="2:14" x14ac:dyDescent="0.25">
      <c r="B199" s="130"/>
      <c r="C199" s="131"/>
      <c r="D199" s="132"/>
      <c r="E199" s="132"/>
      <c r="F199" s="133"/>
      <c r="G199" s="134"/>
      <c r="H199" s="134"/>
      <c r="I199" s="134"/>
      <c r="J199" s="134"/>
      <c r="K199" s="134"/>
      <c r="L199" s="136"/>
      <c r="M199" s="137"/>
      <c r="N199" s="138"/>
    </row>
    <row r="200" spans="2:14" x14ac:dyDescent="0.25">
      <c r="B200" s="144"/>
      <c r="C200" s="139"/>
      <c r="D200" s="140"/>
      <c r="E200" s="140"/>
      <c r="F200" s="141"/>
      <c r="G200" s="142"/>
      <c r="H200" s="125"/>
      <c r="I200" s="125"/>
      <c r="J200" s="125"/>
      <c r="K200" s="125"/>
      <c r="L200" s="127"/>
      <c r="M200" s="143"/>
      <c r="N200" s="129"/>
    </row>
    <row r="201" spans="2:14" x14ac:dyDescent="0.25">
      <c r="B201" s="130"/>
      <c r="C201" s="131"/>
      <c r="D201" s="132"/>
      <c r="E201" s="132"/>
      <c r="F201" s="133"/>
      <c r="G201" s="134"/>
      <c r="H201" s="134"/>
      <c r="I201" s="134"/>
      <c r="J201" s="134"/>
      <c r="K201" s="134"/>
      <c r="L201" s="136"/>
      <c r="M201" s="137"/>
      <c r="N201" s="138"/>
    </row>
    <row r="202" spans="2:14" x14ac:dyDescent="0.25">
      <c r="B202" s="144"/>
      <c r="C202" s="139"/>
      <c r="D202" s="140"/>
      <c r="E202" s="140"/>
      <c r="F202" s="141"/>
      <c r="G202" s="142"/>
      <c r="H202" s="125"/>
      <c r="I202" s="125"/>
      <c r="J202" s="125"/>
      <c r="K202" s="125"/>
      <c r="L202" s="127"/>
      <c r="M202" s="143"/>
      <c r="N202" s="129"/>
    </row>
    <row r="203" spans="2:14" x14ac:dyDescent="0.25">
      <c r="B203" s="130"/>
      <c r="C203" s="131"/>
      <c r="D203" s="132"/>
      <c r="E203" s="132"/>
      <c r="F203" s="133"/>
      <c r="G203" s="134"/>
      <c r="H203" s="134"/>
      <c r="I203" s="134"/>
      <c r="J203" s="134"/>
      <c r="K203" s="134"/>
      <c r="L203" s="136"/>
      <c r="M203" s="137"/>
      <c r="N203" s="138"/>
    </row>
    <row r="204" spans="2:14" x14ac:dyDescent="0.25">
      <c r="B204" s="144"/>
      <c r="C204" s="139"/>
      <c r="D204" s="140"/>
      <c r="E204" s="140"/>
      <c r="F204" s="141"/>
      <c r="G204" s="142"/>
      <c r="H204" s="125"/>
      <c r="I204" s="125"/>
      <c r="J204" s="125"/>
      <c r="K204" s="125"/>
      <c r="L204" s="127"/>
      <c r="M204" s="143"/>
      <c r="N204" s="129"/>
    </row>
    <row r="205" spans="2:14" x14ac:dyDescent="0.25">
      <c r="B205" s="130"/>
      <c r="C205" s="131"/>
      <c r="D205" s="132"/>
      <c r="E205" s="132"/>
      <c r="F205" s="133"/>
      <c r="G205" s="134"/>
      <c r="H205" s="134"/>
      <c r="I205" s="134"/>
      <c r="J205" s="134"/>
      <c r="K205" s="134"/>
      <c r="L205" s="136"/>
      <c r="M205" s="137"/>
      <c r="N205" s="138"/>
    </row>
    <row r="206" spans="2:14" x14ac:dyDescent="0.25">
      <c r="B206" s="144"/>
      <c r="C206" s="139"/>
      <c r="D206" s="140"/>
      <c r="E206" s="140"/>
      <c r="F206" s="141"/>
      <c r="G206" s="142"/>
      <c r="H206" s="125"/>
      <c r="I206" s="125"/>
      <c r="J206" s="125"/>
      <c r="K206" s="125"/>
      <c r="L206" s="127"/>
      <c r="M206" s="143"/>
      <c r="N206" s="129"/>
    </row>
    <row r="207" spans="2:14" x14ac:dyDescent="0.25">
      <c r="B207" s="130"/>
      <c r="C207" s="131"/>
      <c r="D207" s="132"/>
      <c r="E207" s="132"/>
      <c r="F207" s="133"/>
      <c r="G207" s="134"/>
      <c r="H207" s="134"/>
      <c r="I207" s="134"/>
      <c r="J207" s="134"/>
      <c r="K207" s="134"/>
      <c r="L207" s="136"/>
      <c r="M207" s="137"/>
      <c r="N207" s="138"/>
    </row>
    <row r="208" spans="2:14" x14ac:dyDescent="0.25">
      <c r="B208" s="144"/>
      <c r="C208" s="139"/>
      <c r="D208" s="140"/>
      <c r="E208" s="140"/>
      <c r="F208" s="141"/>
      <c r="G208" s="142"/>
      <c r="H208" s="125"/>
      <c r="I208" s="125"/>
      <c r="J208" s="125"/>
      <c r="K208" s="125"/>
      <c r="L208" s="127"/>
      <c r="M208" s="143"/>
      <c r="N208" s="129"/>
    </row>
    <row r="209" spans="2:14" x14ac:dyDescent="0.25">
      <c r="B209" s="130"/>
      <c r="C209" s="131"/>
      <c r="D209" s="132"/>
      <c r="E209" s="132"/>
      <c r="F209" s="133"/>
      <c r="G209" s="134"/>
      <c r="H209" s="134"/>
      <c r="I209" s="134"/>
      <c r="J209" s="134"/>
      <c r="K209" s="134"/>
      <c r="L209" s="136"/>
      <c r="M209" s="137"/>
      <c r="N209" s="138"/>
    </row>
    <row r="210" spans="2:14" x14ac:dyDescent="0.25">
      <c r="B210" s="144"/>
      <c r="C210" s="139"/>
      <c r="D210" s="140"/>
      <c r="E210" s="140"/>
      <c r="F210" s="141"/>
      <c r="G210" s="142"/>
      <c r="H210" s="125"/>
      <c r="I210" s="125"/>
      <c r="J210" s="125"/>
      <c r="K210" s="125"/>
      <c r="L210" s="127"/>
      <c r="M210" s="143"/>
      <c r="N210" s="129"/>
    </row>
    <row r="211" spans="2:14" x14ac:dyDescent="0.25">
      <c r="B211" s="130"/>
      <c r="C211" s="131"/>
      <c r="D211" s="132"/>
      <c r="E211" s="132"/>
      <c r="F211" s="133"/>
      <c r="G211" s="134"/>
      <c r="H211" s="134"/>
      <c r="I211" s="134"/>
      <c r="J211" s="134"/>
      <c r="K211" s="134"/>
      <c r="L211" s="136"/>
      <c r="M211" s="137"/>
      <c r="N211" s="138"/>
    </row>
    <row r="212" spans="2:14" x14ac:dyDescent="0.25">
      <c r="B212" s="144"/>
      <c r="C212" s="139"/>
      <c r="D212" s="140"/>
      <c r="E212" s="140"/>
      <c r="F212" s="141"/>
      <c r="G212" s="142"/>
      <c r="H212" s="125"/>
      <c r="I212" s="125"/>
      <c r="J212" s="125"/>
      <c r="K212" s="125"/>
      <c r="L212" s="127"/>
      <c r="M212" s="143"/>
      <c r="N212" s="129"/>
    </row>
    <row r="213" spans="2:14" x14ac:dyDescent="0.25">
      <c r="B213" s="130"/>
      <c r="C213" s="131"/>
      <c r="D213" s="132"/>
      <c r="E213" s="132"/>
      <c r="F213" s="133"/>
      <c r="G213" s="134"/>
      <c r="H213" s="134"/>
      <c r="I213" s="134"/>
      <c r="J213" s="134"/>
      <c r="K213" s="134"/>
      <c r="L213" s="136"/>
      <c r="M213" s="137"/>
      <c r="N213" s="138"/>
    </row>
    <row r="214" spans="2:14" x14ac:dyDescent="0.25">
      <c r="B214" s="144"/>
      <c r="C214" s="139"/>
      <c r="D214" s="140"/>
      <c r="E214" s="140"/>
      <c r="F214" s="141"/>
      <c r="G214" s="142"/>
      <c r="H214" s="125"/>
      <c r="I214" s="125"/>
      <c r="J214" s="125"/>
      <c r="K214" s="125"/>
      <c r="L214" s="127"/>
      <c r="M214" s="143"/>
      <c r="N214" s="129"/>
    </row>
    <row r="215" spans="2:14" x14ac:dyDescent="0.25">
      <c r="B215" s="130"/>
      <c r="C215" s="131"/>
      <c r="D215" s="132"/>
      <c r="E215" s="132"/>
      <c r="F215" s="133"/>
      <c r="G215" s="134"/>
      <c r="H215" s="134"/>
      <c r="I215" s="134"/>
      <c r="J215" s="134"/>
      <c r="K215" s="134"/>
      <c r="L215" s="136"/>
      <c r="M215" s="137"/>
      <c r="N215" s="138"/>
    </row>
    <row r="216" spans="2:14" x14ac:dyDescent="0.25">
      <c r="B216" s="144"/>
      <c r="C216" s="139"/>
      <c r="D216" s="140"/>
      <c r="E216" s="140"/>
      <c r="F216" s="141"/>
      <c r="G216" s="142"/>
      <c r="H216" s="125"/>
      <c r="I216" s="125"/>
      <c r="J216" s="125"/>
      <c r="K216" s="125"/>
      <c r="L216" s="127"/>
      <c r="M216" s="143"/>
      <c r="N216" s="129"/>
    </row>
    <row r="217" spans="2:14" x14ac:dyDescent="0.25">
      <c r="B217" s="130"/>
      <c r="C217" s="131"/>
      <c r="D217" s="132"/>
      <c r="E217" s="132"/>
      <c r="F217" s="133"/>
      <c r="G217" s="134"/>
      <c r="H217" s="134"/>
      <c r="I217" s="134"/>
      <c r="J217" s="134"/>
      <c r="K217" s="134"/>
      <c r="L217" s="136"/>
      <c r="M217" s="137"/>
      <c r="N217" s="138"/>
    </row>
    <row r="218" spans="2:14" x14ac:dyDescent="0.25">
      <c r="B218" s="144"/>
      <c r="C218" s="139"/>
      <c r="D218" s="140"/>
      <c r="E218" s="140"/>
      <c r="F218" s="141"/>
      <c r="G218" s="142"/>
      <c r="H218" s="125"/>
      <c r="I218" s="125"/>
      <c r="J218" s="125"/>
      <c r="K218" s="125"/>
      <c r="L218" s="127"/>
      <c r="M218" s="143"/>
      <c r="N218" s="129"/>
    </row>
    <row r="219" spans="2:14" x14ac:dyDescent="0.25">
      <c r="B219" s="130"/>
      <c r="C219" s="131"/>
      <c r="D219" s="132"/>
      <c r="E219" s="132"/>
      <c r="F219" s="133"/>
      <c r="G219" s="134"/>
      <c r="H219" s="134"/>
      <c r="I219" s="134"/>
      <c r="J219" s="134"/>
      <c r="K219" s="134"/>
      <c r="L219" s="136"/>
      <c r="M219" s="137"/>
      <c r="N219" s="138"/>
    </row>
    <row r="220" spans="2:14" x14ac:dyDescent="0.25">
      <c r="B220" s="144"/>
      <c r="C220" s="139"/>
      <c r="D220" s="140"/>
      <c r="E220" s="140"/>
      <c r="F220" s="141"/>
      <c r="G220" s="142"/>
      <c r="H220" s="125"/>
      <c r="I220" s="125"/>
      <c r="J220" s="125"/>
      <c r="K220" s="125"/>
      <c r="L220" s="127"/>
      <c r="M220" s="143"/>
      <c r="N220" s="129"/>
    </row>
    <row r="221" spans="2:14" x14ac:dyDescent="0.25">
      <c r="B221" s="130"/>
      <c r="C221" s="131"/>
      <c r="D221" s="132"/>
      <c r="E221" s="132"/>
      <c r="F221" s="133"/>
      <c r="G221" s="134"/>
      <c r="H221" s="134"/>
      <c r="I221" s="134"/>
      <c r="J221" s="134"/>
      <c r="K221" s="134"/>
      <c r="L221" s="136"/>
      <c r="M221" s="137"/>
      <c r="N221" s="138"/>
    </row>
    <row r="222" spans="2:14" x14ac:dyDescent="0.25">
      <c r="B222" s="144"/>
      <c r="C222" s="139"/>
      <c r="D222" s="140"/>
      <c r="E222" s="140"/>
      <c r="F222" s="141"/>
      <c r="G222" s="142"/>
      <c r="H222" s="125"/>
      <c r="I222" s="125"/>
      <c r="J222" s="125"/>
      <c r="K222" s="125"/>
      <c r="L222" s="127"/>
      <c r="M222" s="143"/>
      <c r="N222" s="129"/>
    </row>
    <row r="223" spans="2:14" x14ac:dyDescent="0.25">
      <c r="B223" s="130"/>
      <c r="C223" s="131"/>
      <c r="D223" s="132"/>
      <c r="E223" s="132"/>
      <c r="F223" s="133"/>
      <c r="G223" s="134"/>
      <c r="H223" s="134"/>
      <c r="I223" s="134"/>
      <c r="J223" s="134"/>
      <c r="K223" s="134"/>
      <c r="L223" s="136"/>
      <c r="M223" s="137"/>
      <c r="N223" s="138"/>
    </row>
    <row r="224" spans="2:14" x14ac:dyDescent="0.25">
      <c r="B224" s="144"/>
      <c r="C224" s="139"/>
      <c r="D224" s="140"/>
      <c r="E224" s="140"/>
      <c r="F224" s="141"/>
      <c r="G224" s="142"/>
      <c r="H224" s="125"/>
      <c r="I224" s="125"/>
      <c r="J224" s="125"/>
      <c r="K224" s="125"/>
      <c r="L224" s="127"/>
      <c r="M224" s="143"/>
      <c r="N224" s="129"/>
    </row>
    <row r="225" spans="2:14" x14ac:dyDescent="0.25">
      <c r="B225" s="130"/>
      <c r="C225" s="131"/>
      <c r="D225" s="132"/>
      <c r="E225" s="132"/>
      <c r="F225" s="133"/>
      <c r="G225" s="134"/>
      <c r="H225" s="134"/>
      <c r="I225" s="134"/>
      <c r="J225" s="134"/>
      <c r="K225" s="134"/>
      <c r="L225" s="136"/>
      <c r="M225" s="137"/>
      <c r="N225" s="138"/>
    </row>
    <row r="226" spans="2:14" x14ac:dyDescent="0.25">
      <c r="B226" s="144"/>
      <c r="C226" s="139"/>
      <c r="D226" s="140"/>
      <c r="E226" s="140"/>
      <c r="F226" s="141"/>
      <c r="G226" s="142"/>
      <c r="H226" s="125"/>
      <c r="I226" s="125"/>
      <c r="J226" s="125"/>
      <c r="K226" s="125"/>
      <c r="L226" s="127"/>
      <c r="M226" s="143"/>
      <c r="N226" s="129"/>
    </row>
    <row r="227" spans="2:14" x14ac:dyDescent="0.25">
      <c r="B227" s="130"/>
      <c r="C227" s="131"/>
      <c r="D227" s="132"/>
      <c r="E227" s="132"/>
      <c r="F227" s="133"/>
      <c r="G227" s="134"/>
      <c r="H227" s="134"/>
      <c r="I227" s="134"/>
      <c r="J227" s="134"/>
      <c r="K227" s="134"/>
      <c r="L227" s="136"/>
      <c r="M227" s="137"/>
      <c r="N227" s="138"/>
    </row>
    <row r="228" spans="2:14" x14ac:dyDescent="0.25">
      <c r="B228" s="144"/>
      <c r="C228" s="139"/>
      <c r="D228" s="140"/>
      <c r="E228" s="140"/>
      <c r="F228" s="141"/>
      <c r="G228" s="142"/>
      <c r="H228" s="125"/>
      <c r="I228" s="125"/>
      <c r="J228" s="125"/>
      <c r="K228" s="125"/>
      <c r="L228" s="127"/>
      <c r="M228" s="143"/>
      <c r="N228" s="129"/>
    </row>
    <row r="229" spans="2:14" x14ac:dyDescent="0.25">
      <c r="B229" s="130"/>
      <c r="C229" s="131"/>
      <c r="D229" s="132"/>
      <c r="E229" s="132"/>
      <c r="F229" s="133"/>
      <c r="G229" s="134"/>
      <c r="H229" s="134"/>
      <c r="I229" s="134"/>
      <c r="J229" s="134"/>
      <c r="K229" s="134"/>
      <c r="L229" s="136"/>
      <c r="M229" s="137"/>
      <c r="N229" s="138"/>
    </row>
    <row r="230" spans="2:14" x14ac:dyDescent="0.25">
      <c r="B230" s="144"/>
      <c r="C230" s="139"/>
      <c r="D230" s="140"/>
      <c r="E230" s="140"/>
      <c r="F230" s="141"/>
      <c r="G230" s="142"/>
      <c r="H230" s="125"/>
      <c r="I230" s="125"/>
      <c r="J230" s="125"/>
      <c r="K230" s="125"/>
      <c r="L230" s="127"/>
      <c r="M230" s="143"/>
      <c r="N230" s="129"/>
    </row>
    <row r="231" spans="2:14" x14ac:dyDescent="0.25">
      <c r="B231" s="130"/>
      <c r="C231" s="131"/>
      <c r="D231" s="132"/>
      <c r="E231" s="132"/>
      <c r="F231" s="133"/>
      <c r="G231" s="134"/>
      <c r="H231" s="134"/>
      <c r="I231" s="134"/>
      <c r="J231" s="134"/>
      <c r="K231" s="134"/>
      <c r="L231" s="136"/>
      <c r="M231" s="137"/>
      <c r="N231" s="138"/>
    </row>
    <row r="232" spans="2:14" x14ac:dyDescent="0.25">
      <c r="B232" s="144"/>
      <c r="C232" s="139"/>
      <c r="D232" s="140"/>
      <c r="E232" s="140"/>
      <c r="F232" s="141"/>
      <c r="G232" s="142"/>
      <c r="H232" s="125"/>
      <c r="I232" s="125"/>
      <c r="J232" s="125"/>
      <c r="K232" s="125"/>
      <c r="L232" s="127"/>
      <c r="M232" s="143"/>
      <c r="N232" s="129"/>
    </row>
    <row r="233" spans="2:14" x14ac:dyDescent="0.25">
      <c r="B233" s="130"/>
      <c r="C233" s="131"/>
      <c r="D233" s="132"/>
      <c r="E233" s="132"/>
      <c r="F233" s="133"/>
      <c r="G233" s="134"/>
      <c r="H233" s="134"/>
      <c r="I233" s="134"/>
      <c r="J233" s="134"/>
      <c r="K233" s="134"/>
      <c r="L233" s="136"/>
      <c r="M233" s="137"/>
      <c r="N233" s="138"/>
    </row>
    <row r="234" spans="2:14" x14ac:dyDescent="0.25">
      <c r="B234" s="144"/>
      <c r="C234" s="139"/>
      <c r="D234" s="140"/>
      <c r="E234" s="140"/>
      <c r="F234" s="141"/>
      <c r="G234" s="142"/>
      <c r="H234" s="125"/>
      <c r="I234" s="125"/>
      <c r="J234" s="125"/>
      <c r="K234" s="125"/>
      <c r="L234" s="127"/>
      <c r="M234" s="143"/>
      <c r="N234" s="129"/>
    </row>
    <row r="235" spans="2:14" x14ac:dyDescent="0.25">
      <c r="B235" s="130"/>
      <c r="C235" s="131"/>
      <c r="D235" s="132"/>
      <c r="E235" s="132"/>
      <c r="F235" s="133"/>
      <c r="G235" s="134"/>
      <c r="H235" s="134"/>
      <c r="I235" s="134"/>
      <c r="J235" s="134"/>
      <c r="K235" s="134"/>
      <c r="L235" s="136"/>
      <c r="M235" s="137"/>
      <c r="N235" s="138"/>
    </row>
    <row r="236" spans="2:14" x14ac:dyDescent="0.25">
      <c r="B236" s="144"/>
      <c r="C236" s="139"/>
      <c r="D236" s="140"/>
      <c r="E236" s="140"/>
      <c r="F236" s="141"/>
      <c r="G236" s="142"/>
      <c r="H236" s="125"/>
      <c r="I236" s="125"/>
      <c r="J236" s="125"/>
      <c r="K236" s="125"/>
      <c r="L236" s="127"/>
      <c r="M236" s="143"/>
      <c r="N236" s="129"/>
    </row>
    <row r="237" spans="2:14" x14ac:dyDescent="0.25">
      <c r="B237" s="130"/>
      <c r="C237" s="131"/>
      <c r="D237" s="132"/>
      <c r="E237" s="132"/>
      <c r="F237" s="133"/>
      <c r="G237" s="134"/>
      <c r="H237" s="134"/>
      <c r="I237" s="134"/>
      <c r="J237" s="134"/>
      <c r="K237" s="134"/>
      <c r="L237" s="136"/>
      <c r="M237" s="137"/>
      <c r="N237" s="138"/>
    </row>
    <row r="238" spans="2:14" x14ac:dyDescent="0.25">
      <c r="B238" s="144"/>
      <c r="C238" s="139"/>
      <c r="D238" s="140"/>
      <c r="E238" s="140"/>
      <c r="F238" s="141"/>
      <c r="G238" s="142"/>
      <c r="H238" s="125"/>
      <c r="I238" s="125"/>
      <c r="J238" s="125"/>
      <c r="K238" s="125"/>
      <c r="L238" s="127"/>
      <c r="M238" s="143"/>
      <c r="N238" s="129"/>
    </row>
    <row r="239" spans="2:14" x14ac:dyDescent="0.25">
      <c r="B239" s="130"/>
      <c r="C239" s="131"/>
      <c r="D239" s="132"/>
      <c r="E239" s="132"/>
      <c r="F239" s="133"/>
      <c r="G239" s="134"/>
      <c r="H239" s="134"/>
      <c r="I239" s="134"/>
      <c r="J239" s="134"/>
      <c r="K239" s="134"/>
      <c r="L239" s="136"/>
      <c r="M239" s="137"/>
      <c r="N239" s="138"/>
    </row>
    <row r="240" spans="2:14" x14ac:dyDescent="0.25">
      <c r="B240" s="144"/>
      <c r="C240" s="139"/>
      <c r="D240" s="140"/>
      <c r="E240" s="140"/>
      <c r="F240" s="141"/>
      <c r="G240" s="142"/>
      <c r="H240" s="125"/>
      <c r="I240" s="125"/>
      <c r="J240" s="125"/>
      <c r="K240" s="125"/>
      <c r="L240" s="127"/>
      <c r="M240" s="143"/>
      <c r="N240" s="129"/>
    </row>
    <row r="241" spans="2:14" x14ac:dyDescent="0.25">
      <c r="B241" s="130"/>
      <c r="C241" s="131"/>
      <c r="D241" s="132"/>
      <c r="E241" s="132"/>
      <c r="F241" s="133"/>
      <c r="G241" s="134"/>
      <c r="H241" s="134"/>
      <c r="I241" s="134"/>
      <c r="J241" s="134"/>
      <c r="K241" s="134"/>
      <c r="L241" s="136"/>
      <c r="M241" s="137"/>
      <c r="N241" s="138"/>
    </row>
    <row r="242" spans="2:14" x14ac:dyDescent="0.25">
      <c r="B242" s="144"/>
      <c r="C242" s="139"/>
      <c r="D242" s="140"/>
      <c r="E242" s="140"/>
      <c r="F242" s="141"/>
      <c r="G242" s="142"/>
      <c r="H242" s="125"/>
      <c r="I242" s="125"/>
      <c r="J242" s="125"/>
      <c r="K242" s="125"/>
      <c r="L242" s="127"/>
      <c r="M242" s="143"/>
      <c r="N242" s="129"/>
    </row>
    <row r="243" spans="2:14" x14ac:dyDescent="0.25">
      <c r="B243" s="130"/>
      <c r="C243" s="131"/>
      <c r="D243" s="132"/>
      <c r="E243" s="132"/>
      <c r="F243" s="133"/>
      <c r="G243" s="134"/>
      <c r="H243" s="134"/>
      <c r="I243" s="134"/>
      <c r="J243" s="134"/>
      <c r="K243" s="134"/>
      <c r="L243" s="136"/>
      <c r="M243" s="137"/>
      <c r="N243" s="138"/>
    </row>
    <row r="244" spans="2:14" x14ac:dyDescent="0.25">
      <c r="B244" s="144"/>
      <c r="C244" s="139"/>
      <c r="D244" s="140"/>
      <c r="E244" s="140"/>
      <c r="F244" s="141"/>
      <c r="G244" s="142"/>
      <c r="H244" s="125"/>
      <c r="I244" s="125"/>
      <c r="J244" s="125"/>
      <c r="K244" s="125"/>
      <c r="L244" s="127"/>
      <c r="M244" s="143"/>
      <c r="N244" s="129"/>
    </row>
    <row r="245" spans="2:14" x14ac:dyDescent="0.25">
      <c r="B245" s="130"/>
      <c r="C245" s="131"/>
      <c r="D245" s="132"/>
      <c r="E245" s="132"/>
      <c r="F245" s="133"/>
      <c r="G245" s="134"/>
      <c r="H245" s="134"/>
      <c r="I245" s="134"/>
      <c r="J245" s="134"/>
      <c r="K245" s="134"/>
      <c r="L245" s="136"/>
      <c r="M245" s="137"/>
      <c r="N245" s="138"/>
    </row>
    <row r="246" spans="2:14" x14ac:dyDescent="0.25">
      <c r="B246" s="144"/>
      <c r="C246" s="139"/>
      <c r="D246" s="140"/>
      <c r="E246" s="140"/>
      <c r="F246" s="141"/>
      <c r="G246" s="142"/>
      <c r="H246" s="125"/>
      <c r="I246" s="125"/>
      <c r="J246" s="125"/>
      <c r="K246" s="125"/>
      <c r="L246" s="127"/>
      <c r="M246" s="143"/>
      <c r="N246" s="129"/>
    </row>
    <row r="247" spans="2:14" x14ac:dyDescent="0.25">
      <c r="B247" s="130"/>
      <c r="C247" s="131"/>
      <c r="D247" s="132"/>
      <c r="E247" s="132"/>
      <c r="F247" s="133"/>
      <c r="G247" s="134"/>
      <c r="H247" s="134"/>
      <c r="I247" s="134"/>
      <c r="J247" s="134"/>
      <c r="K247" s="134"/>
      <c r="L247" s="136"/>
      <c r="M247" s="137"/>
      <c r="N247" s="138"/>
    </row>
    <row r="248" spans="2:14" x14ac:dyDescent="0.25">
      <c r="B248" s="144"/>
      <c r="C248" s="139"/>
      <c r="D248" s="140"/>
      <c r="E248" s="140"/>
      <c r="F248" s="141"/>
      <c r="G248" s="142"/>
      <c r="H248" s="125"/>
      <c r="I248" s="125"/>
      <c r="J248" s="125"/>
      <c r="K248" s="125"/>
      <c r="L248" s="127"/>
      <c r="M248" s="143"/>
      <c r="N248" s="129"/>
    </row>
    <row r="249" spans="2:14" x14ac:dyDescent="0.25">
      <c r="B249" s="130"/>
      <c r="C249" s="131"/>
      <c r="D249" s="132"/>
      <c r="E249" s="132"/>
      <c r="F249" s="133"/>
      <c r="G249" s="134"/>
      <c r="H249" s="134"/>
      <c r="I249" s="134"/>
      <c r="J249" s="134"/>
      <c r="K249" s="134"/>
      <c r="L249" s="136"/>
      <c r="M249" s="137"/>
      <c r="N249" s="138"/>
    </row>
    <row r="250" spans="2:14" x14ac:dyDescent="0.25">
      <c r="B250" s="144"/>
      <c r="C250" s="139"/>
      <c r="D250" s="140"/>
      <c r="E250" s="140"/>
      <c r="F250" s="141"/>
      <c r="G250" s="142"/>
      <c r="H250" s="125"/>
      <c r="I250" s="125"/>
      <c r="J250" s="125"/>
      <c r="K250" s="125"/>
      <c r="L250" s="127"/>
      <c r="M250" s="143"/>
      <c r="N250" s="129"/>
    </row>
    <row r="251" spans="2:14" x14ac:dyDescent="0.25">
      <c r="B251" s="130"/>
      <c r="C251" s="131"/>
      <c r="D251" s="132"/>
      <c r="E251" s="132"/>
      <c r="F251" s="133"/>
      <c r="G251" s="134"/>
      <c r="H251" s="134"/>
      <c r="I251" s="134"/>
      <c r="J251" s="134"/>
      <c r="K251" s="134"/>
      <c r="L251" s="136"/>
      <c r="M251" s="137"/>
      <c r="N251" s="138"/>
    </row>
    <row r="252" spans="2:14" x14ac:dyDescent="0.25">
      <c r="B252" s="144"/>
      <c r="C252" s="139"/>
      <c r="D252" s="140"/>
      <c r="E252" s="140"/>
      <c r="F252" s="141"/>
      <c r="G252" s="142"/>
      <c r="H252" s="125"/>
      <c r="I252" s="125"/>
      <c r="J252" s="125"/>
      <c r="K252" s="125"/>
      <c r="L252" s="127"/>
      <c r="M252" s="143"/>
      <c r="N252" s="129"/>
    </row>
    <row r="253" spans="2:14" x14ac:dyDescent="0.25">
      <c r="B253" s="130"/>
      <c r="C253" s="131"/>
      <c r="D253" s="132"/>
      <c r="E253" s="132"/>
      <c r="F253" s="133"/>
      <c r="G253" s="134"/>
      <c r="H253" s="134"/>
      <c r="I253" s="134"/>
      <c r="J253" s="134"/>
      <c r="K253" s="134"/>
      <c r="L253" s="136"/>
      <c r="M253" s="137"/>
      <c r="N253" s="138"/>
    </row>
    <row r="254" spans="2:14" x14ac:dyDescent="0.25">
      <c r="B254" s="144"/>
      <c r="C254" s="139"/>
      <c r="D254" s="140"/>
      <c r="E254" s="140"/>
      <c r="F254" s="141"/>
      <c r="G254" s="142"/>
      <c r="H254" s="125"/>
      <c r="I254" s="125"/>
      <c r="J254" s="125"/>
      <c r="K254" s="125"/>
      <c r="L254" s="127"/>
      <c r="M254" s="143"/>
      <c r="N254" s="129"/>
    </row>
    <row r="255" spans="2:14" x14ac:dyDescent="0.25">
      <c r="B255" s="130"/>
      <c r="C255" s="131"/>
      <c r="D255" s="132"/>
      <c r="E255" s="132"/>
      <c r="F255" s="133"/>
      <c r="G255" s="134"/>
      <c r="H255" s="134"/>
      <c r="I255" s="134"/>
      <c r="J255" s="134"/>
      <c r="K255" s="134"/>
      <c r="L255" s="136"/>
      <c r="M255" s="137"/>
      <c r="N255" s="138"/>
    </row>
    <row r="256" spans="2:14" x14ac:dyDescent="0.25">
      <c r="B256" s="144"/>
      <c r="C256" s="139"/>
      <c r="D256" s="140"/>
      <c r="E256" s="140"/>
      <c r="F256" s="141"/>
      <c r="G256" s="142"/>
      <c r="H256" s="125"/>
      <c r="I256" s="125"/>
      <c r="J256" s="125"/>
      <c r="K256" s="125"/>
      <c r="L256" s="127"/>
      <c r="M256" s="143"/>
      <c r="N256" s="129"/>
    </row>
    <row r="257" spans="2:14" x14ac:dyDescent="0.25">
      <c r="B257" s="130"/>
      <c r="C257" s="131"/>
      <c r="D257" s="132"/>
      <c r="E257" s="132"/>
      <c r="F257" s="133"/>
      <c r="G257" s="134"/>
      <c r="H257" s="134"/>
      <c r="I257" s="134"/>
      <c r="J257" s="134"/>
      <c r="K257" s="134"/>
      <c r="L257" s="136"/>
      <c r="M257" s="137"/>
      <c r="N257" s="138"/>
    </row>
    <row r="258" spans="2:14" x14ac:dyDescent="0.25">
      <c r="B258" s="144"/>
      <c r="C258" s="139"/>
      <c r="D258" s="140"/>
      <c r="E258" s="140"/>
      <c r="F258" s="141"/>
      <c r="G258" s="142"/>
      <c r="H258" s="125"/>
      <c r="I258" s="125"/>
      <c r="J258" s="125"/>
      <c r="K258" s="125"/>
      <c r="L258" s="127"/>
      <c r="M258" s="143"/>
      <c r="N258" s="129"/>
    </row>
    <row r="259" spans="2:14" x14ac:dyDescent="0.25">
      <c r="B259" s="130"/>
      <c r="C259" s="131"/>
      <c r="D259" s="132"/>
      <c r="E259" s="132"/>
      <c r="F259" s="133"/>
      <c r="G259" s="134"/>
      <c r="H259" s="134"/>
      <c r="I259" s="134"/>
      <c r="J259" s="134"/>
      <c r="K259" s="134"/>
      <c r="L259" s="136"/>
      <c r="M259" s="137"/>
      <c r="N259" s="138"/>
    </row>
    <row r="260" spans="2:14" x14ac:dyDescent="0.25">
      <c r="B260" s="144"/>
      <c r="C260" s="139"/>
      <c r="D260" s="140"/>
      <c r="E260" s="140"/>
      <c r="F260" s="141"/>
      <c r="G260" s="142"/>
      <c r="H260" s="125"/>
      <c r="I260" s="125"/>
      <c r="J260" s="125"/>
      <c r="K260" s="125"/>
      <c r="L260" s="127"/>
      <c r="M260" s="143"/>
      <c r="N260" s="129"/>
    </row>
    <row r="261" spans="2:14" x14ac:dyDescent="0.25">
      <c r="B261" s="130"/>
      <c r="C261" s="131"/>
      <c r="D261" s="132"/>
      <c r="E261" s="132"/>
      <c r="F261" s="133"/>
      <c r="G261" s="134"/>
      <c r="H261" s="134"/>
      <c r="I261" s="134"/>
      <c r="J261" s="134"/>
      <c r="K261" s="134"/>
      <c r="L261" s="136"/>
      <c r="M261" s="137"/>
      <c r="N261" s="138"/>
    </row>
    <row r="262" spans="2:14" x14ac:dyDescent="0.25">
      <c r="B262" s="144"/>
      <c r="C262" s="139"/>
      <c r="D262" s="140"/>
      <c r="E262" s="140"/>
      <c r="F262" s="141"/>
      <c r="G262" s="142"/>
      <c r="H262" s="125"/>
      <c r="I262" s="125"/>
      <c r="J262" s="125"/>
      <c r="K262" s="125"/>
      <c r="L262" s="127"/>
      <c r="M262" s="143"/>
      <c r="N262" s="129"/>
    </row>
    <row r="263" spans="2:14" x14ac:dyDescent="0.25">
      <c r="B263" s="130"/>
      <c r="C263" s="131"/>
      <c r="D263" s="132"/>
      <c r="E263" s="132"/>
      <c r="F263" s="133"/>
      <c r="G263" s="134"/>
      <c r="H263" s="134"/>
      <c r="I263" s="134"/>
      <c r="J263" s="134"/>
      <c r="K263" s="134"/>
      <c r="L263" s="136"/>
      <c r="M263" s="137"/>
      <c r="N263" s="138"/>
    </row>
    <row r="264" spans="2:14" x14ac:dyDescent="0.25">
      <c r="B264" s="144"/>
      <c r="C264" s="139"/>
      <c r="D264" s="140"/>
      <c r="E264" s="140"/>
      <c r="F264" s="141"/>
      <c r="G264" s="142"/>
      <c r="H264" s="125"/>
      <c r="I264" s="125"/>
      <c r="J264" s="125"/>
      <c r="K264" s="125"/>
      <c r="L264" s="127"/>
      <c r="M264" s="143"/>
      <c r="N264" s="129"/>
    </row>
    <row r="265" spans="2:14" x14ac:dyDescent="0.25">
      <c r="B265" s="130"/>
      <c r="C265" s="131"/>
      <c r="D265" s="132"/>
      <c r="E265" s="132"/>
      <c r="F265" s="133"/>
      <c r="G265" s="134"/>
      <c r="H265" s="134"/>
      <c r="I265" s="134"/>
      <c r="J265" s="134"/>
      <c r="K265" s="134"/>
      <c r="L265" s="136"/>
      <c r="M265" s="137"/>
      <c r="N265" s="138"/>
    </row>
    <row r="266" spans="2:14" x14ac:dyDescent="0.25">
      <c r="B266" s="144"/>
      <c r="C266" s="139"/>
      <c r="D266" s="140"/>
      <c r="E266" s="140"/>
      <c r="F266" s="141"/>
      <c r="G266" s="142"/>
      <c r="H266" s="125"/>
      <c r="I266" s="125"/>
      <c r="J266" s="125"/>
      <c r="K266" s="125"/>
      <c r="L266" s="127"/>
      <c r="M266" s="143"/>
      <c r="N266" s="129"/>
    </row>
    <row r="267" spans="2:14" x14ac:dyDescent="0.25">
      <c r="B267" s="130"/>
      <c r="C267" s="131"/>
      <c r="D267" s="132"/>
      <c r="E267" s="132"/>
      <c r="F267" s="133"/>
      <c r="G267" s="134"/>
      <c r="H267" s="134"/>
      <c r="I267" s="134"/>
      <c r="J267" s="134"/>
      <c r="K267" s="134"/>
      <c r="L267" s="136"/>
      <c r="M267" s="137"/>
      <c r="N267" s="138"/>
    </row>
    <row r="268" spans="2:14" x14ac:dyDescent="0.25">
      <c r="B268" s="144"/>
      <c r="C268" s="139"/>
      <c r="D268" s="140"/>
      <c r="E268" s="140"/>
      <c r="F268" s="141"/>
      <c r="G268" s="142"/>
      <c r="H268" s="125"/>
      <c r="I268" s="125"/>
      <c r="J268" s="125"/>
      <c r="K268" s="125"/>
      <c r="L268" s="127"/>
      <c r="M268" s="143"/>
      <c r="N268" s="129"/>
    </row>
    <row r="269" spans="2:14" x14ac:dyDescent="0.25">
      <c r="B269" s="130"/>
      <c r="C269" s="131"/>
      <c r="D269" s="132"/>
      <c r="E269" s="132"/>
      <c r="F269" s="133"/>
      <c r="G269" s="134"/>
      <c r="H269" s="134"/>
      <c r="I269" s="134"/>
      <c r="J269" s="134"/>
      <c r="K269" s="134"/>
      <c r="L269" s="136"/>
      <c r="M269" s="137"/>
      <c r="N269" s="138"/>
    </row>
    <row r="270" spans="2:14" x14ac:dyDescent="0.25">
      <c r="B270" s="144"/>
      <c r="C270" s="139"/>
      <c r="D270" s="140"/>
      <c r="E270" s="140"/>
      <c r="F270" s="141"/>
      <c r="G270" s="142"/>
      <c r="H270" s="125"/>
      <c r="I270" s="125"/>
      <c r="J270" s="125"/>
      <c r="K270" s="125"/>
      <c r="L270" s="127"/>
      <c r="M270" s="143"/>
      <c r="N270" s="129"/>
    </row>
    <row r="271" spans="2:14" x14ac:dyDescent="0.25">
      <c r="B271" s="130"/>
      <c r="C271" s="131"/>
      <c r="D271" s="132"/>
      <c r="E271" s="132"/>
      <c r="F271" s="133"/>
      <c r="G271" s="134"/>
      <c r="H271" s="134"/>
      <c r="I271" s="134"/>
      <c r="J271" s="134"/>
      <c r="K271" s="134"/>
      <c r="L271" s="136"/>
      <c r="M271" s="137"/>
      <c r="N271" s="138"/>
    </row>
    <row r="272" spans="2:14" x14ac:dyDescent="0.25">
      <c r="B272" s="144"/>
      <c r="C272" s="139"/>
      <c r="D272" s="140"/>
      <c r="E272" s="140"/>
      <c r="F272" s="141"/>
      <c r="G272" s="142"/>
      <c r="H272" s="125"/>
      <c r="I272" s="125"/>
      <c r="J272" s="125"/>
      <c r="K272" s="125"/>
      <c r="L272" s="127"/>
      <c r="M272" s="143"/>
      <c r="N272" s="129"/>
    </row>
    <row r="273" spans="2:14" x14ac:dyDescent="0.25">
      <c r="B273" s="130"/>
      <c r="C273" s="131"/>
      <c r="D273" s="132"/>
      <c r="E273" s="132"/>
      <c r="F273" s="133"/>
      <c r="G273" s="134"/>
      <c r="H273" s="134"/>
      <c r="I273" s="134"/>
      <c r="J273" s="134"/>
      <c r="K273" s="134"/>
      <c r="L273" s="136"/>
      <c r="M273" s="137"/>
      <c r="N273" s="138"/>
    </row>
    <row r="274" spans="2:14" x14ac:dyDescent="0.25">
      <c r="B274" s="144"/>
      <c r="C274" s="139"/>
      <c r="D274" s="140"/>
      <c r="E274" s="140"/>
      <c r="F274" s="141"/>
      <c r="G274" s="142"/>
      <c r="H274" s="125"/>
      <c r="I274" s="125"/>
      <c r="J274" s="125"/>
      <c r="K274" s="125"/>
      <c r="L274" s="127"/>
      <c r="M274" s="143"/>
      <c r="N274" s="129"/>
    </row>
    <row r="275" spans="2:14" x14ac:dyDescent="0.25">
      <c r="B275" s="130"/>
      <c r="C275" s="131"/>
      <c r="D275" s="132"/>
      <c r="E275" s="132"/>
      <c r="F275" s="133"/>
      <c r="G275" s="134"/>
      <c r="H275" s="134"/>
      <c r="I275" s="134"/>
      <c r="J275" s="134"/>
      <c r="K275" s="134"/>
      <c r="L275" s="136"/>
      <c r="M275" s="137"/>
      <c r="N275" s="138"/>
    </row>
    <row r="276" spans="2:14" x14ac:dyDescent="0.25">
      <c r="B276" s="144"/>
      <c r="C276" s="139"/>
      <c r="D276" s="140"/>
      <c r="E276" s="140"/>
      <c r="F276" s="141"/>
      <c r="G276" s="142"/>
      <c r="H276" s="125"/>
      <c r="I276" s="125"/>
      <c r="J276" s="125"/>
      <c r="K276" s="125"/>
      <c r="L276" s="127"/>
      <c r="M276" s="143"/>
      <c r="N276" s="129"/>
    </row>
    <row r="277" spans="2:14" x14ac:dyDescent="0.25">
      <c r="B277" s="130"/>
      <c r="C277" s="131"/>
      <c r="D277" s="132"/>
      <c r="E277" s="132"/>
      <c r="F277" s="133"/>
      <c r="G277" s="134"/>
      <c r="H277" s="134"/>
      <c r="I277" s="134"/>
      <c r="J277" s="134"/>
      <c r="K277" s="134"/>
      <c r="L277" s="136"/>
      <c r="M277" s="137"/>
      <c r="N277" s="138"/>
    </row>
    <row r="278" spans="2:14" x14ac:dyDescent="0.25">
      <c r="B278" s="144"/>
      <c r="C278" s="139"/>
      <c r="D278" s="140"/>
      <c r="E278" s="140"/>
      <c r="F278" s="141"/>
      <c r="G278" s="142"/>
      <c r="H278" s="125"/>
      <c r="I278" s="125"/>
      <c r="J278" s="125"/>
      <c r="K278" s="125"/>
      <c r="L278" s="127"/>
      <c r="M278" s="143"/>
      <c r="N278" s="129"/>
    </row>
    <row r="279" spans="2:14" x14ac:dyDescent="0.25">
      <c r="B279" s="130"/>
      <c r="C279" s="131"/>
      <c r="D279" s="132"/>
      <c r="E279" s="132"/>
      <c r="F279" s="133"/>
      <c r="G279" s="134"/>
      <c r="H279" s="134"/>
      <c r="I279" s="134"/>
      <c r="J279" s="134"/>
      <c r="K279" s="134"/>
      <c r="L279" s="136"/>
      <c r="M279" s="137"/>
      <c r="N279" s="138"/>
    </row>
    <row r="280" spans="2:14" x14ac:dyDescent="0.25">
      <c r="B280" s="144"/>
      <c r="C280" s="139"/>
      <c r="D280" s="140"/>
      <c r="E280" s="140"/>
      <c r="F280" s="141"/>
      <c r="G280" s="142"/>
      <c r="H280" s="125"/>
      <c r="I280" s="125"/>
      <c r="J280" s="125"/>
      <c r="K280" s="125"/>
      <c r="L280" s="127"/>
      <c r="M280" s="143"/>
      <c r="N280" s="129"/>
    </row>
    <row r="281" spans="2:14" x14ac:dyDescent="0.25">
      <c r="B281" s="130"/>
      <c r="C281" s="131"/>
      <c r="D281" s="132"/>
      <c r="E281" s="132"/>
      <c r="F281" s="133"/>
      <c r="G281" s="134"/>
      <c r="H281" s="134"/>
      <c r="I281" s="134"/>
      <c r="J281" s="134"/>
      <c r="K281" s="134"/>
      <c r="L281" s="136"/>
      <c r="M281" s="137"/>
      <c r="N281" s="138"/>
    </row>
    <row r="282" spans="2:14" x14ac:dyDescent="0.25">
      <c r="B282" s="144"/>
      <c r="C282" s="139"/>
      <c r="D282" s="140"/>
      <c r="E282" s="140"/>
      <c r="F282" s="141"/>
      <c r="G282" s="142"/>
      <c r="H282" s="125"/>
      <c r="I282" s="125"/>
      <c r="J282" s="125"/>
      <c r="K282" s="125"/>
      <c r="L282" s="127"/>
      <c r="M282" s="143"/>
      <c r="N282" s="129"/>
    </row>
    <row r="283" spans="2:14" x14ac:dyDescent="0.25">
      <c r="B283" s="130"/>
      <c r="C283" s="131"/>
      <c r="D283" s="132"/>
      <c r="E283" s="132"/>
      <c r="F283" s="133"/>
      <c r="G283" s="134"/>
      <c r="H283" s="134"/>
      <c r="I283" s="134"/>
      <c r="J283" s="134"/>
      <c r="K283" s="134"/>
      <c r="L283" s="136"/>
      <c r="M283" s="137"/>
      <c r="N283" s="138"/>
    </row>
    <row r="284" spans="2:14" x14ac:dyDescent="0.25">
      <c r="B284" s="144"/>
      <c r="C284" s="139"/>
      <c r="D284" s="140"/>
      <c r="E284" s="140"/>
      <c r="F284" s="141"/>
      <c r="G284" s="142"/>
      <c r="H284" s="125"/>
      <c r="I284" s="125"/>
      <c r="J284" s="125"/>
      <c r="K284" s="125"/>
      <c r="L284" s="127"/>
      <c r="M284" s="143"/>
      <c r="N284" s="129"/>
    </row>
    <row r="285" spans="2:14" x14ac:dyDescent="0.25">
      <c r="B285" s="130"/>
      <c r="C285" s="131"/>
      <c r="D285" s="132"/>
      <c r="E285" s="132"/>
      <c r="F285" s="133"/>
      <c r="G285" s="134"/>
      <c r="H285" s="134"/>
      <c r="I285" s="134"/>
      <c r="J285" s="134"/>
      <c r="K285" s="134"/>
      <c r="L285" s="136"/>
      <c r="M285" s="137"/>
      <c r="N285" s="138"/>
    </row>
    <row r="286" spans="2:14" x14ac:dyDescent="0.25">
      <c r="B286" s="144"/>
      <c r="C286" s="139"/>
      <c r="D286" s="140"/>
      <c r="E286" s="140"/>
      <c r="F286" s="141"/>
      <c r="G286" s="142"/>
      <c r="H286" s="125"/>
      <c r="I286" s="125"/>
      <c r="J286" s="125"/>
      <c r="K286" s="125"/>
      <c r="L286" s="127"/>
      <c r="M286" s="143"/>
      <c r="N286" s="129"/>
    </row>
    <row r="287" spans="2:14" x14ac:dyDescent="0.25">
      <c r="B287" s="130"/>
      <c r="C287" s="131"/>
      <c r="D287" s="132"/>
      <c r="E287" s="132"/>
      <c r="F287" s="133"/>
      <c r="G287" s="134"/>
      <c r="H287" s="134"/>
      <c r="I287" s="134"/>
      <c r="J287" s="134"/>
      <c r="K287" s="134"/>
      <c r="L287" s="136"/>
      <c r="M287" s="137"/>
      <c r="N287" s="138"/>
    </row>
    <row r="288" spans="2:14" x14ac:dyDescent="0.25">
      <c r="B288" s="144"/>
      <c r="C288" s="139"/>
      <c r="D288" s="140"/>
      <c r="E288" s="140"/>
      <c r="F288" s="141"/>
      <c r="G288" s="142"/>
      <c r="H288" s="125"/>
      <c r="I288" s="125"/>
      <c r="J288" s="125"/>
      <c r="K288" s="125"/>
      <c r="L288" s="127"/>
      <c r="M288" s="143"/>
      <c r="N288" s="129"/>
    </row>
    <row r="289" spans="2:14" x14ac:dyDescent="0.25">
      <c r="B289" s="130"/>
      <c r="C289" s="131"/>
      <c r="D289" s="132"/>
      <c r="E289" s="132"/>
      <c r="F289" s="133"/>
      <c r="G289" s="134"/>
      <c r="H289" s="134"/>
      <c r="I289" s="134"/>
      <c r="J289" s="134"/>
      <c r="K289" s="134"/>
      <c r="L289" s="136"/>
      <c r="M289" s="137"/>
      <c r="N289" s="138"/>
    </row>
    <row r="290" spans="2:14" x14ac:dyDescent="0.25">
      <c r="B290" s="144"/>
      <c r="C290" s="139"/>
      <c r="D290" s="140"/>
      <c r="E290" s="140"/>
      <c r="F290" s="141"/>
      <c r="G290" s="142"/>
      <c r="H290" s="125"/>
      <c r="I290" s="125"/>
      <c r="J290" s="125"/>
      <c r="K290" s="125"/>
      <c r="L290" s="127"/>
      <c r="M290" s="143"/>
      <c r="N290" s="129"/>
    </row>
    <row r="291" spans="2:14" x14ac:dyDescent="0.25">
      <c r="B291" s="130"/>
      <c r="C291" s="131"/>
      <c r="D291" s="132"/>
      <c r="E291" s="132"/>
      <c r="F291" s="133"/>
      <c r="G291" s="134"/>
      <c r="H291" s="134"/>
      <c r="I291" s="134"/>
      <c r="J291" s="134"/>
      <c r="K291" s="134"/>
      <c r="L291" s="136"/>
      <c r="M291" s="137"/>
      <c r="N291" s="138"/>
    </row>
    <row r="292" spans="2:14" x14ac:dyDescent="0.25">
      <c r="B292" s="144"/>
      <c r="C292" s="139"/>
      <c r="D292" s="140"/>
      <c r="E292" s="140"/>
      <c r="F292" s="141"/>
      <c r="G292" s="142"/>
      <c r="H292" s="125"/>
      <c r="I292" s="125"/>
      <c r="J292" s="125"/>
      <c r="K292" s="125"/>
      <c r="L292" s="127"/>
      <c r="M292" s="143"/>
      <c r="N292" s="129"/>
    </row>
    <row r="293" spans="2:14" x14ac:dyDescent="0.25">
      <c r="B293" s="130"/>
      <c r="C293" s="131"/>
      <c r="D293" s="132"/>
      <c r="E293" s="132"/>
      <c r="F293" s="133"/>
      <c r="G293" s="134"/>
      <c r="H293" s="134"/>
      <c r="I293" s="134"/>
      <c r="J293" s="134"/>
      <c r="K293" s="134"/>
      <c r="L293" s="136"/>
      <c r="M293" s="137"/>
      <c r="N293" s="138"/>
    </row>
    <row r="294" spans="2:14" x14ac:dyDescent="0.25">
      <c r="B294" s="144"/>
      <c r="C294" s="139"/>
      <c r="D294" s="140"/>
      <c r="E294" s="140"/>
      <c r="F294" s="141"/>
      <c r="G294" s="142"/>
      <c r="H294" s="125"/>
      <c r="I294" s="125"/>
      <c r="J294" s="125"/>
      <c r="K294" s="125"/>
      <c r="L294" s="127"/>
      <c r="M294" s="143"/>
      <c r="N294" s="129"/>
    </row>
    <row r="295" spans="2:14" x14ac:dyDescent="0.25">
      <c r="B295" s="130"/>
      <c r="C295" s="131"/>
      <c r="D295" s="132"/>
      <c r="E295" s="132"/>
      <c r="F295" s="133"/>
      <c r="G295" s="134"/>
      <c r="H295" s="134"/>
      <c r="I295" s="134"/>
      <c r="J295" s="134"/>
      <c r="K295" s="134"/>
      <c r="L295" s="136"/>
      <c r="M295" s="137"/>
      <c r="N295" s="138"/>
    </row>
    <row r="296" spans="2:14" x14ac:dyDescent="0.25">
      <c r="B296" s="144"/>
      <c r="C296" s="139"/>
      <c r="D296" s="140"/>
      <c r="E296" s="140"/>
      <c r="F296" s="141"/>
      <c r="G296" s="142"/>
      <c r="H296" s="125"/>
      <c r="I296" s="125"/>
      <c r="J296" s="125"/>
      <c r="K296" s="125"/>
      <c r="L296" s="127"/>
      <c r="M296" s="143"/>
      <c r="N296" s="129"/>
    </row>
    <row r="297" spans="2:14" x14ac:dyDescent="0.25">
      <c r="B297" s="130"/>
      <c r="C297" s="131"/>
      <c r="D297" s="132"/>
      <c r="E297" s="132"/>
      <c r="F297" s="133"/>
      <c r="G297" s="134"/>
      <c r="H297" s="134"/>
      <c r="I297" s="134"/>
      <c r="J297" s="134"/>
      <c r="K297" s="134"/>
      <c r="L297" s="136"/>
      <c r="M297" s="137"/>
      <c r="N297" s="138"/>
    </row>
    <row r="298" spans="2:14" x14ac:dyDescent="0.25">
      <c r="B298" s="144"/>
      <c r="C298" s="139"/>
      <c r="D298" s="140"/>
      <c r="E298" s="140"/>
      <c r="F298" s="141"/>
      <c r="G298" s="142"/>
      <c r="H298" s="125"/>
      <c r="I298" s="125"/>
      <c r="J298" s="125"/>
      <c r="K298" s="125"/>
      <c r="L298" s="127"/>
      <c r="M298" s="143"/>
      <c r="N298" s="129"/>
    </row>
    <row r="299" spans="2:14" x14ac:dyDescent="0.25">
      <c r="B299" s="130"/>
      <c r="C299" s="131"/>
      <c r="D299" s="132"/>
      <c r="E299" s="132"/>
      <c r="F299" s="133"/>
      <c r="G299" s="134"/>
      <c r="H299" s="134"/>
      <c r="I299" s="134"/>
      <c r="J299" s="134"/>
      <c r="K299" s="134"/>
      <c r="L299" s="136"/>
      <c r="M299" s="137"/>
      <c r="N299" s="138"/>
    </row>
    <row r="300" spans="2:14" x14ac:dyDescent="0.25">
      <c r="B300" s="144"/>
      <c r="C300" s="139"/>
      <c r="D300" s="140"/>
      <c r="E300" s="140"/>
      <c r="F300" s="141"/>
      <c r="G300" s="142"/>
      <c r="H300" s="125"/>
      <c r="I300" s="125"/>
      <c r="J300" s="125"/>
      <c r="K300" s="125"/>
      <c r="L300" s="127"/>
      <c r="M300" s="143"/>
      <c r="N300" s="129"/>
    </row>
    <row r="301" spans="2:14" x14ac:dyDescent="0.25">
      <c r="B301" s="130"/>
      <c r="C301" s="131"/>
      <c r="D301" s="132"/>
      <c r="E301" s="132"/>
      <c r="F301" s="133"/>
      <c r="G301" s="134"/>
      <c r="H301" s="134"/>
      <c r="I301" s="134"/>
      <c r="J301" s="134"/>
      <c r="K301" s="134"/>
      <c r="L301" s="136"/>
      <c r="M301" s="137"/>
      <c r="N301" s="138"/>
    </row>
    <row r="302" spans="2:14" x14ac:dyDescent="0.25">
      <c r="B302" s="144"/>
      <c r="C302" s="139"/>
      <c r="D302" s="140"/>
      <c r="E302" s="140"/>
      <c r="F302" s="141"/>
      <c r="G302" s="142"/>
      <c r="H302" s="125"/>
      <c r="I302" s="125"/>
      <c r="J302" s="125"/>
      <c r="K302" s="125"/>
      <c r="L302" s="127"/>
      <c r="M302" s="143"/>
      <c r="N302" s="129"/>
    </row>
    <row r="303" spans="2:14" x14ac:dyDescent="0.25">
      <c r="B303" s="130"/>
      <c r="C303" s="131"/>
      <c r="D303" s="132"/>
      <c r="E303" s="132"/>
      <c r="F303" s="133"/>
      <c r="G303" s="134"/>
      <c r="H303" s="134"/>
      <c r="I303" s="134"/>
      <c r="J303" s="134"/>
      <c r="K303" s="134"/>
      <c r="L303" s="136"/>
      <c r="M303" s="137"/>
      <c r="N303" s="138"/>
    </row>
    <row r="304" spans="2:14" x14ac:dyDescent="0.25">
      <c r="B304" s="144"/>
      <c r="C304" s="139"/>
      <c r="D304" s="140"/>
      <c r="E304" s="140"/>
      <c r="F304" s="141"/>
      <c r="G304" s="142"/>
      <c r="H304" s="125"/>
      <c r="I304" s="125"/>
      <c r="J304" s="125"/>
      <c r="K304" s="125"/>
      <c r="L304" s="127"/>
      <c r="M304" s="143"/>
      <c r="N304" s="129"/>
    </row>
    <row r="305" spans="2:14" x14ac:dyDescent="0.25">
      <c r="B305" s="130"/>
      <c r="C305" s="131"/>
      <c r="D305" s="132"/>
      <c r="E305" s="132"/>
      <c r="F305" s="133"/>
      <c r="G305" s="134"/>
      <c r="H305" s="134"/>
      <c r="I305" s="134"/>
      <c r="J305" s="134"/>
      <c r="K305" s="134"/>
      <c r="L305" s="136"/>
      <c r="M305" s="137"/>
      <c r="N305" s="138"/>
    </row>
    <row r="306" spans="2:14" x14ac:dyDescent="0.25">
      <c r="B306" s="144"/>
      <c r="C306" s="139"/>
      <c r="D306" s="140"/>
      <c r="E306" s="140"/>
      <c r="F306" s="141"/>
      <c r="G306" s="142"/>
      <c r="H306" s="125"/>
      <c r="I306" s="125"/>
      <c r="J306" s="125"/>
      <c r="K306" s="125"/>
      <c r="L306" s="127"/>
      <c r="M306" s="143"/>
      <c r="N306" s="129"/>
    </row>
    <row r="307" spans="2:14" x14ac:dyDescent="0.25">
      <c r="B307" s="130"/>
      <c r="C307" s="131"/>
      <c r="D307" s="132"/>
      <c r="E307" s="132"/>
      <c r="F307" s="133"/>
      <c r="G307" s="134"/>
      <c r="H307" s="134"/>
      <c r="I307" s="134"/>
      <c r="J307" s="134"/>
      <c r="K307" s="134"/>
      <c r="L307" s="136"/>
      <c r="M307" s="137"/>
      <c r="N307" s="138"/>
    </row>
    <row r="308" spans="2:14" x14ac:dyDescent="0.25">
      <c r="B308" s="144"/>
      <c r="C308" s="139"/>
      <c r="D308" s="140"/>
      <c r="E308" s="140"/>
      <c r="F308" s="141"/>
      <c r="G308" s="142"/>
      <c r="H308" s="125"/>
      <c r="I308" s="125"/>
      <c r="J308" s="125"/>
      <c r="K308" s="125"/>
      <c r="L308" s="127"/>
      <c r="M308" s="143"/>
      <c r="N308" s="129"/>
    </row>
    <row r="309" spans="2:14" x14ac:dyDescent="0.25">
      <c r="B309" s="130"/>
      <c r="C309" s="131"/>
      <c r="D309" s="132"/>
      <c r="E309" s="132"/>
      <c r="F309" s="133"/>
      <c r="G309" s="134"/>
      <c r="H309" s="134"/>
      <c r="I309" s="134"/>
      <c r="J309" s="134"/>
      <c r="K309" s="134"/>
      <c r="L309" s="136"/>
      <c r="M309" s="137"/>
      <c r="N309" s="138"/>
    </row>
    <row r="310" spans="2:14" x14ac:dyDescent="0.25">
      <c r="B310" s="144"/>
      <c r="C310" s="139"/>
      <c r="D310" s="140"/>
      <c r="E310" s="140"/>
      <c r="F310" s="141"/>
      <c r="G310" s="142"/>
      <c r="H310" s="125"/>
      <c r="I310" s="125"/>
      <c r="J310" s="125"/>
      <c r="K310" s="125"/>
      <c r="L310" s="127"/>
      <c r="M310" s="143"/>
      <c r="N310" s="129"/>
    </row>
    <row r="311" spans="2:14" x14ac:dyDescent="0.25">
      <c r="B311" s="130"/>
      <c r="C311" s="131"/>
      <c r="D311" s="132"/>
      <c r="E311" s="132"/>
      <c r="F311" s="133"/>
      <c r="G311" s="134"/>
      <c r="H311" s="134"/>
      <c r="I311" s="134"/>
      <c r="J311" s="134"/>
      <c r="K311" s="134"/>
      <c r="L311" s="136"/>
      <c r="M311" s="137"/>
      <c r="N311" s="138"/>
    </row>
    <row r="312" spans="2:14" x14ac:dyDescent="0.25">
      <c r="B312" s="144"/>
      <c r="C312" s="139"/>
      <c r="D312" s="140"/>
      <c r="E312" s="140"/>
      <c r="F312" s="141"/>
      <c r="G312" s="142"/>
      <c r="H312" s="125"/>
      <c r="I312" s="125"/>
      <c r="J312" s="125"/>
      <c r="K312" s="125"/>
      <c r="L312" s="127"/>
      <c r="M312" s="143"/>
      <c r="N312" s="129"/>
    </row>
    <row r="313" spans="2:14" x14ac:dyDescent="0.25">
      <c r="B313" s="130"/>
      <c r="C313" s="131"/>
      <c r="D313" s="132"/>
      <c r="E313" s="132"/>
      <c r="F313" s="133"/>
      <c r="G313" s="134"/>
      <c r="H313" s="134"/>
      <c r="I313" s="134"/>
      <c r="J313" s="134"/>
      <c r="K313" s="134"/>
      <c r="L313" s="136"/>
      <c r="M313" s="137"/>
      <c r="N313" s="138"/>
    </row>
    <row r="314" spans="2:14" x14ac:dyDescent="0.25">
      <c r="B314" s="144"/>
      <c r="C314" s="139"/>
      <c r="D314" s="140"/>
      <c r="E314" s="140"/>
      <c r="F314" s="141"/>
      <c r="G314" s="142"/>
      <c r="H314" s="125"/>
      <c r="I314" s="125"/>
      <c r="J314" s="125"/>
      <c r="K314" s="125"/>
      <c r="L314" s="127"/>
      <c r="M314" s="143"/>
      <c r="N314" s="129"/>
    </row>
    <row r="315" spans="2:14" x14ac:dyDescent="0.25">
      <c r="B315" s="130"/>
      <c r="C315" s="131"/>
      <c r="D315" s="132"/>
      <c r="E315" s="132"/>
      <c r="F315" s="133"/>
      <c r="G315" s="134"/>
      <c r="H315" s="134"/>
      <c r="I315" s="134"/>
      <c r="J315" s="134"/>
      <c r="K315" s="134"/>
      <c r="L315" s="136"/>
      <c r="M315" s="137"/>
      <c r="N315" s="138"/>
    </row>
    <row r="316" spans="2:14" x14ac:dyDescent="0.25">
      <c r="B316" s="144"/>
      <c r="C316" s="139"/>
      <c r="D316" s="140"/>
      <c r="E316" s="140"/>
      <c r="F316" s="141"/>
      <c r="G316" s="142"/>
      <c r="H316" s="125"/>
      <c r="I316" s="125"/>
      <c r="J316" s="125"/>
      <c r="K316" s="125"/>
      <c r="L316" s="127"/>
      <c r="M316" s="143"/>
      <c r="N316" s="129"/>
    </row>
    <row r="317" spans="2:14" x14ac:dyDescent="0.25">
      <c r="B317" s="130"/>
      <c r="C317" s="131"/>
      <c r="D317" s="132"/>
      <c r="E317" s="132"/>
      <c r="F317" s="133"/>
      <c r="G317" s="134"/>
      <c r="H317" s="134"/>
      <c r="I317" s="134"/>
      <c r="J317" s="134"/>
      <c r="K317" s="134"/>
      <c r="L317" s="136"/>
      <c r="M317" s="137"/>
      <c r="N317" s="138"/>
    </row>
    <row r="318" spans="2:14" x14ac:dyDescent="0.25">
      <c r="B318" s="144"/>
      <c r="C318" s="139"/>
      <c r="D318" s="140"/>
      <c r="E318" s="140"/>
      <c r="F318" s="141"/>
      <c r="G318" s="142"/>
      <c r="H318" s="125"/>
      <c r="I318" s="125"/>
      <c r="J318" s="125"/>
      <c r="K318" s="125"/>
      <c r="L318" s="127"/>
      <c r="M318" s="143"/>
      <c r="N318" s="129"/>
    </row>
    <row r="319" spans="2:14" x14ac:dyDescent="0.25">
      <c r="B319" s="130"/>
      <c r="C319" s="131"/>
      <c r="D319" s="132"/>
      <c r="E319" s="132"/>
      <c r="F319" s="133"/>
      <c r="G319" s="134"/>
      <c r="H319" s="134"/>
      <c r="I319" s="134"/>
      <c r="J319" s="134"/>
      <c r="K319" s="134"/>
      <c r="L319" s="136"/>
      <c r="M319" s="137"/>
      <c r="N319" s="138"/>
    </row>
    <row r="320" spans="2:14" x14ac:dyDescent="0.25">
      <c r="B320" s="144"/>
      <c r="C320" s="139"/>
      <c r="D320" s="140"/>
      <c r="E320" s="140"/>
      <c r="F320" s="141"/>
      <c r="G320" s="142"/>
      <c r="H320" s="125"/>
      <c r="I320" s="125"/>
      <c r="J320" s="125"/>
      <c r="K320" s="125"/>
      <c r="L320" s="127"/>
      <c r="M320" s="143"/>
      <c r="N320" s="129"/>
    </row>
    <row r="321" spans="2:14" x14ac:dyDescent="0.25">
      <c r="B321" s="130"/>
      <c r="C321" s="131"/>
      <c r="D321" s="132"/>
      <c r="E321" s="132"/>
      <c r="F321" s="133"/>
      <c r="G321" s="134"/>
      <c r="H321" s="134"/>
      <c r="I321" s="134"/>
      <c r="J321" s="134"/>
      <c r="K321" s="134"/>
      <c r="L321" s="136"/>
      <c r="M321" s="137"/>
      <c r="N321" s="138"/>
    </row>
    <row r="322" spans="2:14" x14ac:dyDescent="0.25">
      <c r="B322" s="144"/>
      <c r="C322" s="139"/>
      <c r="D322" s="140"/>
      <c r="E322" s="140"/>
      <c r="F322" s="141"/>
      <c r="G322" s="142"/>
      <c r="H322" s="125"/>
      <c r="I322" s="125"/>
      <c r="J322" s="125"/>
      <c r="K322" s="125"/>
      <c r="L322" s="127"/>
      <c r="M322" s="143"/>
      <c r="N322" s="129"/>
    </row>
    <row r="323" spans="2:14" x14ac:dyDescent="0.25">
      <c r="B323" s="130"/>
      <c r="C323" s="131"/>
      <c r="D323" s="132"/>
      <c r="E323" s="132"/>
      <c r="F323" s="133"/>
      <c r="G323" s="134"/>
      <c r="H323" s="134"/>
      <c r="I323" s="134"/>
      <c r="J323" s="134"/>
      <c r="K323" s="134"/>
      <c r="L323" s="136"/>
      <c r="M323" s="137"/>
      <c r="N323" s="138"/>
    </row>
    <row r="324" spans="2:14" x14ac:dyDescent="0.25">
      <c r="B324" s="144"/>
      <c r="C324" s="139"/>
      <c r="D324" s="140"/>
      <c r="E324" s="140"/>
      <c r="F324" s="141"/>
      <c r="G324" s="142"/>
      <c r="H324" s="125"/>
      <c r="I324" s="125"/>
      <c r="J324" s="125"/>
      <c r="K324" s="125"/>
      <c r="L324" s="127"/>
      <c r="M324" s="143"/>
      <c r="N324" s="129"/>
    </row>
    <row r="325" spans="2:14" x14ac:dyDescent="0.25">
      <c r="B325" s="130"/>
      <c r="C325" s="131"/>
      <c r="D325" s="132"/>
      <c r="E325" s="132"/>
      <c r="F325" s="133"/>
      <c r="G325" s="134"/>
      <c r="H325" s="134"/>
      <c r="I325" s="134"/>
      <c r="J325" s="134"/>
      <c r="K325" s="134"/>
      <c r="L325" s="136"/>
      <c r="M325" s="137"/>
      <c r="N325" s="138"/>
    </row>
    <row r="326" spans="2:14" x14ac:dyDescent="0.25">
      <c r="B326" s="144"/>
      <c r="C326" s="139"/>
      <c r="D326" s="140"/>
      <c r="E326" s="140"/>
      <c r="F326" s="141"/>
      <c r="G326" s="142"/>
      <c r="H326" s="125"/>
      <c r="I326" s="125"/>
      <c r="J326" s="125"/>
      <c r="K326" s="125"/>
      <c r="L326" s="127"/>
      <c r="M326" s="143"/>
      <c r="N326" s="129"/>
    </row>
    <row r="327" spans="2:14" x14ac:dyDescent="0.25">
      <c r="B327" s="130"/>
      <c r="C327" s="131"/>
      <c r="D327" s="132"/>
      <c r="E327" s="132"/>
      <c r="F327" s="133"/>
      <c r="G327" s="134"/>
      <c r="H327" s="134"/>
      <c r="I327" s="134"/>
      <c r="J327" s="134"/>
      <c r="K327" s="134"/>
      <c r="L327" s="136"/>
      <c r="M327" s="137"/>
      <c r="N327" s="138"/>
    </row>
    <row r="328" spans="2:14" x14ac:dyDescent="0.25">
      <c r="B328" s="144"/>
      <c r="C328" s="139"/>
      <c r="D328" s="140"/>
      <c r="E328" s="140"/>
      <c r="F328" s="141"/>
      <c r="G328" s="142"/>
      <c r="H328" s="125"/>
      <c r="I328" s="125"/>
      <c r="J328" s="125"/>
      <c r="K328" s="125"/>
      <c r="L328" s="127"/>
      <c r="M328" s="143"/>
      <c r="N328" s="129"/>
    </row>
    <row r="329" spans="2:14" x14ac:dyDescent="0.25">
      <c r="B329" s="130"/>
      <c r="C329" s="131"/>
      <c r="D329" s="132"/>
      <c r="E329" s="132"/>
      <c r="F329" s="133"/>
      <c r="G329" s="134"/>
      <c r="H329" s="134"/>
      <c r="I329" s="134"/>
      <c r="J329" s="134"/>
      <c r="K329" s="134"/>
      <c r="L329" s="136"/>
      <c r="M329" s="137"/>
      <c r="N329" s="138"/>
    </row>
    <row r="330" spans="2:14" x14ac:dyDescent="0.25">
      <c r="B330" s="144"/>
      <c r="C330" s="139"/>
      <c r="D330" s="140"/>
      <c r="E330" s="140"/>
      <c r="F330" s="141"/>
      <c r="G330" s="142"/>
      <c r="H330" s="125"/>
      <c r="I330" s="125"/>
      <c r="J330" s="125"/>
      <c r="K330" s="125"/>
      <c r="L330" s="127"/>
      <c r="M330" s="143"/>
      <c r="N330" s="129"/>
    </row>
    <row r="331" spans="2:14" x14ac:dyDescent="0.25">
      <c r="B331" s="130"/>
      <c r="C331" s="131"/>
      <c r="D331" s="132"/>
      <c r="E331" s="132"/>
      <c r="F331" s="133"/>
      <c r="G331" s="134"/>
      <c r="H331" s="134"/>
      <c r="I331" s="134"/>
      <c r="J331" s="134"/>
      <c r="K331" s="134"/>
      <c r="L331" s="136"/>
      <c r="M331" s="137"/>
      <c r="N331" s="138"/>
    </row>
    <row r="332" spans="2:14" x14ac:dyDescent="0.25">
      <c r="B332" s="144"/>
      <c r="C332" s="139"/>
      <c r="D332" s="140"/>
      <c r="E332" s="140"/>
      <c r="F332" s="141"/>
      <c r="G332" s="142"/>
      <c r="H332" s="125"/>
      <c r="I332" s="125"/>
      <c r="J332" s="125"/>
      <c r="K332" s="125"/>
      <c r="L332" s="127"/>
      <c r="M332" s="143"/>
      <c r="N332" s="129"/>
    </row>
    <row r="333" spans="2:14" x14ac:dyDescent="0.25">
      <c r="B333" s="130"/>
      <c r="C333" s="131"/>
      <c r="D333" s="132"/>
      <c r="E333" s="132"/>
      <c r="F333" s="133"/>
      <c r="G333" s="134"/>
      <c r="H333" s="134"/>
      <c r="I333" s="134"/>
      <c r="J333" s="134"/>
      <c r="K333" s="134"/>
      <c r="L333" s="136"/>
      <c r="M333" s="137"/>
      <c r="N333" s="138"/>
    </row>
    <row r="334" spans="2:14" x14ac:dyDescent="0.25">
      <c r="B334" s="144"/>
      <c r="C334" s="139"/>
      <c r="D334" s="140"/>
      <c r="E334" s="140"/>
      <c r="F334" s="141"/>
      <c r="G334" s="142"/>
      <c r="H334" s="125"/>
      <c r="I334" s="125"/>
      <c r="J334" s="125"/>
      <c r="K334" s="125"/>
      <c r="L334" s="127"/>
      <c r="M334" s="143"/>
      <c r="N334" s="129"/>
    </row>
    <row r="335" spans="2:14" x14ac:dyDescent="0.25">
      <c r="B335" s="130"/>
      <c r="C335" s="131"/>
      <c r="D335" s="132"/>
      <c r="E335" s="132"/>
      <c r="F335" s="133"/>
      <c r="G335" s="134"/>
      <c r="H335" s="134"/>
      <c r="I335" s="134"/>
      <c r="J335" s="134"/>
      <c r="K335" s="134"/>
      <c r="L335" s="136"/>
      <c r="M335" s="137"/>
      <c r="N335" s="138"/>
    </row>
    <row r="336" spans="2:14" x14ac:dyDescent="0.25">
      <c r="B336" s="144"/>
      <c r="C336" s="139"/>
      <c r="D336" s="140"/>
      <c r="E336" s="140"/>
      <c r="F336" s="141"/>
      <c r="G336" s="142"/>
      <c r="H336" s="125"/>
      <c r="I336" s="125"/>
      <c r="J336" s="125"/>
      <c r="K336" s="125"/>
      <c r="L336" s="127"/>
      <c r="M336" s="143"/>
      <c r="N336" s="129"/>
    </row>
    <row r="337" spans="2:14" x14ac:dyDescent="0.25">
      <c r="B337" s="130"/>
      <c r="C337" s="131"/>
      <c r="D337" s="132"/>
      <c r="E337" s="132"/>
      <c r="F337" s="133"/>
      <c r="G337" s="134"/>
      <c r="H337" s="134"/>
      <c r="I337" s="134"/>
      <c r="J337" s="134"/>
      <c r="K337" s="134"/>
      <c r="L337" s="136"/>
      <c r="M337" s="137"/>
      <c r="N337" s="138"/>
    </row>
    <row r="338" spans="2:14" x14ac:dyDescent="0.25">
      <c r="B338" s="144"/>
      <c r="C338" s="139"/>
      <c r="D338" s="140"/>
      <c r="E338" s="140"/>
      <c r="F338" s="141"/>
      <c r="G338" s="142"/>
      <c r="H338" s="125"/>
      <c r="I338" s="125"/>
      <c r="J338" s="125"/>
      <c r="K338" s="125"/>
      <c r="L338" s="127"/>
      <c r="M338" s="143"/>
      <c r="N338" s="129"/>
    </row>
    <row r="339" spans="2:14" x14ac:dyDescent="0.25">
      <c r="B339" s="130"/>
      <c r="C339" s="131"/>
      <c r="D339" s="132"/>
      <c r="E339" s="132"/>
      <c r="F339" s="133"/>
      <c r="G339" s="134"/>
      <c r="H339" s="134"/>
      <c r="I339" s="134"/>
      <c r="J339" s="134"/>
      <c r="K339" s="134"/>
      <c r="L339" s="136"/>
      <c r="M339" s="137"/>
      <c r="N339" s="138"/>
    </row>
    <row r="340" spans="2:14" x14ac:dyDescent="0.25">
      <c r="B340" s="144"/>
      <c r="C340" s="139"/>
      <c r="D340" s="140"/>
      <c r="E340" s="140"/>
      <c r="F340" s="141"/>
      <c r="G340" s="142"/>
      <c r="H340" s="125"/>
      <c r="I340" s="125"/>
      <c r="J340" s="125"/>
      <c r="K340" s="125"/>
      <c r="L340" s="127"/>
      <c r="M340" s="143"/>
      <c r="N340" s="129"/>
    </row>
    <row r="341" spans="2:14" x14ac:dyDescent="0.25">
      <c r="B341" s="130"/>
      <c r="C341" s="131"/>
      <c r="D341" s="132"/>
      <c r="E341" s="132"/>
      <c r="F341" s="133"/>
      <c r="G341" s="134"/>
      <c r="H341" s="134"/>
      <c r="I341" s="134"/>
      <c r="J341" s="134"/>
      <c r="K341" s="134"/>
      <c r="L341" s="136"/>
      <c r="M341" s="137"/>
      <c r="N341" s="138"/>
    </row>
    <row r="342" spans="2:14" x14ac:dyDescent="0.25">
      <c r="B342" s="144"/>
      <c r="C342" s="139"/>
      <c r="D342" s="140"/>
      <c r="E342" s="140"/>
      <c r="F342" s="141"/>
      <c r="G342" s="142"/>
      <c r="H342" s="125"/>
      <c r="I342" s="125"/>
      <c r="J342" s="125"/>
      <c r="K342" s="125"/>
      <c r="L342" s="127"/>
      <c r="M342" s="143"/>
      <c r="N342" s="129"/>
    </row>
    <row r="343" spans="2:14" x14ac:dyDescent="0.25">
      <c r="B343" s="130"/>
      <c r="C343" s="131"/>
      <c r="D343" s="132"/>
      <c r="E343" s="132"/>
      <c r="F343" s="133"/>
      <c r="G343" s="134"/>
      <c r="H343" s="134"/>
      <c r="I343" s="134"/>
      <c r="J343" s="134"/>
      <c r="K343" s="134"/>
      <c r="L343" s="136"/>
      <c r="M343" s="137"/>
      <c r="N343" s="138"/>
    </row>
    <row r="344" spans="2:14" x14ac:dyDescent="0.25">
      <c r="B344" s="144"/>
      <c r="C344" s="139"/>
      <c r="D344" s="140"/>
      <c r="E344" s="140"/>
      <c r="F344" s="141"/>
      <c r="G344" s="142"/>
      <c r="H344" s="125"/>
      <c r="I344" s="125"/>
      <c r="J344" s="125"/>
      <c r="K344" s="125"/>
      <c r="L344" s="127"/>
      <c r="M344" s="143"/>
      <c r="N344" s="129"/>
    </row>
    <row r="345" spans="2:14" x14ac:dyDescent="0.25">
      <c r="B345" s="130"/>
      <c r="C345" s="131"/>
      <c r="D345" s="132"/>
      <c r="E345" s="132"/>
      <c r="F345" s="133"/>
      <c r="G345" s="134"/>
      <c r="H345" s="134"/>
      <c r="I345" s="134"/>
      <c r="J345" s="134"/>
      <c r="K345" s="134"/>
      <c r="L345" s="136"/>
      <c r="M345" s="137"/>
      <c r="N345" s="138"/>
    </row>
    <row r="346" spans="2:14" x14ac:dyDescent="0.25">
      <c r="B346" s="144"/>
      <c r="C346" s="139"/>
      <c r="D346" s="140"/>
      <c r="E346" s="140"/>
      <c r="F346" s="141"/>
      <c r="G346" s="142"/>
      <c r="H346" s="125"/>
      <c r="I346" s="125"/>
      <c r="J346" s="125"/>
      <c r="K346" s="125"/>
      <c r="L346" s="127"/>
      <c r="M346" s="143"/>
      <c r="N346" s="129"/>
    </row>
    <row r="347" spans="2:14" x14ac:dyDescent="0.25">
      <c r="B347" s="130"/>
      <c r="C347" s="131"/>
      <c r="D347" s="132"/>
      <c r="E347" s="132"/>
      <c r="F347" s="133"/>
      <c r="G347" s="134"/>
      <c r="H347" s="134"/>
      <c r="I347" s="134"/>
      <c r="J347" s="134"/>
      <c r="K347" s="134"/>
      <c r="L347" s="136"/>
      <c r="M347" s="137"/>
      <c r="N347" s="138"/>
    </row>
    <row r="348" spans="2:14" x14ac:dyDescent="0.25">
      <c r="B348" s="144"/>
      <c r="C348" s="139"/>
      <c r="D348" s="140"/>
      <c r="E348" s="140"/>
      <c r="F348" s="141"/>
      <c r="G348" s="142"/>
      <c r="H348" s="125"/>
      <c r="I348" s="125"/>
      <c r="J348" s="125"/>
      <c r="K348" s="125"/>
      <c r="L348" s="127"/>
      <c r="M348" s="143"/>
      <c r="N348" s="129"/>
    </row>
    <row r="349" spans="2:14" x14ac:dyDescent="0.25">
      <c r="B349" s="130"/>
      <c r="C349" s="131"/>
      <c r="D349" s="132"/>
      <c r="E349" s="132"/>
      <c r="F349" s="133"/>
      <c r="G349" s="134"/>
      <c r="H349" s="134"/>
      <c r="I349" s="134"/>
      <c r="J349" s="134"/>
      <c r="K349" s="134"/>
      <c r="L349" s="136"/>
      <c r="M349" s="137"/>
      <c r="N349" s="138"/>
    </row>
    <row r="350" spans="2:14" x14ac:dyDescent="0.25">
      <c r="B350" s="144"/>
      <c r="C350" s="139"/>
      <c r="D350" s="140"/>
      <c r="E350" s="140"/>
      <c r="F350" s="141"/>
      <c r="G350" s="142"/>
      <c r="H350" s="125"/>
      <c r="I350" s="125"/>
      <c r="J350" s="125"/>
      <c r="K350" s="125"/>
      <c r="L350" s="127"/>
      <c r="M350" s="143"/>
      <c r="N350" s="129"/>
    </row>
    <row r="351" spans="2:14" x14ac:dyDescent="0.25">
      <c r="B351" s="130"/>
      <c r="C351" s="131"/>
      <c r="D351" s="132"/>
      <c r="E351" s="132"/>
      <c r="F351" s="133"/>
      <c r="G351" s="134"/>
      <c r="H351" s="134"/>
      <c r="I351" s="134"/>
      <c r="J351" s="134"/>
      <c r="K351" s="134"/>
      <c r="L351" s="136"/>
      <c r="M351" s="137"/>
      <c r="N351" s="138"/>
    </row>
    <row r="352" spans="2:14" x14ac:dyDescent="0.25">
      <c r="B352" s="144"/>
      <c r="C352" s="139"/>
      <c r="D352" s="140"/>
      <c r="E352" s="140"/>
      <c r="F352" s="141"/>
      <c r="G352" s="142"/>
      <c r="H352" s="125"/>
      <c r="I352" s="125"/>
      <c r="J352" s="125"/>
      <c r="K352" s="125"/>
      <c r="L352" s="127"/>
      <c r="M352" s="143"/>
      <c r="N352" s="129"/>
    </row>
    <row r="353" spans="2:14" x14ac:dyDescent="0.25">
      <c r="B353" s="130"/>
      <c r="C353" s="131"/>
      <c r="D353" s="132"/>
      <c r="E353" s="132"/>
      <c r="F353" s="133"/>
      <c r="G353" s="134"/>
      <c r="H353" s="134"/>
      <c r="I353" s="134"/>
      <c r="J353" s="134"/>
      <c r="K353" s="134"/>
      <c r="L353" s="136"/>
      <c r="M353" s="137"/>
      <c r="N353" s="138"/>
    </row>
    <row r="354" spans="2:14" x14ac:dyDescent="0.25">
      <c r="B354" s="144"/>
      <c r="C354" s="139"/>
      <c r="D354" s="140"/>
      <c r="E354" s="140"/>
      <c r="F354" s="141"/>
      <c r="G354" s="142"/>
      <c r="H354" s="125"/>
      <c r="I354" s="125"/>
      <c r="J354" s="125"/>
      <c r="K354" s="125"/>
      <c r="L354" s="127"/>
      <c r="M354" s="143"/>
      <c r="N354" s="129"/>
    </row>
    <row r="355" spans="2:14" x14ac:dyDescent="0.25">
      <c r="B355" s="130"/>
      <c r="C355" s="131"/>
      <c r="D355" s="132"/>
      <c r="E355" s="132"/>
      <c r="F355" s="133"/>
      <c r="G355" s="134"/>
      <c r="H355" s="134"/>
      <c r="I355" s="134"/>
      <c r="J355" s="134"/>
      <c r="K355" s="134"/>
      <c r="L355" s="136"/>
      <c r="M355" s="137"/>
      <c r="N355" s="138"/>
    </row>
    <row r="356" spans="2:14" x14ac:dyDescent="0.25">
      <c r="B356" s="144"/>
      <c r="C356" s="139"/>
      <c r="D356" s="140"/>
      <c r="E356" s="140"/>
      <c r="F356" s="141"/>
      <c r="G356" s="142"/>
      <c r="H356" s="125"/>
      <c r="I356" s="125"/>
      <c r="J356" s="125"/>
      <c r="K356" s="125"/>
      <c r="L356" s="127"/>
      <c r="M356" s="143"/>
      <c r="N356" s="129"/>
    </row>
    <row r="357" spans="2:14" x14ac:dyDescent="0.25">
      <c r="B357" s="130"/>
      <c r="C357" s="131"/>
      <c r="D357" s="132"/>
      <c r="E357" s="132"/>
      <c r="F357" s="133"/>
      <c r="G357" s="134"/>
      <c r="H357" s="134"/>
      <c r="I357" s="134"/>
      <c r="J357" s="134"/>
      <c r="K357" s="134"/>
      <c r="L357" s="136"/>
      <c r="M357" s="137"/>
      <c r="N357" s="138"/>
    </row>
    <row r="358" spans="2:14" x14ac:dyDescent="0.25">
      <c r="B358" s="144"/>
      <c r="C358" s="139"/>
      <c r="D358" s="140"/>
      <c r="E358" s="140"/>
      <c r="F358" s="141"/>
      <c r="G358" s="142"/>
      <c r="H358" s="125"/>
      <c r="I358" s="125"/>
      <c r="J358" s="125"/>
      <c r="K358" s="125"/>
      <c r="L358" s="127"/>
      <c r="M358" s="143"/>
      <c r="N358" s="129"/>
    </row>
    <row r="359" spans="2:14" x14ac:dyDescent="0.25">
      <c r="B359" s="130"/>
      <c r="C359" s="131"/>
      <c r="D359" s="132"/>
      <c r="E359" s="132"/>
      <c r="F359" s="133"/>
      <c r="G359" s="134"/>
      <c r="H359" s="134"/>
      <c r="I359" s="134"/>
      <c r="J359" s="134"/>
      <c r="K359" s="134"/>
      <c r="L359" s="136"/>
      <c r="M359" s="137"/>
      <c r="N359" s="138"/>
    </row>
    <row r="360" spans="2:14" x14ac:dyDescent="0.25">
      <c r="B360" s="144"/>
      <c r="C360" s="139"/>
      <c r="D360" s="140"/>
      <c r="E360" s="140"/>
      <c r="F360" s="141"/>
      <c r="G360" s="142"/>
      <c r="H360" s="125"/>
      <c r="I360" s="125"/>
      <c r="J360" s="125"/>
      <c r="K360" s="125"/>
      <c r="L360" s="127"/>
      <c r="M360" s="143"/>
      <c r="N360" s="129"/>
    </row>
    <row r="361" spans="2:14" x14ac:dyDescent="0.25">
      <c r="B361" s="130"/>
      <c r="C361" s="131"/>
      <c r="D361" s="132"/>
      <c r="E361" s="132"/>
      <c r="F361" s="133"/>
      <c r="G361" s="134"/>
      <c r="H361" s="134"/>
      <c r="I361" s="134"/>
      <c r="J361" s="134"/>
      <c r="K361" s="134"/>
      <c r="L361" s="136"/>
      <c r="M361" s="137"/>
      <c r="N361" s="138"/>
    </row>
    <row r="362" spans="2:14" x14ac:dyDescent="0.25">
      <c r="B362" s="144"/>
      <c r="C362" s="139"/>
      <c r="D362" s="140"/>
      <c r="E362" s="140"/>
      <c r="F362" s="141"/>
      <c r="G362" s="142"/>
      <c r="H362" s="125"/>
      <c r="I362" s="125"/>
      <c r="J362" s="125"/>
      <c r="K362" s="125"/>
      <c r="L362" s="127"/>
      <c r="M362" s="143"/>
      <c r="N362" s="129"/>
    </row>
    <row r="363" spans="2:14" x14ac:dyDescent="0.25">
      <c r="B363" s="130"/>
      <c r="C363" s="131"/>
      <c r="D363" s="132"/>
      <c r="E363" s="132"/>
      <c r="F363" s="133"/>
      <c r="G363" s="134"/>
      <c r="H363" s="134"/>
      <c r="I363" s="134"/>
      <c r="J363" s="134"/>
      <c r="K363" s="134"/>
      <c r="L363" s="136"/>
      <c r="M363" s="137"/>
      <c r="N363" s="138"/>
    </row>
    <row r="364" spans="2:14" x14ac:dyDescent="0.25">
      <c r="B364" s="144"/>
      <c r="C364" s="139"/>
      <c r="D364" s="140"/>
      <c r="E364" s="140"/>
      <c r="F364" s="141"/>
      <c r="G364" s="142"/>
      <c r="H364" s="125"/>
      <c r="I364" s="125"/>
      <c r="J364" s="125"/>
      <c r="K364" s="125"/>
      <c r="L364" s="127"/>
      <c r="M364" s="143"/>
      <c r="N364" s="129"/>
    </row>
    <row r="365" spans="2:14" x14ac:dyDescent="0.25">
      <c r="B365" s="130"/>
      <c r="C365" s="131"/>
      <c r="D365" s="132"/>
      <c r="E365" s="132"/>
      <c r="F365" s="133"/>
      <c r="G365" s="134"/>
      <c r="H365" s="134"/>
      <c r="I365" s="134"/>
      <c r="J365" s="134"/>
      <c r="K365" s="134"/>
      <c r="L365" s="136"/>
      <c r="M365" s="137"/>
      <c r="N365" s="138"/>
    </row>
    <row r="366" spans="2:14" x14ac:dyDescent="0.25">
      <c r="B366" s="144"/>
      <c r="C366" s="139"/>
      <c r="D366" s="140"/>
      <c r="E366" s="140"/>
      <c r="F366" s="141"/>
      <c r="G366" s="142"/>
      <c r="H366" s="125"/>
      <c r="I366" s="125"/>
      <c r="J366" s="125"/>
      <c r="K366" s="125"/>
      <c r="L366" s="127"/>
      <c r="M366" s="143"/>
      <c r="N366" s="129"/>
    </row>
    <row r="367" spans="2:14" x14ac:dyDescent="0.25">
      <c r="B367" s="130"/>
      <c r="C367" s="131"/>
      <c r="D367" s="132"/>
      <c r="E367" s="132"/>
      <c r="F367" s="133"/>
      <c r="G367" s="134"/>
      <c r="H367" s="134"/>
      <c r="I367" s="134"/>
      <c r="J367" s="134"/>
      <c r="K367" s="134"/>
      <c r="L367" s="136"/>
      <c r="M367" s="137"/>
      <c r="N367" s="138"/>
    </row>
    <row r="368" spans="2:14" x14ac:dyDescent="0.25">
      <c r="B368" s="144"/>
      <c r="C368" s="139"/>
      <c r="D368" s="140"/>
      <c r="E368" s="140"/>
      <c r="F368" s="141"/>
      <c r="G368" s="142"/>
      <c r="H368" s="125"/>
      <c r="I368" s="125"/>
      <c r="J368" s="125"/>
      <c r="K368" s="125"/>
      <c r="L368" s="127"/>
      <c r="M368" s="143"/>
      <c r="N368" s="129"/>
    </row>
    <row r="369" spans="2:14" x14ac:dyDescent="0.25">
      <c r="B369" s="130"/>
      <c r="C369" s="131"/>
      <c r="D369" s="132"/>
      <c r="E369" s="132"/>
      <c r="F369" s="133"/>
      <c r="G369" s="134"/>
      <c r="H369" s="134"/>
      <c r="I369" s="134"/>
      <c r="J369" s="134"/>
      <c r="K369" s="134"/>
      <c r="L369" s="136"/>
      <c r="M369" s="137"/>
      <c r="N369" s="138"/>
    </row>
    <row r="370" spans="2:14" x14ac:dyDescent="0.25">
      <c r="B370" s="144"/>
      <c r="C370" s="139"/>
      <c r="D370" s="140"/>
      <c r="E370" s="140"/>
      <c r="F370" s="141"/>
      <c r="G370" s="142"/>
      <c r="H370" s="125"/>
      <c r="I370" s="125"/>
      <c r="J370" s="125"/>
      <c r="K370" s="125"/>
      <c r="L370" s="127"/>
      <c r="M370" s="143"/>
      <c r="N370" s="129"/>
    </row>
    <row r="371" spans="2:14" x14ac:dyDescent="0.25">
      <c r="B371" s="130"/>
      <c r="C371" s="131"/>
      <c r="D371" s="132"/>
      <c r="E371" s="132"/>
      <c r="F371" s="133"/>
      <c r="G371" s="134"/>
      <c r="H371" s="134"/>
      <c r="I371" s="134"/>
      <c r="J371" s="134"/>
      <c r="K371" s="134"/>
      <c r="L371" s="136"/>
      <c r="M371" s="137"/>
      <c r="N371" s="138"/>
    </row>
    <row r="372" spans="2:14" x14ac:dyDescent="0.25">
      <c r="B372" s="144"/>
      <c r="C372" s="139"/>
      <c r="D372" s="140"/>
      <c r="E372" s="140"/>
      <c r="F372" s="141"/>
      <c r="G372" s="142"/>
      <c r="H372" s="125"/>
      <c r="I372" s="125"/>
      <c r="J372" s="125"/>
      <c r="K372" s="125"/>
      <c r="L372" s="127"/>
      <c r="M372" s="143"/>
      <c r="N372" s="129"/>
    </row>
    <row r="373" spans="2:14" x14ac:dyDescent="0.25">
      <c r="B373" s="130"/>
      <c r="C373" s="131"/>
      <c r="D373" s="132"/>
      <c r="E373" s="132"/>
      <c r="F373" s="133"/>
      <c r="G373" s="134"/>
      <c r="H373" s="134"/>
      <c r="I373" s="134"/>
      <c r="J373" s="134"/>
      <c r="K373" s="134"/>
      <c r="L373" s="136"/>
      <c r="M373" s="137"/>
      <c r="N373" s="138"/>
    </row>
    <row r="374" spans="2:14" x14ac:dyDescent="0.25">
      <c r="B374" s="144"/>
      <c r="C374" s="139"/>
      <c r="D374" s="140"/>
      <c r="E374" s="140"/>
      <c r="F374" s="141"/>
      <c r="G374" s="142"/>
      <c r="H374" s="125"/>
      <c r="I374" s="125"/>
      <c r="J374" s="125"/>
      <c r="K374" s="125"/>
      <c r="L374" s="127"/>
      <c r="M374" s="143"/>
      <c r="N374" s="129"/>
    </row>
    <row r="375" spans="2:14" x14ac:dyDescent="0.25">
      <c r="B375" s="130"/>
      <c r="C375" s="131"/>
      <c r="D375" s="132"/>
      <c r="E375" s="132"/>
      <c r="F375" s="133"/>
      <c r="G375" s="134"/>
      <c r="H375" s="134"/>
      <c r="I375" s="134"/>
      <c r="J375" s="134"/>
      <c r="K375" s="134"/>
      <c r="L375" s="136"/>
      <c r="M375" s="137"/>
      <c r="N375" s="138"/>
    </row>
    <row r="376" spans="2:14" x14ac:dyDescent="0.25">
      <c r="B376" s="144"/>
      <c r="C376" s="139"/>
      <c r="D376" s="140"/>
      <c r="E376" s="140"/>
      <c r="F376" s="141"/>
      <c r="G376" s="142"/>
      <c r="H376" s="125"/>
      <c r="I376" s="125"/>
      <c r="J376" s="125"/>
      <c r="K376" s="125"/>
      <c r="L376" s="127"/>
      <c r="M376" s="143"/>
      <c r="N376" s="129"/>
    </row>
    <row r="377" spans="2:14" x14ac:dyDescent="0.25">
      <c r="B377" s="130"/>
      <c r="C377" s="131"/>
      <c r="D377" s="132"/>
      <c r="E377" s="132"/>
      <c r="F377" s="133"/>
      <c r="G377" s="134"/>
      <c r="H377" s="134"/>
      <c r="I377" s="134"/>
      <c r="J377" s="134"/>
      <c r="K377" s="134"/>
      <c r="L377" s="136"/>
      <c r="M377" s="137"/>
      <c r="N377" s="138"/>
    </row>
    <row r="378" spans="2:14" x14ac:dyDescent="0.25">
      <c r="B378" s="144"/>
      <c r="C378" s="139"/>
      <c r="D378" s="140"/>
      <c r="E378" s="140"/>
      <c r="F378" s="141"/>
      <c r="G378" s="142"/>
      <c r="H378" s="125"/>
      <c r="I378" s="125"/>
      <c r="J378" s="125"/>
      <c r="K378" s="125"/>
      <c r="L378" s="127"/>
      <c r="M378" s="143"/>
      <c r="N378" s="129"/>
    </row>
    <row r="379" spans="2:14" x14ac:dyDescent="0.25">
      <c r="B379" s="130"/>
      <c r="C379" s="131"/>
      <c r="D379" s="132"/>
      <c r="E379" s="132"/>
      <c r="F379" s="133"/>
      <c r="G379" s="134"/>
      <c r="H379" s="134"/>
      <c r="I379" s="134"/>
      <c r="J379" s="134"/>
      <c r="K379" s="134"/>
      <c r="L379" s="136"/>
      <c r="M379" s="137"/>
      <c r="N379" s="138"/>
    </row>
    <row r="380" spans="2:14" x14ac:dyDescent="0.25">
      <c r="B380" s="144"/>
      <c r="C380" s="139"/>
      <c r="D380" s="140"/>
      <c r="E380" s="140"/>
      <c r="F380" s="141"/>
      <c r="G380" s="142"/>
      <c r="H380" s="125"/>
      <c r="I380" s="125"/>
      <c r="J380" s="125"/>
      <c r="K380" s="125"/>
      <c r="L380" s="127"/>
      <c r="M380" s="143"/>
      <c r="N380" s="129"/>
    </row>
    <row r="381" spans="2:14" x14ac:dyDescent="0.25">
      <c r="B381" s="130"/>
      <c r="C381" s="131"/>
      <c r="D381" s="132"/>
      <c r="E381" s="132"/>
      <c r="F381" s="133"/>
      <c r="G381" s="134"/>
      <c r="H381" s="134"/>
      <c r="I381" s="134"/>
      <c r="J381" s="134"/>
      <c r="K381" s="134"/>
      <c r="L381" s="136"/>
      <c r="M381" s="137"/>
      <c r="N381" s="138"/>
    </row>
    <row r="382" spans="2:14" x14ac:dyDescent="0.25">
      <c r="B382" s="144"/>
      <c r="C382" s="139"/>
      <c r="D382" s="140"/>
      <c r="E382" s="140"/>
      <c r="F382" s="141"/>
      <c r="G382" s="142"/>
      <c r="H382" s="125"/>
      <c r="I382" s="125"/>
      <c r="J382" s="125"/>
      <c r="K382" s="125"/>
      <c r="L382" s="127"/>
      <c r="M382" s="143"/>
      <c r="N382" s="129"/>
    </row>
    <row r="383" spans="2:14" x14ac:dyDescent="0.25">
      <c r="B383" s="130"/>
      <c r="C383" s="131"/>
      <c r="D383" s="132"/>
      <c r="E383" s="132"/>
      <c r="F383" s="133"/>
      <c r="G383" s="134"/>
      <c r="H383" s="134"/>
      <c r="I383" s="134"/>
      <c r="J383" s="134"/>
      <c r="K383" s="134"/>
      <c r="L383" s="136"/>
      <c r="M383" s="137"/>
      <c r="N383" s="138"/>
    </row>
    <row r="384" spans="2:14" x14ac:dyDescent="0.25">
      <c r="B384" s="144"/>
      <c r="C384" s="139"/>
      <c r="D384" s="140"/>
      <c r="E384" s="140"/>
      <c r="F384" s="141"/>
      <c r="G384" s="142"/>
      <c r="H384" s="125"/>
      <c r="I384" s="125"/>
      <c r="J384" s="125"/>
      <c r="K384" s="125"/>
      <c r="L384" s="127"/>
      <c r="M384" s="143"/>
      <c r="N384" s="129"/>
    </row>
    <row r="385" spans="2:14" x14ac:dyDescent="0.25">
      <c r="B385" s="130"/>
      <c r="C385" s="131"/>
      <c r="D385" s="132"/>
      <c r="E385" s="132"/>
      <c r="F385" s="133"/>
      <c r="G385" s="134"/>
      <c r="H385" s="134"/>
      <c r="I385" s="134"/>
      <c r="J385" s="134"/>
      <c r="K385" s="134"/>
      <c r="L385" s="136"/>
      <c r="M385" s="137"/>
      <c r="N385" s="138"/>
    </row>
    <row r="386" spans="2:14" x14ac:dyDescent="0.25">
      <c r="B386" s="144"/>
      <c r="C386" s="139"/>
      <c r="D386" s="140"/>
      <c r="E386" s="140"/>
      <c r="F386" s="141"/>
      <c r="G386" s="142"/>
      <c r="H386" s="125"/>
      <c r="I386" s="125"/>
      <c r="J386" s="125"/>
      <c r="K386" s="125"/>
      <c r="L386" s="127"/>
      <c r="M386" s="143"/>
      <c r="N386" s="129"/>
    </row>
    <row r="387" spans="2:14" x14ac:dyDescent="0.25">
      <c r="B387" s="130"/>
      <c r="C387" s="131"/>
      <c r="D387" s="132"/>
      <c r="E387" s="132"/>
      <c r="F387" s="133"/>
      <c r="G387" s="134"/>
      <c r="H387" s="134"/>
      <c r="I387" s="134"/>
      <c r="J387" s="134"/>
      <c r="K387" s="134"/>
      <c r="L387" s="136"/>
      <c r="M387" s="137"/>
      <c r="N387" s="138"/>
    </row>
    <row r="388" spans="2:14" x14ac:dyDescent="0.25">
      <c r="B388" s="144"/>
      <c r="C388" s="139"/>
      <c r="D388" s="140"/>
      <c r="E388" s="140"/>
      <c r="F388" s="141"/>
      <c r="G388" s="142"/>
      <c r="H388" s="125"/>
      <c r="I388" s="125"/>
      <c r="J388" s="125"/>
      <c r="K388" s="125"/>
      <c r="L388" s="127"/>
      <c r="M388" s="143"/>
      <c r="N388" s="129"/>
    </row>
    <row r="389" spans="2:14" x14ac:dyDescent="0.25">
      <c r="B389" s="130"/>
      <c r="C389" s="131"/>
      <c r="D389" s="132"/>
      <c r="E389" s="132"/>
      <c r="F389" s="133"/>
      <c r="G389" s="134"/>
      <c r="H389" s="134"/>
      <c r="I389" s="134"/>
      <c r="J389" s="134"/>
      <c r="K389" s="134"/>
      <c r="L389" s="136"/>
      <c r="M389" s="137"/>
      <c r="N389" s="138"/>
    </row>
    <row r="390" spans="2:14" x14ac:dyDescent="0.25">
      <c r="B390" s="144"/>
      <c r="C390" s="139"/>
      <c r="D390" s="140"/>
      <c r="E390" s="140"/>
      <c r="F390" s="141"/>
      <c r="G390" s="142"/>
      <c r="H390" s="125"/>
      <c r="I390" s="125"/>
      <c r="J390" s="125"/>
      <c r="K390" s="125"/>
      <c r="L390" s="127"/>
      <c r="M390" s="143"/>
      <c r="N390" s="129"/>
    </row>
    <row r="391" spans="2:14" x14ac:dyDescent="0.25">
      <c r="B391" s="130"/>
      <c r="C391" s="131"/>
      <c r="D391" s="132"/>
      <c r="E391" s="132"/>
      <c r="F391" s="133"/>
      <c r="G391" s="134"/>
      <c r="H391" s="134"/>
      <c r="I391" s="134"/>
      <c r="J391" s="134"/>
      <c r="K391" s="134"/>
      <c r="L391" s="136"/>
      <c r="M391" s="137"/>
      <c r="N391" s="138"/>
    </row>
    <row r="392" spans="2:14" x14ac:dyDescent="0.25">
      <c r="B392" s="144"/>
      <c r="C392" s="139"/>
      <c r="D392" s="140"/>
      <c r="E392" s="140"/>
      <c r="F392" s="141"/>
      <c r="G392" s="142"/>
      <c r="H392" s="125"/>
      <c r="I392" s="125"/>
      <c r="J392" s="125"/>
      <c r="K392" s="125"/>
      <c r="L392" s="127"/>
      <c r="M392" s="143"/>
      <c r="N392" s="129"/>
    </row>
    <row r="393" spans="2:14" x14ac:dyDescent="0.25">
      <c r="B393" s="130"/>
      <c r="C393" s="131"/>
      <c r="D393" s="132"/>
      <c r="E393" s="132"/>
      <c r="F393" s="133"/>
      <c r="G393" s="134"/>
      <c r="H393" s="134"/>
      <c r="I393" s="134"/>
      <c r="J393" s="134"/>
      <c r="K393" s="134"/>
      <c r="L393" s="136"/>
      <c r="M393" s="137"/>
      <c r="N393" s="138"/>
    </row>
    <row r="394" spans="2:14" x14ac:dyDescent="0.25">
      <c r="B394" s="144"/>
      <c r="C394" s="139"/>
      <c r="D394" s="140"/>
      <c r="E394" s="140"/>
      <c r="F394" s="141"/>
      <c r="G394" s="142"/>
      <c r="H394" s="125"/>
      <c r="I394" s="125"/>
      <c r="J394" s="125"/>
      <c r="K394" s="125"/>
      <c r="L394" s="127"/>
      <c r="M394" s="143"/>
      <c r="N394" s="129"/>
    </row>
    <row r="395" spans="2:14" x14ac:dyDescent="0.25">
      <c r="B395" s="130"/>
      <c r="C395" s="131"/>
      <c r="D395" s="132"/>
      <c r="E395" s="132"/>
      <c r="F395" s="133"/>
      <c r="G395" s="134"/>
      <c r="H395" s="134"/>
      <c r="I395" s="134"/>
      <c r="J395" s="134"/>
      <c r="K395" s="134"/>
      <c r="L395" s="136"/>
      <c r="M395" s="137"/>
      <c r="N395" s="138"/>
    </row>
    <row r="396" spans="2:14" x14ac:dyDescent="0.25">
      <c r="B396" s="144"/>
      <c r="C396" s="139"/>
      <c r="D396" s="140"/>
      <c r="E396" s="140"/>
      <c r="F396" s="141"/>
      <c r="G396" s="142"/>
      <c r="H396" s="125"/>
      <c r="I396" s="125"/>
      <c r="J396" s="125"/>
      <c r="K396" s="125"/>
      <c r="L396" s="127"/>
      <c r="M396" s="143"/>
      <c r="N396" s="129"/>
    </row>
    <row r="397" spans="2:14" x14ac:dyDescent="0.25">
      <c r="B397" s="130"/>
      <c r="C397" s="131"/>
      <c r="D397" s="132"/>
      <c r="E397" s="132"/>
      <c r="F397" s="133"/>
      <c r="G397" s="134"/>
      <c r="H397" s="134"/>
      <c r="I397" s="134"/>
      <c r="J397" s="134"/>
      <c r="K397" s="134"/>
      <c r="L397" s="136"/>
      <c r="M397" s="137"/>
      <c r="N397" s="138"/>
    </row>
    <row r="398" spans="2:14" x14ac:dyDescent="0.25">
      <c r="B398" s="144"/>
      <c r="C398" s="139"/>
      <c r="D398" s="140"/>
      <c r="E398" s="140"/>
      <c r="F398" s="141"/>
      <c r="G398" s="142"/>
      <c r="H398" s="125"/>
      <c r="I398" s="125"/>
      <c r="J398" s="125"/>
      <c r="K398" s="125"/>
      <c r="L398" s="127"/>
      <c r="M398" s="143"/>
      <c r="N398" s="129"/>
    </row>
    <row r="399" spans="2:14" x14ac:dyDescent="0.25">
      <c r="B399" s="130"/>
      <c r="C399" s="131"/>
      <c r="D399" s="132"/>
      <c r="E399" s="132"/>
      <c r="F399" s="133"/>
      <c r="G399" s="134"/>
      <c r="H399" s="134"/>
      <c r="I399" s="134"/>
      <c r="J399" s="134"/>
      <c r="K399" s="134"/>
      <c r="L399" s="136"/>
      <c r="M399" s="137"/>
      <c r="N399" s="138"/>
    </row>
    <row r="400" spans="2:14" x14ac:dyDescent="0.25">
      <c r="B400" s="144"/>
      <c r="C400" s="139"/>
      <c r="D400" s="140"/>
      <c r="E400" s="140"/>
      <c r="F400" s="141"/>
      <c r="G400" s="142"/>
      <c r="H400" s="125"/>
      <c r="I400" s="125"/>
      <c r="J400" s="125"/>
      <c r="K400" s="125"/>
      <c r="L400" s="127"/>
      <c r="M400" s="143"/>
      <c r="N400" s="129"/>
    </row>
    <row r="401" spans="2:14" x14ac:dyDescent="0.25">
      <c r="B401" s="130"/>
      <c r="C401" s="131"/>
      <c r="D401" s="132"/>
      <c r="E401" s="132"/>
      <c r="F401" s="133"/>
      <c r="G401" s="134"/>
      <c r="H401" s="134"/>
      <c r="I401" s="134"/>
      <c r="J401" s="134"/>
      <c r="K401" s="134"/>
      <c r="L401" s="136"/>
      <c r="M401" s="137"/>
      <c r="N401" s="138"/>
    </row>
    <row r="402" spans="2:14" x14ac:dyDescent="0.25">
      <c r="B402" s="144"/>
      <c r="C402" s="139"/>
      <c r="D402" s="140"/>
      <c r="E402" s="140"/>
      <c r="F402" s="141"/>
      <c r="G402" s="142"/>
      <c r="H402" s="125"/>
      <c r="I402" s="125"/>
      <c r="J402" s="125"/>
      <c r="K402" s="125"/>
      <c r="L402" s="127"/>
      <c r="M402" s="143"/>
      <c r="N402" s="129"/>
    </row>
    <row r="403" spans="2:14" x14ac:dyDescent="0.25">
      <c r="B403" s="130"/>
      <c r="C403" s="131"/>
      <c r="D403" s="132"/>
      <c r="E403" s="132"/>
      <c r="F403" s="133"/>
      <c r="G403" s="134"/>
      <c r="H403" s="134"/>
      <c r="I403" s="134"/>
      <c r="J403" s="134"/>
      <c r="K403" s="134"/>
      <c r="L403" s="136"/>
      <c r="M403" s="137"/>
      <c r="N403" s="138"/>
    </row>
    <row r="404" spans="2:14" x14ac:dyDescent="0.25">
      <c r="B404" s="144"/>
      <c r="C404" s="139"/>
      <c r="D404" s="140"/>
      <c r="E404" s="140"/>
      <c r="F404" s="141"/>
      <c r="G404" s="142"/>
      <c r="H404" s="125"/>
      <c r="I404" s="125"/>
      <c r="J404" s="125"/>
      <c r="K404" s="125"/>
      <c r="L404" s="127"/>
      <c r="M404" s="143"/>
      <c r="N404" s="129"/>
    </row>
    <row r="405" spans="2:14" x14ac:dyDescent="0.25">
      <c r="B405" s="130"/>
      <c r="C405" s="131"/>
      <c r="D405" s="132"/>
      <c r="E405" s="132"/>
      <c r="F405" s="133"/>
      <c r="G405" s="134"/>
      <c r="H405" s="134"/>
      <c r="I405" s="134"/>
      <c r="J405" s="134"/>
      <c r="K405" s="134"/>
      <c r="L405" s="136"/>
      <c r="M405" s="137"/>
      <c r="N405" s="138"/>
    </row>
    <row r="406" spans="2:14" x14ac:dyDescent="0.25">
      <c r="B406" s="144"/>
      <c r="C406" s="139"/>
      <c r="D406" s="140"/>
      <c r="E406" s="140"/>
      <c r="F406" s="141"/>
      <c r="G406" s="142"/>
      <c r="H406" s="125"/>
      <c r="I406" s="125"/>
      <c r="J406" s="125"/>
      <c r="K406" s="125"/>
      <c r="L406" s="127"/>
      <c r="M406" s="143"/>
      <c r="N406" s="129"/>
    </row>
    <row r="407" spans="2:14" x14ac:dyDescent="0.25">
      <c r="B407" s="130"/>
      <c r="C407" s="131"/>
      <c r="D407" s="132"/>
      <c r="E407" s="132"/>
      <c r="F407" s="133"/>
      <c r="G407" s="134"/>
      <c r="H407" s="134"/>
      <c r="I407" s="134"/>
      <c r="J407" s="134"/>
      <c r="K407" s="134"/>
      <c r="L407" s="136"/>
      <c r="M407" s="137"/>
      <c r="N407" s="138"/>
    </row>
    <row r="408" spans="2:14" x14ac:dyDescent="0.25">
      <c r="B408" s="144"/>
      <c r="C408" s="139"/>
      <c r="D408" s="140"/>
      <c r="E408" s="140"/>
      <c r="F408" s="141"/>
      <c r="G408" s="142"/>
      <c r="H408" s="125"/>
      <c r="I408" s="125"/>
      <c r="J408" s="125"/>
      <c r="K408" s="125"/>
      <c r="L408" s="127"/>
      <c r="M408" s="143"/>
      <c r="N408" s="129"/>
    </row>
    <row r="409" spans="2:14" x14ac:dyDescent="0.25">
      <c r="B409" s="130"/>
      <c r="C409" s="131"/>
      <c r="D409" s="132"/>
      <c r="E409" s="132"/>
      <c r="F409" s="133"/>
      <c r="G409" s="134"/>
      <c r="H409" s="134"/>
      <c r="I409" s="134"/>
      <c r="J409" s="134"/>
      <c r="K409" s="134"/>
      <c r="L409" s="136"/>
      <c r="M409" s="137"/>
      <c r="N409" s="138"/>
    </row>
    <row r="410" spans="2:14" x14ac:dyDescent="0.25">
      <c r="B410" s="144"/>
      <c r="C410" s="139"/>
      <c r="D410" s="140"/>
      <c r="E410" s="140"/>
      <c r="F410" s="141"/>
      <c r="G410" s="142"/>
      <c r="H410" s="125"/>
      <c r="I410" s="125"/>
      <c r="J410" s="125"/>
      <c r="K410" s="125"/>
      <c r="L410" s="127"/>
      <c r="M410" s="143"/>
      <c r="N410" s="129"/>
    </row>
    <row r="411" spans="2:14" x14ac:dyDescent="0.25">
      <c r="B411" s="130"/>
      <c r="C411" s="131"/>
      <c r="D411" s="132"/>
      <c r="E411" s="132"/>
      <c r="F411" s="133"/>
      <c r="G411" s="134"/>
      <c r="H411" s="134"/>
      <c r="I411" s="134"/>
      <c r="J411" s="134"/>
      <c r="K411" s="134"/>
      <c r="L411" s="136"/>
      <c r="M411" s="137"/>
      <c r="N411" s="138"/>
    </row>
    <row r="412" spans="2:14" x14ac:dyDescent="0.25">
      <c r="B412" s="144"/>
      <c r="C412" s="139"/>
      <c r="D412" s="140"/>
      <c r="E412" s="140"/>
      <c r="F412" s="141"/>
      <c r="G412" s="142"/>
      <c r="H412" s="125"/>
      <c r="I412" s="125"/>
      <c r="J412" s="125"/>
      <c r="K412" s="125"/>
      <c r="L412" s="127"/>
      <c r="M412" s="143"/>
      <c r="N412" s="129"/>
    </row>
    <row r="413" spans="2:14" x14ac:dyDescent="0.25">
      <c r="B413" s="130"/>
      <c r="C413" s="131"/>
      <c r="D413" s="132"/>
      <c r="E413" s="132"/>
      <c r="F413" s="133"/>
      <c r="G413" s="134"/>
      <c r="H413" s="134"/>
      <c r="I413" s="134"/>
      <c r="J413" s="134"/>
      <c r="K413" s="134"/>
      <c r="L413" s="136"/>
      <c r="M413" s="137"/>
      <c r="N413" s="138"/>
    </row>
    <row r="414" spans="2:14" x14ac:dyDescent="0.25">
      <c r="B414" s="144"/>
      <c r="C414" s="139"/>
      <c r="D414" s="140"/>
      <c r="E414" s="140"/>
      <c r="F414" s="141"/>
      <c r="G414" s="142"/>
      <c r="H414" s="125"/>
      <c r="I414" s="125"/>
      <c r="J414" s="125"/>
      <c r="K414" s="125"/>
      <c r="L414" s="127"/>
      <c r="M414" s="143"/>
      <c r="N414" s="129"/>
    </row>
    <row r="415" spans="2:14" x14ac:dyDescent="0.25">
      <c r="B415" s="130"/>
      <c r="C415" s="131"/>
      <c r="D415" s="132"/>
      <c r="E415" s="132"/>
      <c r="F415" s="133"/>
      <c r="G415" s="134"/>
      <c r="H415" s="134"/>
      <c r="I415" s="134"/>
      <c r="J415" s="134"/>
      <c r="K415" s="134"/>
      <c r="L415" s="136"/>
      <c r="M415" s="137"/>
      <c r="N415" s="138"/>
    </row>
    <row r="416" spans="2:14" x14ac:dyDescent="0.25">
      <c r="B416" s="144"/>
      <c r="C416" s="139"/>
      <c r="D416" s="140"/>
      <c r="E416" s="140"/>
      <c r="F416" s="141"/>
      <c r="G416" s="142"/>
      <c r="H416" s="125"/>
      <c r="I416" s="125"/>
      <c r="J416" s="125"/>
      <c r="K416" s="125"/>
      <c r="L416" s="127"/>
      <c r="M416" s="143"/>
      <c r="N416" s="129"/>
    </row>
    <row r="417" spans="2:14" x14ac:dyDescent="0.25">
      <c r="B417" s="130"/>
      <c r="C417" s="131"/>
      <c r="D417" s="132"/>
      <c r="E417" s="132"/>
      <c r="F417" s="133"/>
      <c r="G417" s="134"/>
      <c r="H417" s="134"/>
      <c r="I417" s="134"/>
      <c r="J417" s="134"/>
      <c r="K417" s="134"/>
      <c r="L417" s="136"/>
      <c r="M417" s="137"/>
      <c r="N417" s="138"/>
    </row>
    <row r="418" spans="2:14" x14ac:dyDescent="0.25">
      <c r="B418" s="144"/>
      <c r="C418" s="139"/>
      <c r="D418" s="140"/>
      <c r="E418" s="140"/>
      <c r="F418" s="141"/>
      <c r="G418" s="142"/>
      <c r="H418" s="125"/>
      <c r="I418" s="125"/>
      <c r="J418" s="125"/>
      <c r="K418" s="125"/>
      <c r="L418" s="127"/>
      <c r="M418" s="143"/>
      <c r="N418" s="129"/>
    </row>
    <row r="419" spans="2:14" x14ac:dyDescent="0.25">
      <c r="B419" s="130"/>
      <c r="C419" s="131"/>
      <c r="D419" s="132"/>
      <c r="E419" s="132"/>
      <c r="F419" s="133"/>
      <c r="G419" s="134"/>
      <c r="H419" s="134"/>
      <c r="I419" s="134"/>
      <c r="J419" s="134"/>
      <c r="K419" s="134"/>
      <c r="L419" s="136"/>
      <c r="M419" s="137"/>
      <c r="N419" s="138"/>
    </row>
    <row r="420" spans="2:14" x14ac:dyDescent="0.25">
      <c r="B420" s="144"/>
      <c r="C420" s="139"/>
      <c r="D420" s="140"/>
      <c r="E420" s="140"/>
      <c r="F420" s="141"/>
      <c r="G420" s="142"/>
      <c r="H420" s="125"/>
      <c r="I420" s="125"/>
      <c r="J420" s="125"/>
      <c r="K420" s="125"/>
      <c r="L420" s="127"/>
      <c r="M420" s="143"/>
      <c r="N420" s="129"/>
    </row>
    <row r="421" spans="2:14" x14ac:dyDescent="0.25">
      <c r="B421" s="130"/>
      <c r="C421" s="131"/>
      <c r="D421" s="132"/>
      <c r="E421" s="132"/>
      <c r="F421" s="133"/>
      <c r="G421" s="134"/>
      <c r="H421" s="134"/>
      <c r="I421" s="134"/>
      <c r="J421" s="134"/>
      <c r="K421" s="134"/>
      <c r="L421" s="136"/>
      <c r="M421" s="137"/>
      <c r="N421" s="138"/>
    </row>
    <row r="422" spans="2:14" x14ac:dyDescent="0.25">
      <c r="B422" s="144"/>
      <c r="C422" s="139"/>
      <c r="D422" s="140"/>
      <c r="E422" s="140"/>
      <c r="F422" s="141"/>
      <c r="G422" s="142"/>
      <c r="H422" s="125"/>
      <c r="I422" s="125"/>
      <c r="J422" s="125"/>
      <c r="K422" s="125"/>
      <c r="L422" s="127"/>
      <c r="M422" s="143"/>
      <c r="N422" s="129"/>
    </row>
    <row r="423" spans="2:14" x14ac:dyDescent="0.25">
      <c r="B423" s="130"/>
      <c r="C423" s="131"/>
      <c r="D423" s="132"/>
      <c r="E423" s="132"/>
      <c r="F423" s="133"/>
      <c r="G423" s="134"/>
      <c r="H423" s="134"/>
      <c r="I423" s="134"/>
      <c r="J423" s="134"/>
      <c r="K423" s="134"/>
      <c r="L423" s="136"/>
      <c r="M423" s="137"/>
      <c r="N423" s="138"/>
    </row>
    <row r="424" spans="2:14" x14ac:dyDescent="0.25">
      <c r="B424" s="144"/>
      <c r="C424" s="139"/>
      <c r="D424" s="140"/>
      <c r="E424" s="140"/>
      <c r="F424" s="141"/>
      <c r="G424" s="142"/>
      <c r="H424" s="125"/>
      <c r="I424" s="125"/>
      <c r="J424" s="125"/>
      <c r="K424" s="125"/>
      <c r="L424" s="127"/>
      <c r="M424" s="143"/>
      <c r="N424" s="129"/>
    </row>
    <row r="425" spans="2:14" x14ac:dyDescent="0.25">
      <c r="B425" s="130"/>
      <c r="C425" s="131"/>
      <c r="D425" s="132"/>
      <c r="E425" s="132"/>
      <c r="F425" s="133"/>
      <c r="G425" s="134"/>
      <c r="H425" s="134"/>
      <c r="I425" s="134"/>
      <c r="J425" s="134"/>
      <c r="K425" s="134"/>
      <c r="L425" s="136"/>
      <c r="M425" s="137"/>
      <c r="N425" s="138"/>
    </row>
    <row r="426" spans="2:14" x14ac:dyDescent="0.25">
      <c r="B426" s="144"/>
      <c r="C426" s="139"/>
      <c r="D426" s="140"/>
      <c r="E426" s="140"/>
      <c r="F426" s="141"/>
      <c r="G426" s="142"/>
      <c r="H426" s="125"/>
      <c r="I426" s="125"/>
      <c r="J426" s="125"/>
      <c r="K426" s="125"/>
      <c r="L426" s="127"/>
      <c r="M426" s="143"/>
      <c r="N426" s="129"/>
    </row>
    <row r="427" spans="2:14" x14ac:dyDescent="0.25">
      <c r="B427" s="130"/>
      <c r="C427" s="131"/>
      <c r="D427" s="132"/>
      <c r="E427" s="132"/>
      <c r="F427" s="133"/>
      <c r="G427" s="134"/>
      <c r="H427" s="134"/>
      <c r="I427" s="134"/>
      <c r="J427" s="134"/>
      <c r="K427" s="134"/>
      <c r="L427" s="136"/>
      <c r="M427" s="137"/>
      <c r="N427" s="138"/>
    </row>
    <row r="428" spans="2:14" x14ac:dyDescent="0.25">
      <c r="B428" s="144"/>
      <c r="C428" s="139"/>
      <c r="D428" s="140"/>
      <c r="E428" s="140"/>
      <c r="F428" s="141"/>
      <c r="G428" s="142"/>
      <c r="H428" s="125"/>
      <c r="I428" s="125"/>
      <c r="J428" s="125"/>
      <c r="K428" s="125"/>
      <c r="L428" s="127"/>
      <c r="M428" s="143"/>
      <c r="N428" s="129"/>
    </row>
    <row r="429" spans="2:14" x14ac:dyDescent="0.25">
      <c r="B429" s="130"/>
      <c r="C429" s="131"/>
      <c r="D429" s="132"/>
      <c r="E429" s="132"/>
      <c r="F429" s="133"/>
      <c r="G429" s="134"/>
      <c r="H429" s="134"/>
      <c r="I429" s="134"/>
      <c r="J429" s="134"/>
      <c r="K429" s="134"/>
      <c r="L429" s="136"/>
      <c r="M429" s="137"/>
      <c r="N429" s="138"/>
    </row>
    <row r="430" spans="2:14" x14ac:dyDescent="0.25">
      <c r="B430" s="144"/>
      <c r="C430" s="139"/>
      <c r="D430" s="140"/>
      <c r="E430" s="140"/>
      <c r="F430" s="141"/>
      <c r="G430" s="142"/>
      <c r="H430" s="125"/>
      <c r="I430" s="125"/>
      <c r="J430" s="125"/>
      <c r="K430" s="125"/>
      <c r="L430" s="127"/>
      <c r="M430" s="143"/>
      <c r="N430" s="129"/>
    </row>
    <row r="431" spans="2:14" x14ac:dyDescent="0.25">
      <c r="B431" s="130"/>
      <c r="C431" s="131"/>
      <c r="D431" s="132"/>
      <c r="E431" s="132"/>
      <c r="F431" s="133"/>
      <c r="G431" s="134"/>
      <c r="H431" s="134"/>
      <c r="I431" s="134"/>
      <c r="J431" s="134"/>
      <c r="K431" s="134"/>
      <c r="L431" s="136"/>
      <c r="M431" s="137"/>
      <c r="N431" s="138"/>
    </row>
    <row r="432" spans="2:14" x14ac:dyDescent="0.25">
      <c r="B432" s="144"/>
      <c r="C432" s="139"/>
      <c r="D432" s="140"/>
      <c r="E432" s="140"/>
      <c r="F432" s="141"/>
      <c r="G432" s="142"/>
      <c r="H432" s="125"/>
      <c r="I432" s="125"/>
      <c r="J432" s="125"/>
      <c r="K432" s="125"/>
      <c r="L432" s="127"/>
      <c r="M432" s="143"/>
      <c r="N432" s="129"/>
    </row>
    <row r="433" spans="2:14" x14ac:dyDescent="0.25">
      <c r="B433" s="130"/>
      <c r="C433" s="131"/>
      <c r="D433" s="132"/>
      <c r="E433" s="132"/>
      <c r="F433" s="133"/>
      <c r="G433" s="134"/>
      <c r="H433" s="134"/>
      <c r="I433" s="134"/>
      <c r="J433" s="134"/>
      <c r="K433" s="134"/>
      <c r="L433" s="136"/>
      <c r="M433" s="137"/>
      <c r="N433" s="138"/>
    </row>
    <row r="434" spans="2:14" x14ac:dyDescent="0.25">
      <c r="B434" s="144"/>
      <c r="C434" s="139"/>
      <c r="D434" s="140"/>
      <c r="E434" s="140"/>
      <c r="F434" s="141"/>
      <c r="G434" s="142"/>
      <c r="H434" s="125"/>
      <c r="I434" s="125"/>
      <c r="J434" s="125"/>
      <c r="K434" s="125"/>
      <c r="L434" s="127"/>
      <c r="M434" s="143"/>
      <c r="N434" s="129"/>
    </row>
    <row r="435" spans="2:14" x14ac:dyDescent="0.25">
      <c r="B435" s="130"/>
      <c r="C435" s="131"/>
      <c r="D435" s="132"/>
      <c r="E435" s="132"/>
      <c r="F435" s="133"/>
      <c r="G435" s="134"/>
      <c r="H435" s="134"/>
      <c r="I435" s="134"/>
      <c r="J435" s="134"/>
      <c r="K435" s="134"/>
      <c r="L435" s="136"/>
      <c r="M435" s="137"/>
      <c r="N435" s="138"/>
    </row>
    <row r="436" spans="2:14" x14ac:dyDescent="0.25">
      <c r="B436" s="144"/>
      <c r="C436" s="139"/>
      <c r="D436" s="140"/>
      <c r="E436" s="140"/>
      <c r="F436" s="141"/>
      <c r="G436" s="142"/>
      <c r="H436" s="125"/>
      <c r="I436" s="125"/>
      <c r="J436" s="125"/>
      <c r="K436" s="125"/>
      <c r="L436" s="127"/>
      <c r="M436" s="143"/>
      <c r="N436" s="129"/>
    </row>
    <row r="437" spans="2:14" x14ac:dyDescent="0.25">
      <c r="B437" s="130"/>
      <c r="C437" s="131"/>
      <c r="D437" s="132"/>
      <c r="E437" s="132"/>
      <c r="F437" s="133"/>
      <c r="G437" s="134"/>
      <c r="H437" s="134"/>
      <c r="I437" s="134"/>
      <c r="J437" s="134"/>
      <c r="K437" s="134"/>
      <c r="L437" s="136"/>
      <c r="M437" s="137"/>
      <c r="N437" s="138"/>
    </row>
    <row r="438" spans="2:14" x14ac:dyDescent="0.25">
      <c r="B438" s="144"/>
      <c r="C438" s="139"/>
      <c r="D438" s="140"/>
      <c r="E438" s="140"/>
      <c r="F438" s="141"/>
      <c r="G438" s="142"/>
      <c r="H438" s="125"/>
      <c r="I438" s="125"/>
      <c r="J438" s="125"/>
      <c r="K438" s="125"/>
      <c r="L438" s="127"/>
      <c r="M438" s="143"/>
      <c r="N438" s="129"/>
    </row>
    <row r="439" spans="2:14" x14ac:dyDescent="0.25">
      <c r="B439" s="130"/>
      <c r="C439" s="131"/>
      <c r="D439" s="132"/>
      <c r="E439" s="132"/>
      <c r="F439" s="133"/>
      <c r="G439" s="134"/>
      <c r="H439" s="134"/>
      <c r="I439" s="134"/>
      <c r="J439" s="134"/>
      <c r="K439" s="134"/>
      <c r="L439" s="136"/>
      <c r="M439" s="137"/>
      <c r="N439" s="138"/>
    </row>
    <row r="440" spans="2:14" x14ac:dyDescent="0.25">
      <c r="B440" s="144"/>
      <c r="C440" s="139"/>
      <c r="D440" s="140"/>
      <c r="E440" s="140"/>
      <c r="F440" s="141"/>
      <c r="G440" s="142"/>
      <c r="H440" s="125"/>
      <c r="I440" s="125"/>
      <c r="J440" s="125"/>
      <c r="K440" s="125"/>
      <c r="L440" s="127"/>
      <c r="M440" s="143"/>
      <c r="N440" s="129"/>
    </row>
    <row r="441" spans="2:14" x14ac:dyDescent="0.25">
      <c r="B441" s="130"/>
      <c r="C441" s="131"/>
      <c r="D441" s="132"/>
      <c r="E441" s="132"/>
      <c r="F441" s="133"/>
      <c r="G441" s="134"/>
      <c r="H441" s="134"/>
      <c r="I441" s="134"/>
      <c r="J441" s="134"/>
      <c r="K441" s="134"/>
      <c r="L441" s="136"/>
      <c r="M441" s="137"/>
      <c r="N441" s="138"/>
    </row>
    <row r="442" spans="2:14" x14ac:dyDescent="0.25">
      <c r="B442" s="144"/>
      <c r="C442" s="139"/>
      <c r="D442" s="140"/>
      <c r="E442" s="140"/>
      <c r="F442" s="141"/>
      <c r="G442" s="142"/>
      <c r="H442" s="125"/>
      <c r="I442" s="125"/>
      <c r="J442" s="125"/>
      <c r="K442" s="125"/>
      <c r="L442" s="127"/>
      <c r="M442" s="143"/>
      <c r="N442" s="129"/>
    </row>
    <row r="443" spans="2:14" x14ac:dyDescent="0.25">
      <c r="B443" s="130"/>
      <c r="C443" s="131"/>
      <c r="D443" s="132"/>
      <c r="E443" s="132"/>
      <c r="F443" s="133"/>
      <c r="G443" s="134"/>
      <c r="H443" s="134"/>
      <c r="I443" s="134"/>
      <c r="J443" s="134"/>
      <c r="K443" s="134"/>
      <c r="L443" s="136"/>
      <c r="M443" s="137"/>
      <c r="N443" s="138"/>
    </row>
    <row r="444" spans="2:14" x14ac:dyDescent="0.25">
      <c r="B444" s="144"/>
      <c r="C444" s="139"/>
      <c r="D444" s="140"/>
      <c r="E444" s="140"/>
      <c r="F444" s="141"/>
      <c r="G444" s="142"/>
      <c r="H444" s="125"/>
      <c r="I444" s="125"/>
      <c r="J444" s="125"/>
      <c r="K444" s="125"/>
      <c r="L444" s="127"/>
      <c r="M444" s="143"/>
      <c r="N444" s="129"/>
    </row>
    <row r="445" spans="2:14" x14ac:dyDescent="0.25">
      <c r="B445" s="130"/>
      <c r="C445" s="131"/>
      <c r="D445" s="132"/>
      <c r="E445" s="132"/>
      <c r="F445" s="133"/>
      <c r="G445" s="134"/>
      <c r="H445" s="134"/>
      <c r="I445" s="134"/>
      <c r="J445" s="134"/>
      <c r="K445" s="134"/>
      <c r="L445" s="136"/>
      <c r="M445" s="137"/>
      <c r="N445" s="138"/>
    </row>
    <row r="446" spans="2:14" x14ac:dyDescent="0.25">
      <c r="B446" s="144"/>
      <c r="C446" s="139"/>
      <c r="D446" s="140"/>
      <c r="E446" s="140"/>
      <c r="F446" s="141"/>
      <c r="G446" s="142"/>
      <c r="H446" s="125"/>
      <c r="I446" s="125"/>
      <c r="J446" s="125"/>
      <c r="K446" s="125"/>
      <c r="L446" s="127"/>
      <c r="M446" s="143"/>
      <c r="N446" s="129"/>
    </row>
    <row r="447" spans="2:14" x14ac:dyDescent="0.25">
      <c r="B447" s="130"/>
      <c r="C447" s="131"/>
      <c r="D447" s="132"/>
      <c r="E447" s="132"/>
      <c r="F447" s="133"/>
      <c r="G447" s="134"/>
      <c r="H447" s="134"/>
      <c r="I447" s="134"/>
      <c r="J447" s="134"/>
      <c r="K447" s="134"/>
      <c r="L447" s="136"/>
      <c r="M447" s="137"/>
      <c r="N447" s="138"/>
    </row>
    <row r="448" spans="2:14" x14ac:dyDescent="0.25">
      <c r="B448" s="144"/>
      <c r="C448" s="139"/>
      <c r="D448" s="140"/>
      <c r="E448" s="140"/>
      <c r="F448" s="141"/>
      <c r="G448" s="142"/>
      <c r="H448" s="125"/>
      <c r="I448" s="125"/>
      <c r="J448" s="125"/>
      <c r="K448" s="125"/>
      <c r="L448" s="127"/>
      <c r="M448" s="143"/>
      <c r="N448" s="129"/>
    </row>
    <row r="449" spans="2:14" x14ac:dyDescent="0.25">
      <c r="B449" s="130"/>
      <c r="C449" s="131"/>
      <c r="D449" s="132"/>
      <c r="E449" s="132"/>
      <c r="F449" s="133"/>
      <c r="G449" s="134"/>
      <c r="H449" s="134"/>
      <c r="I449" s="134"/>
      <c r="J449" s="134"/>
      <c r="K449" s="134"/>
      <c r="L449" s="136"/>
      <c r="M449" s="137"/>
      <c r="N449" s="138"/>
    </row>
    <row r="450" spans="2:14" x14ac:dyDescent="0.25">
      <c r="B450" s="144"/>
      <c r="C450" s="139"/>
      <c r="D450" s="140"/>
      <c r="E450" s="140"/>
      <c r="F450" s="141"/>
      <c r="G450" s="142"/>
      <c r="H450" s="125"/>
      <c r="I450" s="125"/>
      <c r="J450" s="125"/>
      <c r="K450" s="125"/>
      <c r="L450" s="127"/>
      <c r="M450" s="143"/>
      <c r="N450" s="129"/>
    </row>
    <row r="451" spans="2:14" x14ac:dyDescent="0.25">
      <c r="B451" s="130"/>
      <c r="C451" s="131"/>
      <c r="D451" s="132"/>
      <c r="E451" s="132"/>
      <c r="F451" s="133"/>
      <c r="G451" s="134"/>
      <c r="H451" s="134"/>
      <c r="I451" s="134"/>
      <c r="J451" s="134"/>
      <c r="K451" s="134"/>
      <c r="L451" s="136"/>
      <c r="M451" s="137"/>
      <c r="N451" s="138"/>
    </row>
    <row r="452" spans="2:14" x14ac:dyDescent="0.25">
      <c r="B452" s="144"/>
      <c r="C452" s="139"/>
      <c r="D452" s="140"/>
      <c r="E452" s="140"/>
      <c r="F452" s="141"/>
      <c r="G452" s="142"/>
      <c r="H452" s="125"/>
      <c r="I452" s="125"/>
      <c r="J452" s="125"/>
      <c r="K452" s="125"/>
      <c r="L452" s="127"/>
      <c r="M452" s="143"/>
      <c r="N452" s="129"/>
    </row>
    <row r="453" spans="2:14" x14ac:dyDescent="0.25">
      <c r="B453" s="130"/>
      <c r="C453" s="131"/>
      <c r="D453" s="132"/>
      <c r="E453" s="132"/>
      <c r="F453" s="133"/>
      <c r="G453" s="134"/>
      <c r="H453" s="134"/>
      <c r="I453" s="134"/>
      <c r="J453" s="134"/>
      <c r="K453" s="134"/>
      <c r="L453" s="136"/>
      <c r="M453" s="137"/>
      <c r="N453" s="138"/>
    </row>
    <row r="454" spans="2:14" x14ac:dyDescent="0.25">
      <c r="B454" s="144"/>
      <c r="C454" s="139"/>
      <c r="D454" s="140"/>
      <c r="E454" s="140"/>
      <c r="F454" s="141"/>
      <c r="G454" s="142"/>
      <c r="H454" s="125"/>
      <c r="I454" s="125"/>
      <c r="J454" s="125"/>
      <c r="K454" s="125"/>
      <c r="L454" s="127"/>
      <c r="M454" s="143"/>
      <c r="N454" s="129"/>
    </row>
    <row r="455" spans="2:14" x14ac:dyDescent="0.25">
      <c r="B455" s="130"/>
      <c r="C455" s="131"/>
      <c r="D455" s="132"/>
      <c r="E455" s="132"/>
      <c r="F455" s="133"/>
      <c r="G455" s="134"/>
      <c r="H455" s="134"/>
      <c r="I455" s="134"/>
      <c r="J455" s="134"/>
      <c r="K455" s="134"/>
      <c r="L455" s="136"/>
      <c r="M455" s="137"/>
      <c r="N455" s="138"/>
    </row>
    <row r="456" spans="2:14" x14ac:dyDescent="0.25">
      <c r="B456" s="144"/>
      <c r="C456" s="139"/>
      <c r="D456" s="140"/>
      <c r="E456" s="140"/>
      <c r="F456" s="141"/>
      <c r="G456" s="142"/>
      <c r="H456" s="125"/>
      <c r="I456" s="125"/>
      <c r="J456" s="125"/>
      <c r="K456" s="125"/>
      <c r="L456" s="127"/>
      <c r="M456" s="143"/>
      <c r="N456" s="129"/>
    </row>
    <row r="457" spans="2:14" x14ac:dyDescent="0.25">
      <c r="B457" s="130"/>
      <c r="C457" s="131"/>
      <c r="D457" s="132"/>
      <c r="E457" s="132"/>
      <c r="F457" s="133"/>
      <c r="G457" s="134"/>
      <c r="H457" s="134"/>
      <c r="I457" s="134"/>
      <c r="J457" s="134"/>
      <c r="K457" s="134"/>
      <c r="L457" s="136"/>
      <c r="M457" s="137"/>
      <c r="N457" s="138"/>
    </row>
    <row r="458" spans="2:14" x14ac:dyDescent="0.25">
      <c r="B458" s="144"/>
      <c r="C458" s="139"/>
      <c r="D458" s="140"/>
      <c r="E458" s="140"/>
      <c r="F458" s="141"/>
      <c r="G458" s="142"/>
      <c r="H458" s="125"/>
      <c r="I458" s="125"/>
      <c r="J458" s="125"/>
      <c r="K458" s="125"/>
      <c r="L458" s="127"/>
      <c r="M458" s="143"/>
      <c r="N458" s="129"/>
    </row>
    <row r="459" spans="2:14" x14ac:dyDescent="0.25">
      <c r="B459" s="130"/>
      <c r="C459" s="131"/>
      <c r="D459" s="132"/>
      <c r="E459" s="132"/>
      <c r="F459" s="133"/>
      <c r="G459" s="134"/>
      <c r="H459" s="134"/>
      <c r="I459" s="134"/>
      <c r="J459" s="134"/>
      <c r="K459" s="134"/>
      <c r="L459" s="136"/>
      <c r="M459" s="137"/>
      <c r="N459" s="138"/>
    </row>
    <row r="460" spans="2:14" x14ac:dyDescent="0.25">
      <c r="B460" s="144"/>
      <c r="C460" s="139"/>
      <c r="D460" s="140"/>
      <c r="E460" s="140"/>
      <c r="F460" s="141"/>
      <c r="G460" s="142"/>
      <c r="H460" s="125"/>
      <c r="I460" s="125"/>
      <c r="J460" s="125"/>
      <c r="K460" s="125"/>
      <c r="L460" s="127"/>
      <c r="M460" s="143"/>
      <c r="N460" s="129"/>
    </row>
    <row r="461" spans="2:14" x14ac:dyDescent="0.25">
      <c r="B461" s="130"/>
      <c r="C461" s="131"/>
      <c r="D461" s="132"/>
      <c r="E461" s="132"/>
      <c r="F461" s="133"/>
      <c r="G461" s="134"/>
      <c r="H461" s="134"/>
      <c r="I461" s="134"/>
      <c r="J461" s="134"/>
      <c r="K461" s="134"/>
      <c r="L461" s="136"/>
      <c r="M461" s="137"/>
      <c r="N461" s="138"/>
    </row>
    <row r="462" spans="2:14" x14ac:dyDescent="0.25">
      <c r="B462" s="144"/>
      <c r="C462" s="139"/>
      <c r="D462" s="140"/>
      <c r="E462" s="140"/>
      <c r="F462" s="141"/>
      <c r="G462" s="142"/>
      <c r="H462" s="125"/>
      <c r="I462" s="125"/>
      <c r="J462" s="125"/>
      <c r="K462" s="125"/>
      <c r="L462" s="127"/>
      <c r="M462" s="143"/>
      <c r="N462" s="129"/>
    </row>
    <row r="463" spans="2:14" x14ac:dyDescent="0.25">
      <c r="B463" s="130"/>
      <c r="C463" s="131"/>
      <c r="D463" s="132"/>
      <c r="E463" s="132"/>
      <c r="F463" s="133"/>
      <c r="G463" s="134"/>
      <c r="H463" s="134"/>
      <c r="I463" s="134"/>
      <c r="J463" s="134"/>
      <c r="K463" s="134"/>
      <c r="L463" s="136"/>
      <c r="M463" s="137"/>
      <c r="N463" s="138"/>
    </row>
    <row r="464" spans="2:14" x14ac:dyDescent="0.25">
      <c r="B464" s="144"/>
      <c r="C464" s="139"/>
      <c r="D464" s="140"/>
      <c r="E464" s="140"/>
      <c r="F464" s="141"/>
      <c r="G464" s="142"/>
      <c r="H464" s="125"/>
      <c r="I464" s="125"/>
      <c r="J464" s="125"/>
      <c r="K464" s="125"/>
      <c r="L464" s="127"/>
      <c r="M464" s="143"/>
      <c r="N464" s="129"/>
    </row>
    <row r="465" spans="2:14" x14ac:dyDescent="0.25">
      <c r="B465" s="130"/>
      <c r="C465" s="131"/>
      <c r="D465" s="132"/>
      <c r="E465" s="132"/>
      <c r="F465" s="133"/>
      <c r="G465" s="134"/>
      <c r="H465" s="134"/>
      <c r="I465" s="134"/>
      <c r="J465" s="134"/>
      <c r="K465" s="134"/>
      <c r="L465" s="136"/>
      <c r="M465" s="137"/>
      <c r="N465" s="138"/>
    </row>
    <row r="466" spans="2:14" x14ac:dyDescent="0.25">
      <c r="B466" s="144"/>
      <c r="C466" s="139"/>
      <c r="D466" s="140"/>
      <c r="E466" s="140"/>
      <c r="F466" s="141"/>
      <c r="G466" s="142"/>
      <c r="H466" s="125"/>
      <c r="I466" s="125"/>
      <c r="J466" s="125"/>
      <c r="K466" s="125"/>
      <c r="L466" s="127"/>
      <c r="M466" s="143"/>
      <c r="N466" s="129"/>
    </row>
    <row r="467" spans="2:14" x14ac:dyDescent="0.25">
      <c r="B467" s="130"/>
      <c r="C467" s="131"/>
      <c r="D467" s="132"/>
      <c r="E467" s="132"/>
      <c r="F467" s="133"/>
      <c r="G467" s="134"/>
      <c r="H467" s="134"/>
      <c r="I467" s="134"/>
      <c r="J467" s="134"/>
      <c r="K467" s="134"/>
      <c r="L467" s="136"/>
      <c r="M467" s="137"/>
      <c r="N467" s="138"/>
    </row>
    <row r="468" spans="2:14" x14ac:dyDescent="0.25">
      <c r="B468" s="144"/>
      <c r="C468" s="139"/>
      <c r="D468" s="140"/>
      <c r="E468" s="140"/>
      <c r="F468" s="141"/>
      <c r="G468" s="142"/>
      <c r="H468" s="125"/>
      <c r="I468" s="125"/>
      <c r="J468" s="125"/>
      <c r="K468" s="125"/>
      <c r="L468" s="127"/>
      <c r="M468" s="143"/>
      <c r="N468" s="129"/>
    </row>
    <row r="469" spans="2:14" x14ac:dyDescent="0.25">
      <c r="B469" s="130"/>
      <c r="C469" s="131"/>
      <c r="D469" s="132"/>
      <c r="E469" s="132"/>
      <c r="F469" s="133"/>
      <c r="G469" s="134"/>
      <c r="H469" s="134"/>
      <c r="I469" s="134"/>
      <c r="J469" s="134"/>
      <c r="K469" s="134"/>
      <c r="L469" s="136"/>
      <c r="M469" s="137"/>
      <c r="N469" s="138"/>
    </row>
    <row r="470" spans="2:14" x14ac:dyDescent="0.25">
      <c r="B470" s="144"/>
      <c r="C470" s="139"/>
      <c r="D470" s="140"/>
      <c r="E470" s="140"/>
      <c r="F470" s="141"/>
      <c r="G470" s="142"/>
      <c r="H470" s="125"/>
      <c r="I470" s="125"/>
      <c r="J470" s="125"/>
      <c r="K470" s="125"/>
      <c r="L470" s="127"/>
      <c r="M470" s="143"/>
      <c r="N470" s="129"/>
    </row>
    <row r="471" spans="2:14" x14ac:dyDescent="0.25">
      <c r="B471" s="130"/>
      <c r="C471" s="131"/>
      <c r="D471" s="132"/>
      <c r="E471" s="132"/>
      <c r="F471" s="133"/>
      <c r="G471" s="134"/>
      <c r="H471" s="134"/>
      <c r="I471" s="134"/>
      <c r="J471" s="134"/>
      <c r="K471" s="134"/>
      <c r="L471" s="136"/>
      <c r="M471" s="137"/>
      <c r="N471" s="138"/>
    </row>
    <row r="472" spans="2:14" x14ac:dyDescent="0.25">
      <c r="B472" s="144"/>
      <c r="C472" s="139"/>
      <c r="D472" s="140"/>
      <c r="E472" s="140"/>
      <c r="F472" s="141"/>
      <c r="G472" s="142"/>
      <c r="H472" s="125"/>
      <c r="I472" s="125"/>
      <c r="J472" s="125"/>
      <c r="K472" s="125"/>
      <c r="L472" s="127"/>
      <c r="M472" s="143"/>
      <c r="N472" s="129"/>
    </row>
    <row r="473" spans="2:14" x14ac:dyDescent="0.25">
      <c r="B473" s="130"/>
      <c r="C473" s="131"/>
      <c r="D473" s="132"/>
      <c r="E473" s="132"/>
      <c r="F473" s="133"/>
      <c r="G473" s="134"/>
      <c r="H473" s="134"/>
      <c r="I473" s="134"/>
      <c r="J473" s="134"/>
      <c r="K473" s="134"/>
      <c r="L473" s="136"/>
      <c r="M473" s="137"/>
      <c r="N473" s="138"/>
    </row>
    <row r="474" spans="2:14" x14ac:dyDescent="0.25">
      <c r="B474" s="144"/>
      <c r="C474" s="139"/>
      <c r="D474" s="140"/>
      <c r="E474" s="140"/>
      <c r="F474" s="141"/>
      <c r="G474" s="142"/>
      <c r="H474" s="125"/>
      <c r="I474" s="125"/>
      <c r="J474" s="125"/>
      <c r="K474" s="125"/>
      <c r="L474" s="127"/>
      <c r="M474" s="143"/>
      <c r="N474" s="129"/>
    </row>
    <row r="475" spans="2:14" x14ac:dyDescent="0.25">
      <c r="B475" s="130"/>
      <c r="C475" s="131"/>
      <c r="D475" s="132"/>
      <c r="E475" s="132"/>
      <c r="F475" s="133"/>
      <c r="G475" s="134"/>
      <c r="H475" s="134"/>
      <c r="I475" s="134"/>
      <c r="J475" s="134"/>
      <c r="K475" s="134"/>
      <c r="L475" s="136"/>
      <c r="M475" s="137"/>
      <c r="N475" s="138"/>
    </row>
    <row r="476" spans="2:14" x14ac:dyDescent="0.25">
      <c r="B476" s="144"/>
      <c r="C476" s="139"/>
      <c r="D476" s="140"/>
      <c r="E476" s="140"/>
      <c r="F476" s="141"/>
      <c r="G476" s="142"/>
      <c r="H476" s="125"/>
      <c r="I476" s="125"/>
      <c r="J476" s="125"/>
      <c r="K476" s="125"/>
      <c r="L476" s="127"/>
      <c r="M476" s="143"/>
      <c r="N476" s="129"/>
    </row>
    <row r="477" spans="2:14" x14ac:dyDescent="0.25">
      <c r="B477" s="130"/>
      <c r="C477" s="131"/>
      <c r="D477" s="132"/>
      <c r="E477" s="132"/>
      <c r="F477" s="133"/>
      <c r="G477" s="134"/>
      <c r="H477" s="134"/>
      <c r="I477" s="134"/>
      <c r="J477" s="134"/>
      <c r="K477" s="134"/>
      <c r="L477" s="136"/>
      <c r="M477" s="137"/>
      <c r="N477" s="138"/>
    </row>
    <row r="478" spans="2:14" x14ac:dyDescent="0.25">
      <c r="B478" s="144"/>
      <c r="C478" s="139"/>
      <c r="D478" s="140"/>
      <c r="E478" s="140"/>
      <c r="F478" s="141"/>
      <c r="G478" s="142"/>
      <c r="H478" s="125"/>
      <c r="I478" s="125"/>
      <c r="J478" s="125"/>
      <c r="K478" s="125"/>
      <c r="L478" s="127"/>
      <c r="M478" s="143"/>
      <c r="N478" s="129"/>
    </row>
    <row r="479" spans="2:14" x14ac:dyDescent="0.25">
      <c r="B479" s="130"/>
      <c r="C479" s="131"/>
      <c r="D479" s="132"/>
      <c r="E479" s="132"/>
      <c r="F479" s="133"/>
      <c r="G479" s="134"/>
      <c r="H479" s="134"/>
      <c r="I479" s="134"/>
      <c r="J479" s="134"/>
      <c r="K479" s="134"/>
      <c r="L479" s="136"/>
      <c r="M479" s="137"/>
      <c r="N479" s="138"/>
    </row>
    <row r="480" spans="2:14" x14ac:dyDescent="0.25">
      <c r="B480" s="144"/>
      <c r="C480" s="139"/>
      <c r="D480" s="140"/>
      <c r="E480" s="140"/>
      <c r="F480" s="141"/>
      <c r="G480" s="142"/>
      <c r="H480" s="125"/>
      <c r="I480" s="125"/>
      <c r="J480" s="125"/>
      <c r="K480" s="125"/>
      <c r="L480" s="127"/>
      <c r="M480" s="143"/>
      <c r="N480" s="129"/>
    </row>
    <row r="481" spans="2:14" x14ac:dyDescent="0.25">
      <c r="B481" s="130"/>
      <c r="C481" s="131"/>
      <c r="D481" s="132"/>
      <c r="E481" s="132"/>
      <c r="F481" s="133"/>
      <c r="G481" s="134"/>
      <c r="H481" s="134"/>
      <c r="I481" s="134"/>
      <c r="J481" s="134"/>
      <c r="K481" s="134"/>
      <c r="L481" s="136"/>
      <c r="M481" s="137"/>
      <c r="N481" s="138"/>
    </row>
    <row r="482" spans="2:14" x14ac:dyDescent="0.25">
      <c r="B482" s="144"/>
      <c r="C482" s="139"/>
      <c r="D482" s="140"/>
      <c r="E482" s="140"/>
      <c r="F482" s="141"/>
      <c r="G482" s="142"/>
      <c r="H482" s="125"/>
      <c r="I482" s="125"/>
      <c r="J482" s="125"/>
      <c r="K482" s="125"/>
      <c r="L482" s="127"/>
      <c r="M482" s="143"/>
      <c r="N482" s="129"/>
    </row>
    <row r="483" spans="2:14" x14ac:dyDescent="0.25">
      <c r="B483" s="130"/>
      <c r="C483" s="131"/>
      <c r="D483" s="132"/>
      <c r="E483" s="132"/>
      <c r="F483" s="133"/>
      <c r="G483" s="134"/>
      <c r="H483" s="134"/>
      <c r="I483" s="134"/>
      <c r="J483" s="134"/>
      <c r="K483" s="134"/>
      <c r="L483" s="136"/>
      <c r="M483" s="137"/>
      <c r="N483" s="138"/>
    </row>
    <row r="484" spans="2:14" x14ac:dyDescent="0.25">
      <c r="B484" s="144"/>
      <c r="C484" s="139"/>
      <c r="D484" s="140"/>
      <c r="E484" s="140"/>
      <c r="F484" s="141"/>
      <c r="G484" s="142"/>
      <c r="H484" s="125"/>
      <c r="I484" s="125"/>
      <c r="J484" s="125"/>
      <c r="K484" s="125"/>
      <c r="L484" s="127"/>
      <c r="M484" s="143"/>
      <c r="N484" s="129"/>
    </row>
    <row r="485" spans="2:14" x14ac:dyDescent="0.25">
      <c r="B485" s="130"/>
      <c r="C485" s="131"/>
      <c r="D485" s="132"/>
      <c r="E485" s="132"/>
      <c r="F485" s="133"/>
      <c r="G485" s="134"/>
      <c r="H485" s="134"/>
      <c r="I485" s="134"/>
      <c r="J485" s="134"/>
      <c r="K485" s="134"/>
      <c r="L485" s="136"/>
      <c r="M485" s="137"/>
      <c r="N485" s="138"/>
    </row>
    <row r="486" spans="2:14" x14ac:dyDescent="0.25">
      <c r="B486" s="144"/>
      <c r="C486" s="139"/>
      <c r="D486" s="140"/>
      <c r="E486" s="140"/>
      <c r="F486" s="141"/>
      <c r="G486" s="142"/>
      <c r="H486" s="125"/>
      <c r="I486" s="125"/>
      <c r="J486" s="125"/>
      <c r="K486" s="125"/>
      <c r="L486" s="127"/>
      <c r="M486" s="143"/>
      <c r="N486" s="129"/>
    </row>
    <row r="487" spans="2:14" x14ac:dyDescent="0.25">
      <c r="B487" s="130"/>
      <c r="C487" s="131"/>
      <c r="D487" s="132"/>
      <c r="E487" s="132"/>
      <c r="F487" s="133"/>
      <c r="G487" s="134"/>
      <c r="H487" s="134"/>
      <c r="I487" s="134"/>
      <c r="J487" s="134"/>
      <c r="K487" s="134"/>
      <c r="L487" s="136"/>
      <c r="M487" s="137"/>
      <c r="N487" s="138"/>
    </row>
    <row r="488" spans="2:14" x14ac:dyDescent="0.25">
      <c r="B488" s="144"/>
      <c r="C488" s="139"/>
      <c r="D488" s="140"/>
      <c r="E488" s="140"/>
      <c r="F488" s="141"/>
      <c r="G488" s="142"/>
      <c r="H488" s="125"/>
      <c r="I488" s="125"/>
      <c r="J488" s="125"/>
      <c r="K488" s="125"/>
      <c r="L488" s="127"/>
      <c r="M488" s="143"/>
      <c r="N488" s="129"/>
    </row>
    <row r="489" spans="2:14" x14ac:dyDescent="0.25">
      <c r="B489" s="130"/>
      <c r="C489" s="131"/>
      <c r="D489" s="132"/>
      <c r="E489" s="132"/>
      <c r="F489" s="133"/>
      <c r="G489" s="134"/>
      <c r="H489" s="134"/>
      <c r="I489" s="134"/>
      <c r="J489" s="134"/>
      <c r="K489" s="134"/>
      <c r="L489" s="136"/>
      <c r="M489" s="137"/>
      <c r="N489" s="138"/>
    </row>
    <row r="490" spans="2:14" x14ac:dyDescent="0.25">
      <c r="B490" s="144"/>
      <c r="C490" s="139"/>
      <c r="D490" s="140"/>
      <c r="E490" s="140"/>
      <c r="F490" s="141"/>
      <c r="G490" s="142"/>
      <c r="H490" s="125"/>
      <c r="I490" s="125"/>
      <c r="J490" s="125"/>
      <c r="K490" s="125"/>
      <c r="L490" s="127"/>
      <c r="M490" s="143"/>
      <c r="N490" s="129"/>
    </row>
    <row r="491" spans="2:14" x14ac:dyDescent="0.25">
      <c r="B491" s="130"/>
      <c r="C491" s="131"/>
      <c r="D491" s="132"/>
      <c r="E491" s="132"/>
      <c r="F491" s="133"/>
      <c r="G491" s="134"/>
      <c r="H491" s="134"/>
      <c r="I491" s="134"/>
      <c r="J491" s="134"/>
      <c r="K491" s="134"/>
      <c r="L491" s="136"/>
      <c r="M491" s="137"/>
      <c r="N491" s="138"/>
    </row>
    <row r="492" spans="2:14" x14ac:dyDescent="0.25">
      <c r="B492" s="144"/>
      <c r="C492" s="139"/>
      <c r="D492" s="140"/>
      <c r="E492" s="140"/>
      <c r="F492" s="141"/>
      <c r="G492" s="142"/>
      <c r="H492" s="125"/>
      <c r="I492" s="125"/>
      <c r="J492" s="125"/>
      <c r="K492" s="125"/>
      <c r="L492" s="127"/>
      <c r="M492" s="143"/>
      <c r="N492" s="129"/>
    </row>
    <row r="493" spans="2:14" x14ac:dyDescent="0.25">
      <c r="B493" s="130"/>
      <c r="C493" s="131"/>
      <c r="D493" s="132"/>
      <c r="E493" s="132"/>
      <c r="F493" s="133"/>
      <c r="G493" s="134"/>
      <c r="H493" s="134"/>
      <c r="I493" s="134"/>
      <c r="J493" s="134"/>
      <c r="K493" s="134"/>
      <c r="L493" s="136"/>
      <c r="M493" s="137"/>
      <c r="N493" s="138"/>
    </row>
    <row r="494" spans="2:14" x14ac:dyDescent="0.25">
      <c r="B494" s="144"/>
      <c r="C494" s="139"/>
      <c r="D494" s="140"/>
      <c r="E494" s="140"/>
      <c r="F494" s="141"/>
      <c r="G494" s="142"/>
      <c r="H494" s="125"/>
      <c r="I494" s="125"/>
      <c r="J494" s="125"/>
      <c r="K494" s="125"/>
      <c r="L494" s="127"/>
      <c r="M494" s="143"/>
      <c r="N494" s="129"/>
    </row>
    <row r="495" spans="2:14" x14ac:dyDescent="0.25">
      <c r="B495" s="130"/>
      <c r="C495" s="131"/>
      <c r="D495" s="132"/>
      <c r="E495" s="132"/>
      <c r="F495" s="133"/>
      <c r="G495" s="134"/>
      <c r="H495" s="134"/>
      <c r="I495" s="134"/>
      <c r="J495" s="134"/>
      <c r="K495" s="134"/>
      <c r="L495" s="136"/>
      <c r="M495" s="137"/>
      <c r="N495" s="138"/>
    </row>
    <row r="496" spans="2:14" x14ac:dyDescent="0.25">
      <c r="B496" s="144"/>
      <c r="C496" s="139"/>
      <c r="D496" s="140"/>
      <c r="E496" s="140"/>
      <c r="F496" s="141"/>
      <c r="G496" s="142"/>
      <c r="H496" s="125"/>
      <c r="I496" s="125"/>
      <c r="J496" s="125"/>
      <c r="K496" s="125"/>
      <c r="L496" s="127"/>
      <c r="M496" s="143"/>
      <c r="N496" s="129"/>
    </row>
    <row r="497" spans="2:14" x14ac:dyDescent="0.25">
      <c r="B497" s="130"/>
      <c r="C497" s="131"/>
      <c r="D497" s="132"/>
      <c r="E497" s="132"/>
      <c r="F497" s="133"/>
      <c r="G497" s="134"/>
      <c r="H497" s="134"/>
      <c r="I497" s="134"/>
      <c r="J497" s="134"/>
      <c r="K497" s="134"/>
      <c r="L497" s="136"/>
      <c r="M497" s="137"/>
      <c r="N497" s="138"/>
    </row>
    <row r="498" spans="2:14" x14ac:dyDescent="0.25">
      <c r="B498" s="144"/>
      <c r="C498" s="139"/>
      <c r="D498" s="140"/>
      <c r="E498" s="140"/>
      <c r="F498" s="141"/>
      <c r="G498" s="142"/>
      <c r="H498" s="125"/>
      <c r="I498" s="125"/>
      <c r="J498" s="125"/>
      <c r="K498" s="125"/>
      <c r="L498" s="127"/>
      <c r="M498" s="143"/>
      <c r="N498" s="129"/>
    </row>
    <row r="499" spans="2:14" x14ac:dyDescent="0.25">
      <c r="B499" s="130"/>
      <c r="C499" s="131"/>
      <c r="D499" s="132"/>
      <c r="E499" s="132"/>
      <c r="F499" s="133"/>
      <c r="G499" s="134"/>
      <c r="H499" s="134"/>
      <c r="I499" s="134"/>
      <c r="J499" s="134"/>
      <c r="K499" s="134"/>
      <c r="L499" s="136"/>
      <c r="M499" s="137"/>
      <c r="N499" s="138"/>
    </row>
    <row r="500" spans="2:14" x14ac:dyDescent="0.25">
      <c r="B500" s="144"/>
      <c r="C500" s="139"/>
      <c r="D500" s="140"/>
      <c r="E500" s="140"/>
      <c r="F500" s="141"/>
      <c r="G500" s="142"/>
      <c r="H500" s="125"/>
      <c r="I500" s="125"/>
      <c r="J500" s="125"/>
      <c r="K500" s="125"/>
      <c r="L500" s="127"/>
      <c r="M500" s="143"/>
      <c r="N500" s="129"/>
    </row>
    <row r="501" spans="2:14" x14ac:dyDescent="0.25">
      <c r="B501" s="130"/>
      <c r="C501" s="131"/>
      <c r="D501" s="132"/>
      <c r="E501" s="132"/>
      <c r="F501" s="133"/>
      <c r="G501" s="134"/>
      <c r="H501" s="134"/>
      <c r="I501" s="134"/>
      <c r="J501" s="134"/>
      <c r="K501" s="134"/>
      <c r="L501" s="136"/>
      <c r="M501" s="137"/>
      <c r="N501" s="138"/>
    </row>
    <row r="502" spans="2:14" x14ac:dyDescent="0.25">
      <c r="B502" s="144"/>
      <c r="C502" s="139"/>
      <c r="D502" s="140"/>
      <c r="E502" s="140"/>
      <c r="F502" s="141"/>
      <c r="G502" s="142"/>
      <c r="H502" s="125"/>
      <c r="I502" s="125"/>
      <c r="J502" s="125"/>
      <c r="K502" s="125"/>
      <c r="L502" s="127"/>
      <c r="M502" s="143"/>
      <c r="N502" s="129"/>
    </row>
    <row r="503" spans="2:14" x14ac:dyDescent="0.25">
      <c r="B503" s="130"/>
      <c r="C503" s="131"/>
      <c r="D503" s="132"/>
      <c r="E503" s="132"/>
      <c r="F503" s="133"/>
      <c r="G503" s="134"/>
      <c r="H503" s="134"/>
      <c r="I503" s="134"/>
      <c r="J503" s="134"/>
      <c r="K503" s="134"/>
      <c r="L503" s="136"/>
      <c r="M503" s="137"/>
      <c r="N503" s="138"/>
    </row>
    <row r="504" spans="2:14" x14ac:dyDescent="0.25">
      <c r="B504" s="144"/>
      <c r="C504" s="139"/>
      <c r="D504" s="140"/>
      <c r="E504" s="140"/>
      <c r="F504" s="141"/>
      <c r="G504" s="142"/>
      <c r="H504" s="125"/>
      <c r="I504" s="125"/>
      <c r="J504" s="125"/>
      <c r="K504" s="125"/>
      <c r="L504" s="127"/>
      <c r="M504" s="143"/>
      <c r="N504" s="129"/>
    </row>
    <row r="505" spans="2:14" x14ac:dyDescent="0.25">
      <c r="B505" s="130"/>
      <c r="C505" s="131"/>
      <c r="D505" s="132"/>
      <c r="E505" s="132"/>
      <c r="F505" s="133"/>
      <c r="G505" s="134"/>
      <c r="H505" s="134"/>
      <c r="I505" s="134"/>
      <c r="J505" s="134"/>
      <c r="K505" s="134"/>
      <c r="L505" s="136"/>
      <c r="M505" s="137"/>
      <c r="N505" s="138"/>
    </row>
    <row r="506" spans="2:14" x14ac:dyDescent="0.25">
      <c r="B506" s="144"/>
      <c r="C506" s="139"/>
      <c r="D506" s="140"/>
      <c r="E506" s="140"/>
      <c r="F506" s="141"/>
      <c r="G506" s="142"/>
      <c r="H506" s="125"/>
      <c r="I506" s="125"/>
      <c r="J506" s="125"/>
      <c r="K506" s="125"/>
      <c r="L506" s="127"/>
      <c r="M506" s="143"/>
      <c r="N506" s="129"/>
    </row>
    <row r="507" spans="2:14" x14ac:dyDescent="0.25">
      <c r="B507" s="130"/>
      <c r="C507" s="131"/>
      <c r="D507" s="132"/>
      <c r="E507" s="132"/>
      <c r="F507" s="133"/>
      <c r="G507" s="134"/>
      <c r="H507" s="134"/>
      <c r="I507" s="134"/>
      <c r="J507" s="134"/>
      <c r="K507" s="134"/>
      <c r="L507" s="136"/>
      <c r="M507" s="137"/>
      <c r="N507" s="138"/>
    </row>
    <row r="508" spans="2:14" x14ac:dyDescent="0.25">
      <c r="B508" s="144"/>
      <c r="C508" s="139"/>
      <c r="D508" s="140"/>
      <c r="E508" s="140"/>
      <c r="F508" s="141"/>
      <c r="G508" s="142"/>
      <c r="H508" s="125"/>
      <c r="I508" s="125"/>
      <c r="J508" s="125"/>
      <c r="K508" s="125"/>
      <c r="L508" s="127"/>
      <c r="M508" s="143"/>
      <c r="N508" s="129"/>
    </row>
    <row r="509" spans="2:14" x14ac:dyDescent="0.25">
      <c r="B509" s="130"/>
      <c r="C509" s="131"/>
      <c r="D509" s="132"/>
      <c r="E509" s="132"/>
      <c r="F509" s="133"/>
      <c r="G509" s="134"/>
      <c r="H509" s="134"/>
      <c r="I509" s="134"/>
      <c r="J509" s="134"/>
      <c r="K509" s="134"/>
      <c r="L509" s="136"/>
      <c r="M509" s="137"/>
      <c r="N509" s="138"/>
    </row>
    <row r="510" spans="2:14" x14ac:dyDescent="0.25">
      <c r="B510" s="144"/>
      <c r="C510" s="139"/>
      <c r="D510" s="140"/>
      <c r="E510" s="140"/>
      <c r="F510" s="141"/>
      <c r="G510" s="142"/>
      <c r="H510" s="125"/>
      <c r="I510" s="125"/>
      <c r="J510" s="125"/>
      <c r="K510" s="125"/>
      <c r="L510" s="127"/>
      <c r="M510" s="143"/>
      <c r="N510" s="129"/>
    </row>
    <row r="511" spans="2:14" x14ac:dyDescent="0.25">
      <c r="B511" s="130"/>
      <c r="C511" s="131"/>
      <c r="D511" s="132"/>
      <c r="E511" s="132"/>
      <c r="F511" s="133"/>
      <c r="G511" s="134"/>
      <c r="H511" s="134"/>
      <c r="I511" s="134"/>
      <c r="J511" s="134"/>
      <c r="K511" s="134"/>
      <c r="L511" s="136"/>
      <c r="M511" s="137"/>
      <c r="N511" s="138"/>
    </row>
    <row r="512" spans="2:14" x14ac:dyDescent="0.25">
      <c r="B512" s="144"/>
      <c r="C512" s="139"/>
      <c r="D512" s="140"/>
      <c r="E512" s="140"/>
      <c r="F512" s="141"/>
      <c r="G512" s="142"/>
      <c r="H512" s="125"/>
      <c r="I512" s="125"/>
      <c r="J512" s="125"/>
      <c r="K512" s="125"/>
      <c r="L512" s="127"/>
      <c r="M512" s="143"/>
      <c r="N512" s="129"/>
    </row>
    <row r="513" spans="2:14" x14ac:dyDescent="0.25">
      <c r="B513" s="130"/>
      <c r="C513" s="131"/>
      <c r="D513" s="132"/>
      <c r="E513" s="132"/>
      <c r="F513" s="133"/>
      <c r="G513" s="134"/>
      <c r="H513" s="134"/>
      <c r="I513" s="134"/>
      <c r="J513" s="134"/>
      <c r="K513" s="134"/>
      <c r="L513" s="136"/>
      <c r="M513" s="137"/>
      <c r="N513" s="138"/>
    </row>
    <row r="514" spans="2:14" x14ac:dyDescent="0.25">
      <c r="B514" s="144"/>
      <c r="C514" s="139"/>
      <c r="D514" s="140"/>
      <c r="E514" s="140"/>
      <c r="F514" s="141"/>
      <c r="G514" s="142"/>
      <c r="H514" s="125"/>
      <c r="I514" s="125"/>
      <c r="J514" s="125"/>
      <c r="K514" s="125"/>
      <c r="L514" s="127"/>
      <c r="M514" s="143"/>
      <c r="N514" s="129"/>
    </row>
    <row r="515" spans="2:14" x14ac:dyDescent="0.25">
      <c r="B515" s="130"/>
      <c r="C515" s="131"/>
      <c r="D515" s="132"/>
      <c r="E515" s="132"/>
      <c r="F515" s="133"/>
      <c r="G515" s="134"/>
      <c r="H515" s="134"/>
      <c r="I515" s="134"/>
      <c r="J515" s="134"/>
      <c r="K515" s="134"/>
      <c r="L515" s="136"/>
      <c r="M515" s="137"/>
      <c r="N515" s="138"/>
    </row>
    <row r="516" spans="2:14" x14ac:dyDescent="0.25">
      <c r="B516" s="144"/>
      <c r="C516" s="139"/>
      <c r="D516" s="140"/>
      <c r="E516" s="140"/>
      <c r="F516" s="141"/>
      <c r="G516" s="142"/>
      <c r="H516" s="125"/>
      <c r="I516" s="125"/>
      <c r="J516" s="125"/>
      <c r="K516" s="125"/>
      <c r="L516" s="127"/>
      <c r="M516" s="143"/>
      <c r="N516" s="129"/>
    </row>
    <row r="517" spans="2:14" x14ac:dyDescent="0.25">
      <c r="B517" s="130"/>
      <c r="C517" s="131"/>
      <c r="D517" s="132"/>
      <c r="E517" s="132"/>
      <c r="F517" s="133"/>
      <c r="G517" s="134"/>
      <c r="H517" s="134"/>
      <c r="I517" s="134"/>
      <c r="J517" s="134"/>
      <c r="K517" s="134"/>
      <c r="L517" s="136"/>
      <c r="M517" s="137"/>
      <c r="N517" s="138"/>
    </row>
    <row r="518" spans="2:14" x14ac:dyDescent="0.25">
      <c r="B518" s="144"/>
      <c r="C518" s="139"/>
      <c r="D518" s="140"/>
      <c r="E518" s="140"/>
      <c r="F518" s="141"/>
      <c r="G518" s="142"/>
      <c r="H518" s="125"/>
      <c r="I518" s="125"/>
      <c r="J518" s="125"/>
      <c r="K518" s="125"/>
      <c r="L518" s="127"/>
      <c r="M518" s="143"/>
      <c r="N518" s="129"/>
    </row>
    <row r="519" spans="2:14" x14ac:dyDescent="0.25">
      <c r="B519" s="130"/>
      <c r="C519" s="131"/>
      <c r="D519" s="132"/>
      <c r="E519" s="132"/>
      <c r="F519" s="133"/>
      <c r="G519" s="134"/>
      <c r="H519" s="134"/>
      <c r="I519" s="134"/>
      <c r="J519" s="134"/>
      <c r="K519" s="134"/>
      <c r="L519" s="136"/>
      <c r="M519" s="137"/>
      <c r="N519" s="138"/>
    </row>
    <row r="520" spans="2:14" x14ac:dyDescent="0.25">
      <c r="B520" s="144"/>
      <c r="C520" s="139"/>
      <c r="D520" s="140"/>
      <c r="E520" s="140"/>
      <c r="F520" s="141"/>
      <c r="G520" s="142"/>
      <c r="H520" s="125"/>
      <c r="I520" s="125"/>
      <c r="J520" s="125"/>
      <c r="K520" s="125"/>
      <c r="L520" s="127"/>
      <c r="M520" s="143"/>
      <c r="N520" s="129"/>
    </row>
    <row r="521" spans="2:14" x14ac:dyDescent="0.25">
      <c r="B521" s="130"/>
      <c r="C521" s="131"/>
      <c r="D521" s="132"/>
      <c r="E521" s="132"/>
      <c r="F521" s="133"/>
      <c r="G521" s="134"/>
      <c r="H521" s="134"/>
      <c r="I521" s="134"/>
      <c r="J521" s="134"/>
      <c r="K521" s="134"/>
      <c r="L521" s="136"/>
      <c r="M521" s="137"/>
      <c r="N521" s="138"/>
    </row>
    <row r="522" spans="2:14" x14ac:dyDescent="0.25">
      <c r="B522" s="144"/>
      <c r="C522" s="139"/>
      <c r="D522" s="140"/>
      <c r="E522" s="140"/>
      <c r="F522" s="141"/>
      <c r="G522" s="142"/>
      <c r="H522" s="125"/>
      <c r="I522" s="125"/>
      <c r="J522" s="125"/>
      <c r="K522" s="125"/>
      <c r="L522" s="127"/>
      <c r="M522" s="143"/>
      <c r="N522" s="129"/>
    </row>
    <row r="523" spans="2:14" x14ac:dyDescent="0.25">
      <c r="B523" s="130"/>
      <c r="C523" s="131"/>
      <c r="D523" s="132"/>
      <c r="E523" s="132"/>
      <c r="F523" s="133"/>
      <c r="G523" s="134"/>
      <c r="H523" s="134"/>
      <c r="I523" s="134"/>
      <c r="J523" s="134"/>
      <c r="K523" s="134"/>
      <c r="L523" s="136"/>
      <c r="M523" s="137"/>
      <c r="N523" s="138"/>
    </row>
    <row r="524" spans="2:14" x14ac:dyDescent="0.25">
      <c r="B524" s="144"/>
      <c r="C524" s="139"/>
      <c r="D524" s="140"/>
      <c r="E524" s="140"/>
      <c r="F524" s="141"/>
      <c r="G524" s="142"/>
      <c r="H524" s="125"/>
      <c r="I524" s="125"/>
      <c r="J524" s="125"/>
      <c r="K524" s="125"/>
      <c r="L524" s="127"/>
      <c r="M524" s="143"/>
      <c r="N524" s="129"/>
    </row>
    <row r="525" spans="2:14" x14ac:dyDescent="0.25">
      <c r="B525" s="130"/>
      <c r="C525" s="131"/>
      <c r="D525" s="132"/>
      <c r="E525" s="132"/>
      <c r="F525" s="133"/>
      <c r="G525" s="134"/>
      <c r="H525" s="134"/>
      <c r="I525" s="134"/>
      <c r="J525" s="134"/>
      <c r="K525" s="134"/>
      <c r="L525" s="136"/>
      <c r="M525" s="137"/>
      <c r="N525" s="138"/>
    </row>
    <row r="526" spans="2:14" x14ac:dyDescent="0.25">
      <c r="B526" s="144"/>
      <c r="C526" s="139"/>
      <c r="D526" s="140"/>
      <c r="E526" s="140"/>
      <c r="F526" s="141"/>
      <c r="G526" s="142"/>
      <c r="H526" s="125"/>
      <c r="I526" s="125"/>
      <c r="J526" s="125"/>
      <c r="K526" s="125"/>
      <c r="L526" s="127"/>
      <c r="M526" s="143"/>
      <c r="N526" s="129"/>
    </row>
    <row r="527" spans="2:14" x14ac:dyDescent="0.25">
      <c r="B527" s="130"/>
      <c r="C527" s="131"/>
      <c r="D527" s="132"/>
      <c r="E527" s="132"/>
      <c r="F527" s="133"/>
      <c r="G527" s="134"/>
      <c r="H527" s="134"/>
      <c r="I527" s="134"/>
      <c r="J527" s="134"/>
      <c r="K527" s="134"/>
      <c r="L527" s="136"/>
      <c r="M527" s="137"/>
      <c r="N527" s="138"/>
    </row>
    <row r="528" spans="2:14" x14ac:dyDescent="0.25">
      <c r="B528" s="144"/>
      <c r="C528" s="139"/>
      <c r="D528" s="140"/>
      <c r="E528" s="140"/>
      <c r="F528" s="141"/>
      <c r="G528" s="142"/>
      <c r="H528" s="125"/>
      <c r="I528" s="125"/>
      <c r="J528" s="125"/>
      <c r="K528" s="125"/>
      <c r="L528" s="127"/>
      <c r="M528" s="143"/>
      <c r="N528" s="129"/>
    </row>
    <row r="529" spans="2:14" x14ac:dyDescent="0.25">
      <c r="B529" s="130"/>
      <c r="C529" s="131"/>
      <c r="D529" s="132"/>
      <c r="E529" s="132"/>
      <c r="F529" s="133"/>
      <c r="G529" s="134"/>
      <c r="H529" s="134"/>
      <c r="I529" s="134"/>
      <c r="J529" s="134"/>
      <c r="K529" s="134"/>
      <c r="L529" s="136"/>
      <c r="M529" s="137"/>
      <c r="N529" s="138"/>
    </row>
    <row r="530" spans="2:14" x14ac:dyDescent="0.25">
      <c r="B530" s="144"/>
      <c r="C530" s="139"/>
      <c r="D530" s="140"/>
      <c r="E530" s="140"/>
      <c r="F530" s="141"/>
      <c r="G530" s="142"/>
      <c r="H530" s="125"/>
      <c r="I530" s="125"/>
      <c r="J530" s="125"/>
      <c r="K530" s="125"/>
      <c r="L530" s="127"/>
      <c r="M530" s="143"/>
      <c r="N530" s="129"/>
    </row>
    <row r="531" spans="2:14" x14ac:dyDescent="0.25">
      <c r="B531" s="130"/>
      <c r="C531" s="131"/>
      <c r="D531" s="132"/>
      <c r="E531" s="132"/>
      <c r="F531" s="133"/>
      <c r="G531" s="134"/>
      <c r="H531" s="134"/>
      <c r="I531" s="134"/>
      <c r="J531" s="134"/>
      <c r="K531" s="134"/>
      <c r="L531" s="136"/>
      <c r="M531" s="137"/>
      <c r="N531" s="138"/>
    </row>
    <row r="532" spans="2:14" x14ac:dyDescent="0.25">
      <c r="B532" s="144"/>
      <c r="C532" s="139"/>
      <c r="D532" s="140"/>
      <c r="E532" s="140"/>
      <c r="F532" s="141"/>
      <c r="G532" s="142"/>
      <c r="H532" s="125"/>
      <c r="I532" s="125"/>
      <c r="J532" s="125"/>
      <c r="K532" s="125"/>
      <c r="L532" s="127"/>
      <c r="M532" s="143"/>
      <c r="N532" s="129"/>
    </row>
    <row r="533" spans="2:14" x14ac:dyDescent="0.25">
      <c r="B533" s="130"/>
      <c r="C533" s="131"/>
      <c r="D533" s="132"/>
      <c r="E533" s="132"/>
      <c r="F533" s="133"/>
      <c r="G533" s="134"/>
      <c r="H533" s="134"/>
      <c r="I533" s="134"/>
      <c r="J533" s="134"/>
      <c r="K533" s="134"/>
      <c r="L533" s="136"/>
      <c r="M533" s="137"/>
      <c r="N533" s="138"/>
    </row>
    <row r="534" spans="2:14" x14ac:dyDescent="0.25">
      <c r="B534" s="144"/>
      <c r="C534" s="139"/>
      <c r="D534" s="140"/>
      <c r="E534" s="140"/>
      <c r="F534" s="141"/>
      <c r="G534" s="142"/>
      <c r="H534" s="125"/>
      <c r="I534" s="125"/>
      <c r="J534" s="125"/>
      <c r="K534" s="125"/>
      <c r="L534" s="127"/>
      <c r="M534" s="143"/>
      <c r="N534" s="129"/>
    </row>
    <row r="535" spans="2:14" x14ac:dyDescent="0.25">
      <c r="B535" s="130"/>
      <c r="C535" s="131"/>
      <c r="D535" s="132"/>
      <c r="E535" s="132"/>
      <c r="F535" s="133"/>
      <c r="G535" s="134"/>
      <c r="H535" s="134"/>
      <c r="I535" s="134"/>
      <c r="J535" s="134"/>
      <c r="K535" s="134"/>
      <c r="L535" s="136"/>
      <c r="M535" s="137"/>
      <c r="N535" s="138"/>
    </row>
    <row r="536" spans="2:14" x14ac:dyDescent="0.25">
      <c r="B536" s="144"/>
      <c r="C536" s="139"/>
      <c r="D536" s="140"/>
      <c r="E536" s="140"/>
      <c r="F536" s="141"/>
      <c r="G536" s="142"/>
      <c r="H536" s="125"/>
      <c r="I536" s="125"/>
      <c r="J536" s="125"/>
      <c r="K536" s="125"/>
      <c r="L536" s="127"/>
      <c r="M536" s="143"/>
      <c r="N536" s="129"/>
    </row>
    <row r="537" spans="2:14" x14ac:dyDescent="0.25">
      <c r="B537" s="130"/>
      <c r="C537" s="131"/>
      <c r="D537" s="132"/>
      <c r="E537" s="132"/>
      <c r="F537" s="133"/>
      <c r="G537" s="134"/>
      <c r="H537" s="134"/>
      <c r="I537" s="134"/>
      <c r="J537" s="134"/>
      <c r="K537" s="134"/>
      <c r="L537" s="136"/>
      <c r="M537" s="137"/>
      <c r="N537" s="138"/>
    </row>
    <row r="538" spans="2:14" x14ac:dyDescent="0.25">
      <c r="B538" s="144"/>
      <c r="C538" s="139"/>
      <c r="D538" s="140"/>
      <c r="E538" s="140"/>
      <c r="F538" s="141"/>
      <c r="G538" s="142"/>
      <c r="H538" s="125"/>
      <c r="I538" s="125"/>
      <c r="J538" s="125"/>
      <c r="K538" s="125"/>
      <c r="L538" s="127"/>
      <c r="M538" s="143"/>
      <c r="N538" s="129"/>
    </row>
    <row r="539" spans="2:14" x14ac:dyDescent="0.25">
      <c r="B539" s="130"/>
      <c r="C539" s="131"/>
      <c r="D539" s="132"/>
      <c r="E539" s="132"/>
      <c r="F539" s="133"/>
      <c r="G539" s="134"/>
      <c r="H539" s="134"/>
      <c r="I539" s="134"/>
      <c r="J539" s="134"/>
      <c r="K539" s="134"/>
      <c r="L539" s="136"/>
      <c r="M539" s="137"/>
      <c r="N539" s="138"/>
    </row>
    <row r="540" spans="2:14" x14ac:dyDescent="0.25">
      <c r="B540" s="144"/>
      <c r="C540" s="139"/>
      <c r="D540" s="140"/>
      <c r="E540" s="140"/>
      <c r="F540" s="141"/>
      <c r="G540" s="142"/>
      <c r="H540" s="125"/>
      <c r="I540" s="125"/>
      <c r="J540" s="125"/>
      <c r="K540" s="125"/>
      <c r="L540" s="127"/>
      <c r="M540" s="143"/>
      <c r="N540" s="129"/>
    </row>
    <row r="541" spans="2:14" x14ac:dyDescent="0.25">
      <c r="B541" s="130"/>
      <c r="C541" s="131"/>
      <c r="D541" s="132"/>
      <c r="E541" s="132"/>
      <c r="F541" s="133"/>
      <c r="G541" s="134"/>
      <c r="H541" s="134"/>
      <c r="I541" s="134"/>
      <c r="J541" s="134"/>
      <c r="K541" s="134"/>
      <c r="L541" s="136"/>
      <c r="M541" s="137"/>
      <c r="N541" s="138"/>
    </row>
    <row r="542" spans="2:14" x14ac:dyDescent="0.25">
      <c r="B542" s="144"/>
      <c r="C542" s="139"/>
      <c r="D542" s="140"/>
      <c r="E542" s="140"/>
      <c r="F542" s="141"/>
      <c r="G542" s="142"/>
      <c r="H542" s="125"/>
      <c r="I542" s="125"/>
      <c r="J542" s="125"/>
      <c r="K542" s="125"/>
      <c r="L542" s="127"/>
      <c r="M542" s="143"/>
      <c r="N542" s="129"/>
    </row>
    <row r="543" spans="2:14" x14ac:dyDescent="0.25">
      <c r="B543" s="130"/>
      <c r="C543" s="131"/>
      <c r="D543" s="132"/>
      <c r="E543" s="132"/>
      <c r="F543" s="133"/>
      <c r="G543" s="134"/>
      <c r="H543" s="134"/>
      <c r="I543" s="134"/>
      <c r="J543" s="134"/>
      <c r="K543" s="134"/>
      <c r="L543" s="136"/>
      <c r="M543" s="137"/>
      <c r="N543" s="138"/>
    </row>
    <row r="544" spans="2:14" x14ac:dyDescent="0.25">
      <c r="B544" s="144"/>
      <c r="C544" s="139"/>
      <c r="D544" s="140"/>
      <c r="E544" s="140"/>
      <c r="F544" s="141"/>
      <c r="G544" s="142"/>
      <c r="H544" s="125"/>
      <c r="I544" s="125"/>
      <c r="J544" s="125"/>
      <c r="K544" s="125"/>
      <c r="L544" s="127"/>
      <c r="M544" s="143"/>
      <c r="N544" s="129"/>
    </row>
    <row r="545" spans="2:14" x14ac:dyDescent="0.25">
      <c r="B545" s="130"/>
      <c r="C545" s="131"/>
      <c r="D545" s="132"/>
      <c r="E545" s="132"/>
      <c r="F545" s="133"/>
      <c r="G545" s="134"/>
      <c r="H545" s="134"/>
      <c r="I545" s="134"/>
      <c r="J545" s="134"/>
      <c r="K545" s="134"/>
      <c r="L545" s="136"/>
      <c r="M545" s="137"/>
      <c r="N545" s="138"/>
    </row>
    <row r="546" spans="2:14" x14ac:dyDescent="0.25">
      <c r="B546" s="144"/>
      <c r="C546" s="139"/>
      <c r="D546" s="140"/>
      <c r="E546" s="140"/>
      <c r="F546" s="141"/>
      <c r="G546" s="142"/>
      <c r="H546" s="125"/>
      <c r="I546" s="125"/>
      <c r="J546" s="125"/>
      <c r="K546" s="125"/>
      <c r="L546" s="127"/>
      <c r="M546" s="143"/>
      <c r="N546" s="129"/>
    </row>
    <row r="547" spans="2:14" x14ac:dyDescent="0.25">
      <c r="B547" s="130"/>
      <c r="C547" s="131"/>
      <c r="D547" s="132"/>
      <c r="E547" s="132"/>
      <c r="F547" s="133"/>
      <c r="G547" s="134"/>
      <c r="H547" s="134"/>
      <c r="I547" s="134"/>
      <c r="J547" s="134"/>
      <c r="K547" s="134"/>
      <c r="L547" s="136"/>
      <c r="M547" s="137"/>
      <c r="N547" s="138"/>
    </row>
    <row r="548" spans="2:14" x14ac:dyDescent="0.25">
      <c r="B548" s="144"/>
      <c r="C548" s="139"/>
      <c r="D548" s="140"/>
      <c r="E548" s="140"/>
      <c r="F548" s="141"/>
      <c r="G548" s="142"/>
      <c r="H548" s="125"/>
      <c r="I548" s="125"/>
      <c r="J548" s="125"/>
      <c r="K548" s="125"/>
      <c r="L548" s="127"/>
      <c r="M548" s="143"/>
      <c r="N548" s="129"/>
    </row>
    <row r="549" spans="2:14" x14ac:dyDescent="0.25">
      <c r="B549" s="130"/>
      <c r="C549" s="131"/>
      <c r="D549" s="132"/>
      <c r="E549" s="132"/>
      <c r="F549" s="133"/>
      <c r="G549" s="134"/>
      <c r="H549" s="134"/>
      <c r="I549" s="134"/>
      <c r="J549" s="134"/>
      <c r="K549" s="134"/>
      <c r="L549" s="136"/>
      <c r="M549" s="137"/>
      <c r="N549" s="138"/>
    </row>
    <row r="550" spans="2:14" x14ac:dyDescent="0.25">
      <c r="B550" s="144"/>
      <c r="C550" s="139"/>
      <c r="D550" s="140"/>
      <c r="E550" s="140"/>
      <c r="F550" s="141"/>
      <c r="G550" s="142"/>
      <c r="H550" s="125"/>
      <c r="I550" s="125"/>
      <c r="J550" s="125"/>
      <c r="K550" s="125"/>
      <c r="L550" s="127"/>
      <c r="M550" s="143"/>
      <c r="N550" s="129"/>
    </row>
    <row r="551" spans="2:14" x14ac:dyDescent="0.25">
      <c r="B551" s="130"/>
      <c r="C551" s="131"/>
      <c r="D551" s="132"/>
      <c r="E551" s="132"/>
      <c r="F551" s="133"/>
      <c r="G551" s="134"/>
      <c r="H551" s="134"/>
      <c r="I551" s="134"/>
      <c r="J551" s="134"/>
      <c r="K551" s="134"/>
      <c r="L551" s="136"/>
      <c r="M551" s="137"/>
      <c r="N551" s="138"/>
    </row>
    <row r="552" spans="2:14" x14ac:dyDescent="0.25">
      <c r="B552" s="144"/>
      <c r="C552" s="139"/>
      <c r="D552" s="140"/>
      <c r="E552" s="140"/>
      <c r="F552" s="141"/>
      <c r="G552" s="142"/>
      <c r="H552" s="125"/>
      <c r="I552" s="125"/>
      <c r="J552" s="125"/>
      <c r="K552" s="125"/>
      <c r="L552" s="127"/>
      <c r="M552" s="143"/>
      <c r="N552" s="129"/>
    </row>
    <row r="553" spans="2:14" x14ac:dyDescent="0.25">
      <c r="B553" s="130"/>
      <c r="C553" s="131"/>
      <c r="D553" s="132"/>
      <c r="E553" s="132"/>
      <c r="F553" s="133"/>
      <c r="G553" s="134"/>
      <c r="H553" s="134"/>
      <c r="I553" s="134"/>
      <c r="J553" s="134"/>
      <c r="K553" s="134"/>
      <c r="L553" s="136"/>
      <c r="M553" s="137"/>
      <c r="N553" s="138"/>
    </row>
    <row r="554" spans="2:14" x14ac:dyDescent="0.25">
      <c r="B554" s="144"/>
      <c r="C554" s="139"/>
      <c r="D554" s="140"/>
      <c r="E554" s="140"/>
      <c r="F554" s="141"/>
      <c r="G554" s="142"/>
      <c r="H554" s="125"/>
      <c r="I554" s="125"/>
      <c r="J554" s="125"/>
      <c r="K554" s="125"/>
      <c r="L554" s="127"/>
      <c r="M554" s="143"/>
      <c r="N554" s="129"/>
    </row>
    <row r="555" spans="2:14" x14ac:dyDescent="0.25">
      <c r="B555" s="130"/>
      <c r="C555" s="131"/>
      <c r="D555" s="132"/>
      <c r="E555" s="132"/>
      <c r="F555" s="133"/>
      <c r="G555" s="134"/>
      <c r="H555" s="134"/>
      <c r="I555" s="134"/>
      <c r="J555" s="134"/>
      <c r="K555" s="134"/>
      <c r="L555" s="136"/>
      <c r="M555" s="137"/>
      <c r="N555" s="138"/>
    </row>
    <row r="556" spans="2:14" x14ac:dyDescent="0.25">
      <c r="B556" s="144"/>
      <c r="C556" s="139"/>
      <c r="D556" s="140"/>
      <c r="E556" s="140"/>
      <c r="F556" s="141"/>
      <c r="G556" s="142"/>
      <c r="H556" s="125"/>
      <c r="I556" s="125"/>
      <c r="J556" s="125"/>
      <c r="K556" s="125"/>
      <c r="L556" s="127"/>
      <c r="M556" s="143"/>
      <c r="N556" s="129"/>
    </row>
    <row r="557" spans="2:14" x14ac:dyDescent="0.25">
      <c r="B557" s="130"/>
      <c r="C557" s="131"/>
      <c r="D557" s="132"/>
      <c r="E557" s="132"/>
      <c r="F557" s="133"/>
      <c r="G557" s="134"/>
      <c r="H557" s="134"/>
      <c r="I557" s="134"/>
      <c r="J557" s="134"/>
      <c r="K557" s="134"/>
      <c r="L557" s="136"/>
      <c r="M557" s="137"/>
      <c r="N557" s="138"/>
    </row>
    <row r="558" spans="2:14" x14ac:dyDescent="0.25">
      <c r="B558" s="144"/>
      <c r="C558" s="139"/>
      <c r="D558" s="140"/>
      <c r="E558" s="140"/>
      <c r="F558" s="141"/>
      <c r="G558" s="142"/>
      <c r="H558" s="125"/>
      <c r="I558" s="125"/>
      <c r="J558" s="125"/>
      <c r="K558" s="125"/>
      <c r="L558" s="127"/>
      <c r="M558" s="143"/>
      <c r="N558" s="129"/>
    </row>
    <row r="559" spans="2:14" x14ac:dyDescent="0.25">
      <c r="B559" s="130"/>
      <c r="C559" s="131"/>
      <c r="D559" s="132"/>
      <c r="E559" s="132"/>
      <c r="F559" s="133"/>
      <c r="G559" s="134"/>
      <c r="H559" s="134"/>
      <c r="I559" s="134"/>
      <c r="J559" s="134"/>
      <c r="K559" s="134"/>
      <c r="L559" s="136"/>
      <c r="M559" s="137"/>
      <c r="N559" s="138"/>
    </row>
    <row r="560" spans="2:14" x14ac:dyDescent="0.25">
      <c r="B560" s="144"/>
      <c r="C560" s="139"/>
      <c r="D560" s="140"/>
      <c r="E560" s="140"/>
      <c r="F560" s="141"/>
      <c r="G560" s="142"/>
      <c r="H560" s="125"/>
      <c r="I560" s="125"/>
      <c r="J560" s="125"/>
      <c r="K560" s="125"/>
      <c r="L560" s="127"/>
      <c r="M560" s="143"/>
      <c r="N560" s="129"/>
    </row>
    <row r="561" spans="2:14" x14ac:dyDescent="0.25">
      <c r="B561" s="130"/>
      <c r="C561" s="131"/>
      <c r="D561" s="132"/>
      <c r="E561" s="132"/>
      <c r="F561" s="133"/>
      <c r="G561" s="134"/>
      <c r="H561" s="134"/>
      <c r="I561" s="134"/>
      <c r="J561" s="134"/>
      <c r="K561" s="134"/>
      <c r="L561" s="136"/>
      <c r="M561" s="137"/>
      <c r="N561" s="138"/>
    </row>
    <row r="562" spans="2:14" x14ac:dyDescent="0.25">
      <c r="B562" s="144"/>
      <c r="C562" s="139"/>
      <c r="D562" s="140"/>
      <c r="E562" s="140"/>
      <c r="F562" s="141"/>
      <c r="G562" s="142"/>
      <c r="H562" s="125"/>
      <c r="I562" s="125"/>
      <c r="J562" s="125"/>
      <c r="K562" s="125"/>
      <c r="L562" s="127"/>
      <c r="M562" s="143"/>
      <c r="N562" s="129"/>
    </row>
    <row r="563" spans="2:14" x14ac:dyDescent="0.25">
      <c r="B563" s="130"/>
      <c r="C563" s="131"/>
      <c r="D563" s="132"/>
      <c r="E563" s="132"/>
      <c r="F563" s="133"/>
      <c r="G563" s="134"/>
      <c r="H563" s="134"/>
      <c r="I563" s="134"/>
      <c r="J563" s="134"/>
      <c r="K563" s="134"/>
      <c r="L563" s="136"/>
      <c r="M563" s="137"/>
      <c r="N563" s="138"/>
    </row>
    <row r="564" spans="2:14" x14ac:dyDescent="0.25">
      <c r="B564" s="144"/>
      <c r="C564" s="139"/>
      <c r="D564" s="140"/>
      <c r="E564" s="140"/>
      <c r="F564" s="141"/>
      <c r="G564" s="142"/>
      <c r="H564" s="125"/>
      <c r="I564" s="125"/>
      <c r="J564" s="125"/>
      <c r="K564" s="125"/>
      <c r="L564" s="127"/>
      <c r="M564" s="143"/>
      <c r="N564" s="129"/>
    </row>
    <row r="565" spans="2:14" x14ac:dyDescent="0.25">
      <c r="B565" s="130"/>
      <c r="C565" s="131"/>
      <c r="D565" s="132"/>
      <c r="E565" s="132"/>
      <c r="F565" s="133"/>
      <c r="G565" s="134"/>
      <c r="H565" s="134"/>
      <c r="I565" s="134"/>
      <c r="J565" s="134"/>
      <c r="K565" s="134"/>
      <c r="L565" s="136"/>
      <c r="M565" s="137"/>
      <c r="N565" s="138"/>
    </row>
    <row r="566" spans="2:14" x14ac:dyDescent="0.25">
      <c r="B566" s="144"/>
      <c r="C566" s="139"/>
      <c r="D566" s="140"/>
      <c r="E566" s="140"/>
      <c r="F566" s="141"/>
      <c r="G566" s="142"/>
      <c r="H566" s="125"/>
      <c r="I566" s="125"/>
      <c r="J566" s="125"/>
      <c r="K566" s="125"/>
      <c r="L566" s="127"/>
      <c r="M566" s="143"/>
      <c r="N566" s="129"/>
    </row>
    <row r="567" spans="2:14" x14ac:dyDescent="0.25">
      <c r="B567" s="130"/>
      <c r="C567" s="131"/>
      <c r="D567" s="132"/>
      <c r="E567" s="132"/>
      <c r="F567" s="133"/>
      <c r="G567" s="134"/>
      <c r="H567" s="134"/>
      <c r="I567" s="134"/>
      <c r="J567" s="134"/>
      <c r="K567" s="134"/>
      <c r="L567" s="136"/>
      <c r="M567" s="137"/>
      <c r="N567" s="138"/>
    </row>
    <row r="568" spans="2:14" x14ac:dyDescent="0.25">
      <c r="B568" s="144"/>
      <c r="C568" s="139"/>
      <c r="D568" s="140"/>
      <c r="E568" s="140"/>
      <c r="F568" s="141"/>
      <c r="G568" s="142"/>
      <c r="H568" s="125"/>
      <c r="I568" s="125"/>
      <c r="J568" s="125"/>
      <c r="K568" s="125"/>
      <c r="L568" s="127"/>
      <c r="M568" s="143"/>
      <c r="N568" s="129"/>
    </row>
    <row r="569" spans="2:14" x14ac:dyDescent="0.25">
      <c r="B569" s="130"/>
      <c r="C569" s="131"/>
      <c r="D569" s="132"/>
      <c r="E569" s="132"/>
      <c r="F569" s="133"/>
      <c r="G569" s="134"/>
      <c r="H569" s="134"/>
      <c r="I569" s="134"/>
      <c r="J569" s="134"/>
      <c r="K569" s="134"/>
      <c r="L569" s="136"/>
      <c r="M569" s="137"/>
      <c r="N569" s="138"/>
    </row>
    <row r="570" spans="2:14" x14ac:dyDescent="0.25">
      <c r="B570" s="144"/>
      <c r="C570" s="139"/>
      <c r="D570" s="140"/>
      <c r="E570" s="140"/>
      <c r="F570" s="141"/>
      <c r="G570" s="142"/>
      <c r="H570" s="125"/>
      <c r="I570" s="125"/>
      <c r="J570" s="125"/>
      <c r="K570" s="125"/>
      <c r="L570" s="127"/>
      <c r="M570" s="143"/>
      <c r="N570" s="129"/>
    </row>
    <row r="571" spans="2:14" x14ac:dyDescent="0.25">
      <c r="B571" s="130"/>
      <c r="C571" s="131"/>
      <c r="D571" s="132"/>
      <c r="E571" s="132"/>
      <c r="F571" s="133"/>
      <c r="G571" s="134"/>
      <c r="H571" s="134"/>
      <c r="I571" s="134"/>
      <c r="J571" s="134"/>
      <c r="K571" s="134"/>
      <c r="L571" s="136"/>
      <c r="M571" s="137"/>
      <c r="N571" s="138"/>
    </row>
    <row r="572" spans="2:14" x14ac:dyDescent="0.25">
      <c r="B572" s="144"/>
      <c r="C572" s="139"/>
      <c r="D572" s="140"/>
      <c r="E572" s="140"/>
      <c r="F572" s="141"/>
      <c r="G572" s="142"/>
      <c r="H572" s="125"/>
      <c r="I572" s="125"/>
      <c r="J572" s="125"/>
      <c r="K572" s="125"/>
      <c r="L572" s="127"/>
      <c r="M572" s="143"/>
      <c r="N572" s="129"/>
    </row>
    <row r="573" spans="2:14" x14ac:dyDescent="0.25">
      <c r="B573" s="130"/>
      <c r="C573" s="131"/>
      <c r="D573" s="132"/>
      <c r="E573" s="132"/>
      <c r="F573" s="133"/>
      <c r="G573" s="134"/>
      <c r="H573" s="134"/>
      <c r="I573" s="134"/>
      <c r="J573" s="134"/>
      <c r="K573" s="134"/>
      <c r="L573" s="136"/>
      <c r="M573" s="137"/>
      <c r="N573" s="138"/>
    </row>
    <row r="574" spans="2:14" x14ac:dyDescent="0.25">
      <c r="B574" s="144"/>
      <c r="C574" s="139"/>
      <c r="D574" s="140"/>
      <c r="E574" s="140"/>
      <c r="F574" s="141"/>
      <c r="G574" s="142"/>
      <c r="H574" s="125"/>
      <c r="I574" s="125"/>
      <c r="J574" s="125"/>
      <c r="K574" s="125"/>
      <c r="L574" s="127"/>
      <c r="M574" s="143"/>
      <c r="N574" s="129"/>
    </row>
    <row r="575" spans="2:14" x14ac:dyDescent="0.25">
      <c r="B575" s="130"/>
      <c r="C575" s="131"/>
      <c r="D575" s="132"/>
      <c r="E575" s="132"/>
      <c r="F575" s="133"/>
      <c r="G575" s="134"/>
      <c r="H575" s="134"/>
      <c r="I575" s="134"/>
      <c r="J575" s="134"/>
      <c r="K575" s="134"/>
      <c r="L575" s="136"/>
      <c r="M575" s="137"/>
      <c r="N575" s="138"/>
    </row>
    <row r="576" spans="2:14" x14ac:dyDescent="0.25">
      <c r="B576" s="144"/>
      <c r="C576" s="139"/>
      <c r="D576" s="140"/>
      <c r="E576" s="140"/>
      <c r="F576" s="141"/>
      <c r="G576" s="142"/>
      <c r="H576" s="125"/>
      <c r="I576" s="125"/>
      <c r="J576" s="125"/>
      <c r="K576" s="125"/>
      <c r="L576" s="127"/>
      <c r="M576" s="143"/>
      <c r="N576" s="129"/>
    </row>
    <row r="577" spans="2:14" x14ac:dyDescent="0.25">
      <c r="B577" s="130"/>
      <c r="C577" s="131"/>
      <c r="D577" s="132"/>
      <c r="E577" s="132"/>
      <c r="F577" s="133"/>
      <c r="G577" s="134"/>
      <c r="H577" s="134"/>
      <c r="I577" s="134"/>
      <c r="J577" s="134"/>
      <c r="K577" s="134"/>
      <c r="L577" s="136"/>
      <c r="M577" s="137"/>
      <c r="N577" s="138"/>
    </row>
    <row r="578" spans="2:14" x14ac:dyDescent="0.25">
      <c r="B578" s="144"/>
      <c r="C578" s="139"/>
      <c r="D578" s="140"/>
      <c r="E578" s="140"/>
      <c r="F578" s="141"/>
      <c r="G578" s="142"/>
      <c r="H578" s="125"/>
      <c r="I578" s="125"/>
      <c r="J578" s="125"/>
      <c r="K578" s="125"/>
      <c r="L578" s="127"/>
      <c r="M578" s="143"/>
      <c r="N578" s="129"/>
    </row>
    <row r="579" spans="2:14" x14ac:dyDescent="0.25">
      <c r="B579" s="130"/>
      <c r="C579" s="131"/>
      <c r="D579" s="132"/>
      <c r="E579" s="132"/>
      <c r="F579" s="133"/>
      <c r="G579" s="134"/>
      <c r="H579" s="134"/>
      <c r="I579" s="134"/>
      <c r="J579" s="134"/>
      <c r="K579" s="134"/>
      <c r="L579" s="136"/>
      <c r="M579" s="137"/>
      <c r="N579" s="138"/>
    </row>
    <row r="580" spans="2:14" x14ac:dyDescent="0.25">
      <c r="B580" s="144"/>
      <c r="C580" s="139"/>
      <c r="D580" s="140"/>
      <c r="E580" s="140"/>
      <c r="F580" s="141"/>
      <c r="G580" s="142"/>
      <c r="H580" s="125"/>
      <c r="I580" s="125"/>
      <c r="J580" s="125"/>
      <c r="K580" s="125"/>
      <c r="L580" s="127"/>
      <c r="M580" s="143"/>
      <c r="N580" s="129"/>
    </row>
    <row r="581" spans="2:14" x14ac:dyDescent="0.25">
      <c r="B581" s="130"/>
      <c r="C581" s="131"/>
      <c r="D581" s="132"/>
      <c r="E581" s="132"/>
      <c r="F581" s="133"/>
      <c r="G581" s="134"/>
      <c r="H581" s="134"/>
      <c r="I581" s="134"/>
      <c r="J581" s="134"/>
      <c r="K581" s="134"/>
      <c r="L581" s="136"/>
      <c r="M581" s="137"/>
      <c r="N581" s="138"/>
    </row>
    <row r="582" spans="2:14" x14ac:dyDescent="0.25">
      <c r="B582" s="144"/>
      <c r="C582" s="139"/>
      <c r="D582" s="140"/>
      <c r="E582" s="140"/>
      <c r="F582" s="141"/>
      <c r="G582" s="142"/>
      <c r="H582" s="125"/>
      <c r="I582" s="125"/>
      <c r="J582" s="125"/>
      <c r="K582" s="125"/>
      <c r="L582" s="127"/>
      <c r="M582" s="143"/>
      <c r="N582" s="129"/>
    </row>
    <row r="583" spans="2:14" x14ac:dyDescent="0.25">
      <c r="B583" s="130"/>
      <c r="C583" s="131"/>
      <c r="D583" s="132"/>
      <c r="E583" s="132"/>
      <c r="F583" s="133"/>
      <c r="G583" s="134"/>
      <c r="H583" s="134"/>
      <c r="I583" s="134"/>
      <c r="J583" s="134"/>
      <c r="K583" s="134"/>
      <c r="L583" s="136"/>
      <c r="M583" s="137"/>
      <c r="N583" s="138"/>
    </row>
    <row r="584" spans="2:14" x14ac:dyDescent="0.25">
      <c r="B584" s="144"/>
      <c r="C584" s="139"/>
      <c r="D584" s="140"/>
      <c r="E584" s="140"/>
      <c r="F584" s="141"/>
      <c r="G584" s="142"/>
      <c r="H584" s="125"/>
      <c r="I584" s="125"/>
      <c r="J584" s="125"/>
      <c r="K584" s="125"/>
      <c r="L584" s="127"/>
      <c r="M584" s="143"/>
      <c r="N584" s="129"/>
    </row>
    <row r="585" spans="2:14" x14ac:dyDescent="0.25">
      <c r="B585" s="130"/>
      <c r="C585" s="131"/>
      <c r="D585" s="132"/>
      <c r="E585" s="132"/>
      <c r="F585" s="133"/>
      <c r="G585" s="134"/>
      <c r="H585" s="134"/>
      <c r="I585" s="134"/>
      <c r="J585" s="134"/>
      <c r="K585" s="134"/>
      <c r="L585" s="136"/>
      <c r="M585" s="137"/>
      <c r="N585" s="138"/>
    </row>
    <row r="586" spans="2:14" x14ac:dyDescent="0.25">
      <c r="B586" s="144"/>
      <c r="C586" s="139"/>
      <c r="D586" s="140"/>
      <c r="E586" s="140"/>
      <c r="F586" s="141"/>
      <c r="G586" s="142"/>
      <c r="H586" s="125"/>
      <c r="I586" s="125"/>
      <c r="J586" s="125"/>
      <c r="K586" s="125"/>
      <c r="L586" s="127"/>
      <c r="M586" s="143"/>
      <c r="N586" s="129"/>
    </row>
    <row r="587" spans="2:14" x14ac:dyDescent="0.25">
      <c r="B587" s="130"/>
      <c r="C587" s="131"/>
      <c r="D587" s="132"/>
      <c r="E587" s="132"/>
      <c r="F587" s="133"/>
      <c r="G587" s="134"/>
      <c r="H587" s="134"/>
      <c r="I587" s="134"/>
      <c r="J587" s="134"/>
      <c r="K587" s="134"/>
      <c r="L587" s="136"/>
      <c r="M587" s="137"/>
      <c r="N587" s="138"/>
    </row>
    <row r="588" spans="2:14" x14ac:dyDescent="0.25">
      <c r="B588" s="144"/>
      <c r="C588" s="139"/>
      <c r="D588" s="140"/>
      <c r="E588" s="140"/>
      <c r="F588" s="141"/>
      <c r="G588" s="142"/>
      <c r="H588" s="125"/>
      <c r="I588" s="125"/>
      <c r="J588" s="125"/>
      <c r="K588" s="125"/>
      <c r="L588" s="127"/>
      <c r="M588" s="143"/>
      <c r="N588" s="129"/>
    </row>
    <row r="589" spans="2:14" x14ac:dyDescent="0.25">
      <c r="B589" s="130"/>
      <c r="C589" s="131"/>
      <c r="D589" s="132"/>
      <c r="E589" s="132"/>
      <c r="F589" s="133"/>
      <c r="G589" s="134"/>
      <c r="H589" s="134"/>
      <c r="I589" s="134"/>
      <c r="J589" s="134"/>
      <c r="K589" s="134"/>
      <c r="L589" s="136"/>
      <c r="M589" s="137"/>
      <c r="N589" s="138"/>
    </row>
    <row r="590" spans="2:14" x14ac:dyDescent="0.25">
      <c r="B590" s="144"/>
      <c r="C590" s="139"/>
      <c r="D590" s="140"/>
      <c r="E590" s="140"/>
      <c r="F590" s="141"/>
      <c r="G590" s="142"/>
      <c r="H590" s="125"/>
      <c r="I590" s="125"/>
      <c r="J590" s="125"/>
      <c r="K590" s="125"/>
      <c r="L590" s="127"/>
      <c r="M590" s="143"/>
      <c r="N590" s="129"/>
    </row>
    <row r="591" spans="2:14" x14ac:dyDescent="0.25">
      <c r="B591" s="130"/>
      <c r="C591" s="131"/>
      <c r="D591" s="132"/>
      <c r="E591" s="132"/>
      <c r="F591" s="133"/>
      <c r="G591" s="134"/>
      <c r="H591" s="134"/>
      <c r="I591" s="134"/>
      <c r="J591" s="134"/>
      <c r="K591" s="134"/>
      <c r="L591" s="136"/>
      <c r="M591" s="137"/>
      <c r="N591" s="138"/>
    </row>
    <row r="592" spans="2:14" x14ac:dyDescent="0.25">
      <c r="B592" s="144"/>
      <c r="C592" s="139"/>
      <c r="D592" s="140"/>
      <c r="E592" s="140"/>
      <c r="F592" s="141"/>
      <c r="G592" s="142"/>
      <c r="H592" s="125"/>
      <c r="I592" s="125"/>
      <c r="J592" s="125"/>
      <c r="K592" s="125"/>
      <c r="L592" s="127"/>
      <c r="M592" s="143"/>
      <c r="N592" s="129"/>
    </row>
    <row r="593" spans="2:14" x14ac:dyDescent="0.25">
      <c r="B593" s="130"/>
      <c r="C593" s="131"/>
      <c r="D593" s="132"/>
      <c r="E593" s="132"/>
      <c r="F593" s="133"/>
      <c r="G593" s="134"/>
      <c r="H593" s="134"/>
      <c r="I593" s="134"/>
      <c r="J593" s="134"/>
      <c r="K593" s="134"/>
      <c r="L593" s="136"/>
      <c r="M593" s="137"/>
      <c r="N593" s="138"/>
    </row>
    <row r="594" spans="2:14" x14ac:dyDescent="0.25">
      <c r="B594" s="144"/>
      <c r="C594" s="139"/>
      <c r="D594" s="140"/>
      <c r="E594" s="140"/>
      <c r="F594" s="141"/>
      <c r="G594" s="142"/>
      <c r="H594" s="125"/>
      <c r="I594" s="125"/>
      <c r="J594" s="125"/>
      <c r="K594" s="125"/>
      <c r="L594" s="127"/>
      <c r="M594" s="143"/>
      <c r="N594" s="129"/>
    </row>
    <row r="595" spans="2:14" x14ac:dyDescent="0.25">
      <c r="B595" s="130"/>
      <c r="C595" s="131"/>
      <c r="D595" s="132"/>
      <c r="E595" s="132"/>
      <c r="F595" s="133"/>
      <c r="G595" s="134"/>
      <c r="H595" s="134"/>
      <c r="I595" s="134"/>
      <c r="J595" s="134"/>
      <c r="K595" s="134"/>
      <c r="L595" s="136"/>
      <c r="M595" s="137"/>
      <c r="N595" s="138"/>
    </row>
    <row r="596" spans="2:14" x14ac:dyDescent="0.25">
      <c r="B596" s="144"/>
      <c r="C596" s="139"/>
      <c r="D596" s="140"/>
      <c r="E596" s="140"/>
      <c r="F596" s="141"/>
      <c r="G596" s="142"/>
      <c r="H596" s="125"/>
      <c r="I596" s="125"/>
      <c r="J596" s="125"/>
      <c r="K596" s="125"/>
      <c r="L596" s="127"/>
      <c r="M596" s="143"/>
      <c r="N596" s="129"/>
    </row>
    <row r="597" spans="2:14" x14ac:dyDescent="0.25">
      <c r="B597" s="130"/>
      <c r="C597" s="131"/>
      <c r="D597" s="132"/>
      <c r="E597" s="132"/>
      <c r="F597" s="133"/>
      <c r="G597" s="134"/>
      <c r="H597" s="134"/>
      <c r="I597" s="134"/>
      <c r="J597" s="134"/>
      <c r="K597" s="134"/>
      <c r="L597" s="136"/>
      <c r="M597" s="137"/>
      <c r="N597" s="138"/>
    </row>
    <row r="598" spans="2:14" x14ac:dyDescent="0.25">
      <c r="B598" s="144"/>
      <c r="C598" s="139"/>
      <c r="D598" s="140"/>
      <c r="E598" s="140"/>
      <c r="F598" s="141"/>
      <c r="G598" s="142"/>
      <c r="H598" s="125"/>
      <c r="I598" s="125"/>
      <c r="J598" s="125"/>
      <c r="K598" s="125"/>
      <c r="L598" s="127"/>
      <c r="M598" s="143"/>
      <c r="N598" s="129"/>
    </row>
    <row r="599" spans="2:14" x14ac:dyDescent="0.25">
      <c r="B599" s="130"/>
      <c r="C599" s="131"/>
      <c r="D599" s="132"/>
      <c r="E599" s="132"/>
      <c r="F599" s="133"/>
      <c r="G599" s="134"/>
      <c r="H599" s="134"/>
      <c r="I599" s="134"/>
      <c r="J599" s="134"/>
      <c r="K599" s="134"/>
      <c r="L599" s="136"/>
      <c r="M599" s="137"/>
      <c r="N599" s="138"/>
    </row>
    <row r="600" spans="2:14" x14ac:dyDescent="0.25">
      <c r="B600" s="144"/>
      <c r="C600" s="139"/>
      <c r="D600" s="140"/>
      <c r="E600" s="140"/>
      <c r="F600" s="141"/>
      <c r="G600" s="142"/>
      <c r="H600" s="125"/>
      <c r="I600" s="125"/>
      <c r="J600" s="125"/>
      <c r="K600" s="125"/>
      <c r="L600" s="127"/>
      <c r="M600" s="143"/>
      <c r="N600" s="129"/>
    </row>
    <row r="601" spans="2:14" x14ac:dyDescent="0.25">
      <c r="B601" s="130"/>
      <c r="C601" s="131"/>
      <c r="D601" s="132"/>
      <c r="E601" s="132"/>
      <c r="F601" s="133"/>
      <c r="G601" s="134"/>
      <c r="H601" s="134"/>
      <c r="I601" s="134"/>
      <c r="J601" s="134"/>
      <c r="K601" s="134"/>
      <c r="L601" s="136"/>
      <c r="M601" s="137"/>
      <c r="N601" s="138"/>
    </row>
    <row r="602" spans="2:14" x14ac:dyDescent="0.25">
      <c r="B602" s="144"/>
      <c r="C602" s="139"/>
      <c r="D602" s="140"/>
      <c r="E602" s="140"/>
      <c r="F602" s="141"/>
      <c r="G602" s="142"/>
      <c r="H602" s="125"/>
      <c r="I602" s="125"/>
      <c r="J602" s="125"/>
      <c r="K602" s="125"/>
      <c r="L602" s="127"/>
      <c r="M602" s="143"/>
      <c r="N602" s="129"/>
    </row>
    <row r="603" spans="2:14" x14ac:dyDescent="0.25">
      <c r="B603" s="130"/>
      <c r="C603" s="131"/>
      <c r="D603" s="132"/>
      <c r="E603" s="132"/>
      <c r="F603" s="133"/>
      <c r="G603" s="134"/>
      <c r="H603" s="134"/>
      <c r="I603" s="134"/>
      <c r="J603" s="134"/>
      <c r="K603" s="134"/>
      <c r="L603" s="136"/>
      <c r="M603" s="137"/>
      <c r="N603" s="138"/>
    </row>
    <row r="604" spans="2:14" x14ac:dyDescent="0.25">
      <c r="B604" s="144"/>
      <c r="C604" s="139"/>
      <c r="D604" s="140"/>
      <c r="E604" s="140"/>
      <c r="F604" s="141"/>
      <c r="G604" s="142"/>
      <c r="H604" s="125"/>
      <c r="I604" s="125"/>
      <c r="J604" s="125"/>
      <c r="K604" s="125"/>
      <c r="L604" s="127"/>
      <c r="M604" s="143"/>
      <c r="N604" s="129"/>
    </row>
    <row r="605" spans="2:14" x14ac:dyDescent="0.25">
      <c r="B605" s="130"/>
      <c r="C605" s="131"/>
      <c r="D605" s="132"/>
      <c r="E605" s="132"/>
      <c r="F605" s="133"/>
      <c r="G605" s="134"/>
      <c r="H605" s="134"/>
      <c r="I605" s="134"/>
      <c r="J605" s="134"/>
      <c r="K605" s="134"/>
      <c r="L605" s="136"/>
      <c r="M605" s="137"/>
      <c r="N605" s="138"/>
    </row>
    <row r="606" spans="2:14" x14ac:dyDescent="0.25">
      <c r="B606" s="144"/>
      <c r="C606" s="139"/>
      <c r="D606" s="140"/>
      <c r="E606" s="140"/>
      <c r="F606" s="141"/>
      <c r="G606" s="142"/>
      <c r="H606" s="125"/>
      <c r="I606" s="125"/>
      <c r="J606" s="125"/>
      <c r="K606" s="125"/>
      <c r="L606" s="127"/>
      <c r="M606" s="143"/>
      <c r="N606" s="129"/>
    </row>
    <row r="607" spans="2:14" x14ac:dyDescent="0.25">
      <c r="B607" s="130"/>
      <c r="C607" s="131"/>
      <c r="D607" s="132"/>
      <c r="E607" s="132"/>
      <c r="F607" s="133"/>
      <c r="G607" s="134"/>
      <c r="H607" s="134"/>
      <c r="I607" s="134"/>
      <c r="J607" s="134"/>
      <c r="K607" s="134"/>
      <c r="L607" s="136"/>
      <c r="M607" s="137"/>
      <c r="N607" s="138"/>
    </row>
    <row r="608" spans="2:14" x14ac:dyDescent="0.25">
      <c r="B608" s="144"/>
      <c r="C608" s="139"/>
      <c r="D608" s="140"/>
      <c r="E608" s="140"/>
      <c r="F608" s="141"/>
      <c r="G608" s="142"/>
      <c r="H608" s="125"/>
      <c r="I608" s="125"/>
      <c r="J608" s="125"/>
      <c r="K608" s="125"/>
      <c r="L608" s="127"/>
      <c r="M608" s="143"/>
      <c r="N608" s="129"/>
    </row>
    <row r="609" spans="2:14" x14ac:dyDescent="0.25">
      <c r="B609" s="130"/>
      <c r="C609" s="131"/>
      <c r="D609" s="132"/>
      <c r="E609" s="132"/>
      <c r="F609" s="133"/>
      <c r="G609" s="134"/>
      <c r="H609" s="134"/>
      <c r="I609" s="134"/>
      <c r="J609" s="134"/>
      <c r="K609" s="134"/>
      <c r="L609" s="136"/>
      <c r="M609" s="137"/>
      <c r="N609" s="138"/>
    </row>
    <row r="610" spans="2:14" x14ac:dyDescent="0.25">
      <c r="B610" s="144"/>
      <c r="C610" s="139"/>
      <c r="D610" s="140"/>
      <c r="E610" s="140"/>
      <c r="F610" s="141"/>
      <c r="G610" s="142"/>
      <c r="H610" s="125"/>
      <c r="I610" s="125"/>
      <c r="J610" s="125"/>
      <c r="K610" s="125"/>
      <c r="L610" s="127"/>
      <c r="M610" s="143"/>
      <c r="N610" s="129"/>
    </row>
    <row r="611" spans="2:14" x14ac:dyDescent="0.25">
      <c r="B611" s="130"/>
      <c r="C611" s="131"/>
      <c r="D611" s="132"/>
      <c r="E611" s="132"/>
      <c r="F611" s="133"/>
      <c r="G611" s="134"/>
      <c r="H611" s="134"/>
      <c r="I611" s="134"/>
      <c r="J611" s="134"/>
      <c r="K611" s="134"/>
      <c r="L611" s="136"/>
      <c r="M611" s="137"/>
      <c r="N611" s="138"/>
    </row>
    <row r="612" spans="2:14" x14ac:dyDescent="0.25">
      <c r="B612" s="144"/>
      <c r="C612" s="139"/>
      <c r="D612" s="140"/>
      <c r="E612" s="140"/>
      <c r="F612" s="141"/>
      <c r="G612" s="142"/>
      <c r="H612" s="125"/>
      <c r="I612" s="125"/>
      <c r="J612" s="125"/>
      <c r="K612" s="125"/>
      <c r="L612" s="127"/>
      <c r="M612" s="143"/>
      <c r="N612" s="129"/>
    </row>
    <row r="613" spans="2:14" x14ac:dyDescent="0.25">
      <c r="B613" s="130"/>
      <c r="C613" s="131"/>
      <c r="D613" s="132"/>
      <c r="E613" s="132"/>
      <c r="F613" s="133"/>
      <c r="G613" s="134"/>
      <c r="H613" s="134"/>
      <c r="I613" s="134"/>
      <c r="J613" s="134"/>
      <c r="K613" s="134"/>
      <c r="L613" s="136"/>
      <c r="M613" s="137"/>
      <c r="N613" s="138"/>
    </row>
    <row r="614" spans="2:14" x14ac:dyDescent="0.25">
      <c r="B614" s="144"/>
      <c r="C614" s="139"/>
      <c r="D614" s="140"/>
      <c r="E614" s="140"/>
      <c r="F614" s="141"/>
      <c r="G614" s="142"/>
      <c r="H614" s="125"/>
      <c r="I614" s="125"/>
      <c r="J614" s="125"/>
      <c r="K614" s="125"/>
      <c r="L614" s="127"/>
      <c r="M614" s="143"/>
      <c r="N614" s="129"/>
    </row>
    <row r="615" spans="2:14" x14ac:dyDescent="0.25">
      <c r="B615" s="130"/>
      <c r="C615" s="131"/>
      <c r="D615" s="132"/>
      <c r="E615" s="132"/>
      <c r="F615" s="133"/>
      <c r="G615" s="134"/>
      <c r="H615" s="134"/>
      <c r="I615" s="134"/>
      <c r="J615" s="134"/>
      <c r="K615" s="134"/>
      <c r="L615" s="136"/>
      <c r="M615" s="137"/>
      <c r="N615" s="138"/>
    </row>
    <row r="616" spans="2:14" x14ac:dyDescent="0.25">
      <c r="B616" s="144"/>
      <c r="C616" s="139"/>
      <c r="D616" s="140"/>
      <c r="E616" s="140"/>
      <c r="F616" s="141"/>
      <c r="G616" s="142"/>
      <c r="H616" s="125"/>
      <c r="I616" s="125"/>
      <c r="J616" s="125"/>
      <c r="K616" s="125"/>
      <c r="L616" s="127"/>
      <c r="M616" s="143"/>
      <c r="N616" s="129"/>
    </row>
    <row r="617" spans="2:14" x14ac:dyDescent="0.25">
      <c r="B617" s="130"/>
      <c r="C617" s="131"/>
      <c r="D617" s="132"/>
      <c r="E617" s="132"/>
      <c r="F617" s="133"/>
      <c r="G617" s="134"/>
      <c r="H617" s="134"/>
      <c r="I617" s="134"/>
      <c r="J617" s="134"/>
      <c r="K617" s="134"/>
      <c r="L617" s="136"/>
      <c r="M617" s="137"/>
      <c r="N617" s="138"/>
    </row>
    <row r="618" spans="2:14" x14ac:dyDescent="0.25">
      <c r="B618" s="144"/>
      <c r="C618" s="139"/>
      <c r="D618" s="140"/>
      <c r="E618" s="140"/>
      <c r="F618" s="141"/>
      <c r="G618" s="142"/>
      <c r="H618" s="125"/>
      <c r="I618" s="125"/>
      <c r="J618" s="125"/>
      <c r="K618" s="125"/>
      <c r="L618" s="127"/>
      <c r="M618" s="143"/>
      <c r="N618" s="129"/>
    </row>
    <row r="619" spans="2:14" x14ac:dyDescent="0.25">
      <c r="B619" s="130"/>
      <c r="C619" s="131"/>
      <c r="D619" s="132"/>
      <c r="E619" s="132"/>
      <c r="F619" s="133"/>
      <c r="G619" s="134"/>
      <c r="H619" s="134"/>
      <c r="I619" s="134"/>
      <c r="J619" s="134"/>
      <c r="K619" s="134"/>
      <c r="L619" s="136"/>
      <c r="M619" s="137"/>
      <c r="N619" s="138"/>
    </row>
    <row r="620" spans="2:14" x14ac:dyDescent="0.25">
      <c r="B620" s="144"/>
      <c r="C620" s="139"/>
      <c r="D620" s="140"/>
      <c r="E620" s="140"/>
      <c r="F620" s="141"/>
      <c r="G620" s="142"/>
      <c r="H620" s="125"/>
      <c r="I620" s="125"/>
      <c r="J620" s="125"/>
      <c r="K620" s="125"/>
      <c r="L620" s="127"/>
      <c r="M620" s="143"/>
      <c r="N620" s="129"/>
    </row>
    <row r="621" spans="2:14" x14ac:dyDescent="0.25">
      <c r="B621" s="130"/>
      <c r="C621" s="131"/>
      <c r="D621" s="132"/>
      <c r="E621" s="132"/>
      <c r="F621" s="133"/>
      <c r="G621" s="134"/>
      <c r="H621" s="134"/>
      <c r="I621" s="134"/>
      <c r="J621" s="134"/>
      <c r="K621" s="134"/>
      <c r="L621" s="136"/>
      <c r="M621" s="137"/>
      <c r="N621" s="138"/>
    </row>
    <row r="622" spans="2:14" x14ac:dyDescent="0.25">
      <c r="B622" s="144"/>
      <c r="C622" s="139"/>
      <c r="D622" s="140"/>
      <c r="E622" s="140"/>
      <c r="F622" s="141"/>
      <c r="G622" s="142"/>
      <c r="H622" s="125"/>
      <c r="I622" s="125"/>
      <c r="J622" s="125"/>
      <c r="K622" s="125"/>
      <c r="L622" s="127"/>
      <c r="M622" s="143"/>
      <c r="N622" s="129"/>
    </row>
    <row r="623" spans="2:14" x14ac:dyDescent="0.25">
      <c r="B623" s="130"/>
      <c r="C623" s="131"/>
      <c r="D623" s="132"/>
      <c r="E623" s="132"/>
      <c r="F623" s="133"/>
      <c r="G623" s="134"/>
      <c r="H623" s="134"/>
      <c r="I623" s="134"/>
      <c r="J623" s="134"/>
      <c r="K623" s="134"/>
      <c r="L623" s="136"/>
      <c r="M623" s="137"/>
      <c r="N623" s="138"/>
    </row>
    <row r="624" spans="2:14" x14ac:dyDescent="0.25">
      <c r="B624" s="144"/>
      <c r="C624" s="139"/>
      <c r="D624" s="140"/>
      <c r="E624" s="140"/>
      <c r="F624" s="141"/>
      <c r="G624" s="142"/>
      <c r="H624" s="125"/>
      <c r="I624" s="125"/>
      <c r="J624" s="125"/>
      <c r="K624" s="125"/>
      <c r="L624" s="127"/>
      <c r="M624" s="143"/>
      <c r="N624" s="129"/>
    </row>
    <row r="625" spans="2:14" x14ac:dyDescent="0.25">
      <c r="B625" s="130"/>
      <c r="C625" s="131"/>
      <c r="D625" s="132"/>
      <c r="E625" s="132"/>
      <c r="F625" s="133"/>
      <c r="G625" s="134"/>
      <c r="H625" s="134"/>
      <c r="I625" s="134"/>
      <c r="J625" s="134"/>
      <c r="K625" s="134"/>
      <c r="L625" s="136"/>
      <c r="M625" s="137"/>
      <c r="N625" s="138"/>
    </row>
    <row r="626" spans="2:14" x14ac:dyDescent="0.25">
      <c r="B626" s="144"/>
      <c r="C626" s="139"/>
      <c r="D626" s="140"/>
      <c r="E626" s="140"/>
      <c r="F626" s="141"/>
      <c r="G626" s="142"/>
      <c r="H626" s="125"/>
      <c r="I626" s="125"/>
      <c r="J626" s="125"/>
      <c r="K626" s="125"/>
      <c r="L626" s="127"/>
      <c r="M626" s="143"/>
      <c r="N626" s="129"/>
    </row>
    <row r="627" spans="2:14" x14ac:dyDescent="0.25">
      <c r="B627" s="130"/>
      <c r="C627" s="131"/>
      <c r="D627" s="132"/>
      <c r="E627" s="132"/>
      <c r="F627" s="133"/>
      <c r="G627" s="134"/>
      <c r="H627" s="134"/>
      <c r="I627" s="134"/>
      <c r="J627" s="134"/>
      <c r="K627" s="134"/>
      <c r="L627" s="136"/>
      <c r="M627" s="137"/>
      <c r="N627" s="138"/>
    </row>
    <row r="628" spans="2:14" x14ac:dyDescent="0.25">
      <c r="B628" s="144"/>
      <c r="C628" s="139"/>
      <c r="D628" s="140"/>
      <c r="E628" s="140"/>
      <c r="F628" s="141"/>
      <c r="G628" s="142"/>
      <c r="H628" s="125"/>
      <c r="I628" s="125"/>
      <c r="J628" s="125"/>
      <c r="K628" s="125"/>
      <c r="L628" s="127"/>
      <c r="M628" s="143"/>
      <c r="N628" s="129"/>
    </row>
    <row r="629" spans="2:14" x14ac:dyDescent="0.25">
      <c r="B629" s="130"/>
      <c r="C629" s="131"/>
      <c r="D629" s="132"/>
      <c r="E629" s="132"/>
      <c r="F629" s="133"/>
      <c r="G629" s="134"/>
      <c r="H629" s="134"/>
      <c r="I629" s="134"/>
      <c r="J629" s="134"/>
      <c r="K629" s="134"/>
      <c r="L629" s="136"/>
      <c r="M629" s="137"/>
      <c r="N629" s="138"/>
    </row>
    <row r="630" spans="2:14" x14ac:dyDescent="0.25">
      <c r="B630" s="144"/>
      <c r="C630" s="139"/>
      <c r="D630" s="140"/>
      <c r="E630" s="140"/>
      <c r="F630" s="141"/>
      <c r="G630" s="142"/>
      <c r="H630" s="125"/>
      <c r="I630" s="125"/>
      <c r="J630" s="125"/>
      <c r="K630" s="125"/>
      <c r="L630" s="127"/>
      <c r="M630" s="143"/>
      <c r="N630" s="129"/>
    </row>
    <row r="631" spans="2:14" x14ac:dyDescent="0.25">
      <c r="B631" s="130"/>
      <c r="C631" s="131"/>
      <c r="D631" s="132"/>
      <c r="E631" s="132"/>
      <c r="F631" s="133"/>
      <c r="G631" s="134"/>
      <c r="H631" s="134"/>
      <c r="I631" s="134"/>
      <c r="J631" s="134"/>
      <c r="K631" s="134"/>
      <c r="L631" s="136"/>
      <c r="M631" s="137"/>
      <c r="N631" s="138"/>
    </row>
    <row r="632" spans="2:14" x14ac:dyDescent="0.25">
      <c r="B632" s="144"/>
      <c r="C632" s="139"/>
      <c r="D632" s="140"/>
      <c r="E632" s="140"/>
      <c r="F632" s="141"/>
      <c r="G632" s="142"/>
      <c r="H632" s="125"/>
      <c r="I632" s="125"/>
      <c r="J632" s="125"/>
      <c r="K632" s="125"/>
      <c r="L632" s="127"/>
      <c r="M632" s="143"/>
      <c r="N632" s="129"/>
    </row>
    <row r="633" spans="2:14" x14ac:dyDescent="0.25">
      <c r="B633" s="130"/>
      <c r="C633" s="131"/>
      <c r="D633" s="132"/>
      <c r="E633" s="132"/>
      <c r="F633" s="133"/>
      <c r="G633" s="134"/>
      <c r="H633" s="134"/>
      <c r="I633" s="134"/>
      <c r="J633" s="134"/>
      <c r="K633" s="134"/>
      <c r="L633" s="136"/>
      <c r="M633" s="137"/>
      <c r="N633" s="138"/>
    </row>
    <row r="634" spans="2:14" x14ac:dyDescent="0.25">
      <c r="B634" s="144"/>
      <c r="C634" s="139"/>
      <c r="D634" s="140"/>
      <c r="E634" s="140"/>
      <c r="F634" s="141"/>
      <c r="G634" s="142"/>
      <c r="H634" s="125"/>
      <c r="I634" s="125"/>
      <c r="J634" s="125"/>
      <c r="K634" s="125"/>
      <c r="L634" s="127"/>
      <c r="M634" s="143"/>
      <c r="N634" s="129"/>
    </row>
    <row r="635" spans="2:14" x14ac:dyDescent="0.25">
      <c r="B635" s="130"/>
      <c r="C635" s="131"/>
      <c r="D635" s="132"/>
      <c r="E635" s="132"/>
      <c r="F635" s="133"/>
      <c r="G635" s="134"/>
      <c r="H635" s="134"/>
      <c r="I635" s="134"/>
      <c r="J635" s="134"/>
      <c r="K635" s="134"/>
      <c r="L635" s="136"/>
      <c r="M635" s="137"/>
      <c r="N635" s="138"/>
    </row>
    <row r="636" spans="2:14" x14ac:dyDescent="0.25">
      <c r="B636" s="144"/>
      <c r="C636" s="139"/>
      <c r="D636" s="140"/>
      <c r="E636" s="140"/>
      <c r="F636" s="141"/>
      <c r="G636" s="142"/>
      <c r="H636" s="125"/>
      <c r="I636" s="125"/>
      <c r="J636" s="125"/>
      <c r="K636" s="125"/>
      <c r="L636" s="127"/>
      <c r="M636" s="143"/>
      <c r="N636" s="129"/>
    </row>
    <row r="637" spans="2:14" x14ac:dyDescent="0.25">
      <c r="B637" s="130"/>
      <c r="C637" s="131"/>
      <c r="D637" s="132"/>
      <c r="E637" s="132"/>
      <c r="F637" s="133"/>
      <c r="G637" s="134"/>
      <c r="H637" s="134"/>
      <c r="I637" s="134"/>
      <c r="J637" s="134"/>
      <c r="K637" s="134"/>
      <c r="L637" s="136"/>
      <c r="M637" s="137"/>
      <c r="N637" s="138"/>
    </row>
    <row r="638" spans="2:14" x14ac:dyDescent="0.25">
      <c r="B638" s="144"/>
      <c r="C638" s="139"/>
      <c r="D638" s="140"/>
      <c r="E638" s="140"/>
      <c r="F638" s="141"/>
      <c r="G638" s="142"/>
      <c r="H638" s="125"/>
      <c r="I638" s="125"/>
      <c r="J638" s="125"/>
      <c r="K638" s="125"/>
      <c r="L638" s="127"/>
      <c r="M638" s="143"/>
      <c r="N638" s="129"/>
    </row>
    <row r="639" spans="2:14" x14ac:dyDescent="0.25">
      <c r="B639" s="130"/>
      <c r="C639" s="131"/>
      <c r="D639" s="132"/>
      <c r="E639" s="132"/>
      <c r="F639" s="133"/>
      <c r="G639" s="134"/>
      <c r="H639" s="134"/>
      <c r="I639" s="134"/>
      <c r="J639" s="134"/>
      <c r="K639" s="134"/>
      <c r="L639" s="136"/>
      <c r="M639" s="137"/>
      <c r="N639" s="138"/>
    </row>
    <row r="640" spans="2:14" x14ac:dyDescent="0.25">
      <c r="B640" s="144"/>
      <c r="C640" s="139"/>
      <c r="D640" s="140"/>
      <c r="E640" s="140"/>
      <c r="F640" s="141"/>
      <c r="G640" s="142"/>
      <c r="H640" s="125"/>
      <c r="I640" s="125"/>
      <c r="J640" s="125"/>
      <c r="K640" s="125"/>
      <c r="L640" s="127"/>
      <c r="M640" s="143"/>
      <c r="N640" s="129"/>
    </row>
    <row r="641" spans="2:14" x14ac:dyDescent="0.25">
      <c r="B641" s="130"/>
      <c r="C641" s="131"/>
      <c r="D641" s="132"/>
      <c r="E641" s="132"/>
      <c r="F641" s="133"/>
      <c r="G641" s="134"/>
      <c r="H641" s="134"/>
      <c r="I641" s="134"/>
      <c r="J641" s="134"/>
      <c r="K641" s="134"/>
      <c r="L641" s="136"/>
      <c r="M641" s="137"/>
      <c r="N641" s="138"/>
    </row>
    <row r="642" spans="2:14" x14ac:dyDescent="0.25">
      <c r="B642" s="144"/>
      <c r="C642" s="139"/>
      <c r="D642" s="140"/>
      <c r="E642" s="140"/>
      <c r="F642" s="141"/>
      <c r="G642" s="142"/>
      <c r="H642" s="125"/>
      <c r="I642" s="125"/>
      <c r="J642" s="125"/>
      <c r="K642" s="125"/>
      <c r="L642" s="127"/>
      <c r="M642" s="143"/>
      <c r="N642" s="129"/>
    </row>
    <row r="643" spans="2:14" x14ac:dyDescent="0.25">
      <c r="B643" s="130"/>
      <c r="C643" s="131"/>
      <c r="D643" s="132"/>
      <c r="E643" s="132"/>
      <c r="F643" s="133"/>
      <c r="G643" s="134"/>
      <c r="H643" s="134"/>
      <c r="I643" s="134"/>
      <c r="J643" s="134"/>
      <c r="K643" s="134"/>
      <c r="L643" s="136"/>
      <c r="M643" s="137"/>
      <c r="N643" s="138"/>
    </row>
    <row r="644" spans="2:14" x14ac:dyDescent="0.25">
      <c r="B644" s="144"/>
      <c r="C644" s="139"/>
      <c r="D644" s="140"/>
      <c r="E644" s="140"/>
      <c r="F644" s="141"/>
      <c r="G644" s="142"/>
      <c r="H644" s="125"/>
      <c r="I644" s="125"/>
      <c r="J644" s="125"/>
      <c r="K644" s="125"/>
      <c r="L644" s="127"/>
      <c r="M644" s="143"/>
      <c r="N644" s="129"/>
    </row>
    <row r="645" spans="2:14" x14ac:dyDescent="0.25">
      <c r="B645" s="130"/>
      <c r="C645" s="131"/>
      <c r="D645" s="132"/>
      <c r="E645" s="132"/>
      <c r="F645" s="133"/>
      <c r="G645" s="134"/>
      <c r="H645" s="134"/>
      <c r="I645" s="134"/>
      <c r="J645" s="134"/>
      <c r="K645" s="134"/>
      <c r="L645" s="136"/>
      <c r="M645" s="137"/>
      <c r="N645" s="138"/>
    </row>
    <row r="646" spans="2:14" x14ac:dyDescent="0.25">
      <c r="B646" s="144"/>
      <c r="C646" s="139"/>
      <c r="D646" s="140"/>
      <c r="E646" s="140"/>
      <c r="F646" s="141"/>
      <c r="G646" s="142"/>
      <c r="H646" s="125"/>
      <c r="I646" s="125"/>
      <c r="J646" s="125"/>
      <c r="K646" s="125"/>
      <c r="L646" s="127"/>
      <c r="M646" s="143"/>
      <c r="N646" s="129"/>
    </row>
    <row r="647" spans="2:14" x14ac:dyDescent="0.25">
      <c r="B647" s="130"/>
      <c r="C647" s="131"/>
      <c r="D647" s="132"/>
      <c r="E647" s="132"/>
      <c r="F647" s="133"/>
      <c r="G647" s="134"/>
      <c r="H647" s="134"/>
      <c r="I647" s="134"/>
      <c r="J647" s="134"/>
      <c r="K647" s="134"/>
      <c r="L647" s="136"/>
      <c r="M647" s="137"/>
      <c r="N647" s="138"/>
    </row>
    <row r="648" spans="2:14" x14ac:dyDescent="0.25">
      <c r="B648" s="144"/>
      <c r="C648" s="139"/>
      <c r="D648" s="140"/>
      <c r="E648" s="140"/>
      <c r="F648" s="141"/>
      <c r="G648" s="142"/>
      <c r="H648" s="125"/>
      <c r="I648" s="125"/>
      <c r="J648" s="125"/>
      <c r="K648" s="125"/>
      <c r="L648" s="127"/>
      <c r="M648" s="143"/>
      <c r="N648" s="129"/>
    </row>
    <row r="649" spans="2:14" x14ac:dyDescent="0.25">
      <c r="B649" s="130"/>
      <c r="C649" s="131"/>
      <c r="D649" s="132"/>
      <c r="E649" s="132"/>
      <c r="F649" s="133"/>
      <c r="G649" s="134"/>
      <c r="H649" s="134"/>
      <c r="I649" s="134"/>
      <c r="J649" s="134"/>
      <c r="K649" s="134"/>
      <c r="L649" s="136"/>
      <c r="M649" s="137"/>
      <c r="N649" s="138"/>
    </row>
    <row r="650" spans="2:14" x14ac:dyDescent="0.25">
      <c r="B650" s="144"/>
      <c r="C650" s="139"/>
      <c r="D650" s="140"/>
      <c r="E650" s="140"/>
      <c r="F650" s="141"/>
      <c r="G650" s="142"/>
      <c r="H650" s="125"/>
      <c r="I650" s="125"/>
      <c r="J650" s="125"/>
      <c r="K650" s="125"/>
      <c r="L650" s="127"/>
      <c r="M650" s="143"/>
      <c r="N650" s="129"/>
    </row>
    <row r="651" spans="2:14" x14ac:dyDescent="0.25">
      <c r="B651" s="130"/>
      <c r="C651" s="131"/>
      <c r="D651" s="132"/>
      <c r="E651" s="132"/>
      <c r="F651" s="133"/>
      <c r="G651" s="134"/>
      <c r="H651" s="134"/>
      <c r="I651" s="134"/>
      <c r="J651" s="134"/>
      <c r="K651" s="134"/>
      <c r="L651" s="136"/>
      <c r="M651" s="137"/>
      <c r="N651" s="138"/>
    </row>
    <row r="652" spans="2:14" x14ac:dyDescent="0.25">
      <c r="B652" s="144"/>
      <c r="C652" s="139"/>
      <c r="D652" s="140"/>
      <c r="E652" s="140"/>
      <c r="F652" s="141"/>
      <c r="G652" s="142"/>
      <c r="H652" s="125"/>
      <c r="I652" s="125"/>
      <c r="J652" s="125"/>
      <c r="K652" s="125"/>
      <c r="L652" s="127"/>
      <c r="M652" s="143"/>
      <c r="N652" s="129"/>
    </row>
    <row r="653" spans="2:14" x14ac:dyDescent="0.25">
      <c r="B653" s="130"/>
      <c r="C653" s="131"/>
      <c r="D653" s="132"/>
      <c r="E653" s="132"/>
      <c r="F653" s="133"/>
      <c r="G653" s="134"/>
      <c r="H653" s="134"/>
      <c r="I653" s="134"/>
      <c r="J653" s="134"/>
      <c r="K653" s="134"/>
      <c r="L653" s="136"/>
      <c r="M653" s="137"/>
      <c r="N653" s="138"/>
    </row>
    <row r="654" spans="2:14" x14ac:dyDescent="0.25">
      <c r="B654" s="144"/>
      <c r="C654" s="139"/>
      <c r="D654" s="140"/>
      <c r="E654" s="140"/>
      <c r="F654" s="141"/>
      <c r="G654" s="142"/>
      <c r="H654" s="125"/>
      <c r="I654" s="125"/>
      <c r="J654" s="125"/>
      <c r="K654" s="125"/>
      <c r="L654" s="127"/>
      <c r="M654" s="143"/>
      <c r="N654" s="129"/>
    </row>
    <row r="655" spans="2:14" x14ac:dyDescent="0.25">
      <c r="B655" s="130"/>
      <c r="C655" s="131"/>
      <c r="D655" s="132"/>
      <c r="E655" s="132"/>
      <c r="F655" s="133"/>
      <c r="G655" s="134"/>
      <c r="H655" s="134"/>
      <c r="I655" s="134"/>
      <c r="J655" s="134"/>
      <c r="K655" s="134"/>
      <c r="L655" s="136"/>
      <c r="M655" s="137"/>
      <c r="N655" s="138"/>
    </row>
    <row r="656" spans="2:14" x14ac:dyDescent="0.25">
      <c r="B656" s="144"/>
      <c r="C656" s="139"/>
      <c r="D656" s="140"/>
      <c r="E656" s="140"/>
      <c r="F656" s="141"/>
      <c r="G656" s="142"/>
      <c r="H656" s="125"/>
      <c r="I656" s="125"/>
      <c r="J656" s="125"/>
      <c r="K656" s="125"/>
      <c r="L656" s="127"/>
      <c r="M656" s="143"/>
      <c r="N656" s="129"/>
    </row>
    <row r="657" spans="2:14" x14ac:dyDescent="0.25">
      <c r="B657" s="130"/>
      <c r="C657" s="131"/>
      <c r="D657" s="132"/>
      <c r="E657" s="132"/>
      <c r="F657" s="133"/>
      <c r="G657" s="134"/>
      <c r="H657" s="134"/>
      <c r="I657" s="134"/>
      <c r="J657" s="134"/>
      <c r="K657" s="134"/>
      <c r="L657" s="136"/>
      <c r="M657" s="137"/>
      <c r="N657" s="138"/>
    </row>
    <row r="658" spans="2:14" x14ac:dyDescent="0.25">
      <c r="B658" s="144"/>
      <c r="C658" s="139"/>
      <c r="D658" s="140"/>
      <c r="E658" s="140"/>
      <c r="F658" s="141"/>
      <c r="G658" s="142"/>
      <c r="H658" s="125"/>
      <c r="I658" s="125"/>
      <c r="J658" s="125"/>
      <c r="K658" s="125"/>
      <c r="L658" s="127"/>
      <c r="M658" s="143"/>
      <c r="N658" s="129"/>
    </row>
    <row r="659" spans="2:14" x14ac:dyDescent="0.25">
      <c r="B659" s="130"/>
      <c r="C659" s="131"/>
      <c r="D659" s="132"/>
      <c r="E659" s="132"/>
      <c r="F659" s="133"/>
      <c r="G659" s="134"/>
      <c r="H659" s="134"/>
      <c r="I659" s="134"/>
      <c r="J659" s="134"/>
      <c r="K659" s="134"/>
      <c r="L659" s="136"/>
      <c r="M659" s="137"/>
      <c r="N659" s="138"/>
    </row>
    <row r="660" spans="2:14" x14ac:dyDescent="0.25">
      <c r="B660" s="144"/>
      <c r="C660" s="139"/>
      <c r="D660" s="140"/>
      <c r="E660" s="140"/>
      <c r="F660" s="141"/>
      <c r="G660" s="142"/>
      <c r="H660" s="125"/>
      <c r="I660" s="125"/>
      <c r="J660" s="125"/>
      <c r="K660" s="125"/>
      <c r="L660" s="127"/>
      <c r="M660" s="143"/>
      <c r="N660" s="129"/>
    </row>
    <row r="661" spans="2:14" x14ac:dyDescent="0.25">
      <c r="B661" s="130"/>
      <c r="C661" s="131"/>
      <c r="D661" s="132"/>
      <c r="E661" s="132"/>
      <c r="F661" s="133"/>
      <c r="G661" s="134"/>
      <c r="H661" s="134"/>
      <c r="I661" s="134"/>
      <c r="J661" s="134"/>
      <c r="K661" s="134"/>
      <c r="L661" s="136"/>
      <c r="M661" s="137"/>
      <c r="N661" s="138"/>
    </row>
    <row r="662" spans="2:14" x14ac:dyDescent="0.25">
      <c r="B662" s="144"/>
      <c r="C662" s="139"/>
      <c r="D662" s="140"/>
      <c r="E662" s="140"/>
      <c r="F662" s="141"/>
      <c r="G662" s="142"/>
      <c r="H662" s="125"/>
      <c r="I662" s="125"/>
      <c r="J662" s="125"/>
      <c r="K662" s="125"/>
      <c r="L662" s="127"/>
      <c r="M662" s="143"/>
      <c r="N662" s="129"/>
    </row>
    <row r="663" spans="2:14" x14ac:dyDescent="0.25">
      <c r="B663" s="130"/>
      <c r="C663" s="131"/>
      <c r="D663" s="132"/>
      <c r="E663" s="132"/>
      <c r="F663" s="133"/>
      <c r="G663" s="134"/>
      <c r="H663" s="134"/>
      <c r="I663" s="134"/>
      <c r="J663" s="134"/>
      <c r="K663" s="134"/>
      <c r="L663" s="136"/>
      <c r="M663" s="137"/>
      <c r="N663" s="138"/>
    </row>
    <row r="664" spans="2:14" x14ac:dyDescent="0.25">
      <c r="B664" s="144"/>
      <c r="C664" s="139"/>
      <c r="D664" s="140"/>
      <c r="E664" s="140"/>
      <c r="F664" s="141"/>
      <c r="G664" s="142"/>
      <c r="H664" s="125"/>
      <c r="I664" s="125"/>
      <c r="J664" s="125"/>
      <c r="K664" s="125"/>
      <c r="L664" s="127"/>
      <c r="M664" s="143"/>
      <c r="N664" s="129"/>
    </row>
    <row r="665" spans="2:14" x14ac:dyDescent="0.25">
      <c r="B665" s="130"/>
      <c r="C665" s="131"/>
      <c r="D665" s="132"/>
      <c r="E665" s="132"/>
      <c r="F665" s="133"/>
      <c r="G665" s="134"/>
      <c r="H665" s="134"/>
      <c r="I665" s="134"/>
      <c r="J665" s="134"/>
      <c r="K665" s="134"/>
      <c r="L665" s="136"/>
      <c r="M665" s="137"/>
      <c r="N665" s="138"/>
    </row>
    <row r="666" spans="2:14" x14ac:dyDescent="0.25">
      <c r="B666" s="144"/>
      <c r="C666" s="139"/>
      <c r="D666" s="140"/>
      <c r="E666" s="140"/>
      <c r="F666" s="141"/>
      <c r="G666" s="142"/>
      <c r="H666" s="125"/>
      <c r="I666" s="125"/>
      <c r="J666" s="125"/>
      <c r="K666" s="125"/>
      <c r="L666" s="127"/>
      <c r="M666" s="143"/>
      <c r="N666" s="129"/>
    </row>
    <row r="667" spans="2:14" x14ac:dyDescent="0.25">
      <c r="B667" s="130"/>
      <c r="C667" s="131"/>
      <c r="D667" s="132"/>
      <c r="E667" s="132"/>
      <c r="F667" s="133"/>
      <c r="G667" s="134"/>
      <c r="H667" s="134"/>
      <c r="I667" s="134"/>
      <c r="J667" s="134"/>
      <c r="K667" s="134"/>
      <c r="L667" s="136"/>
      <c r="M667" s="137"/>
      <c r="N667" s="138"/>
    </row>
    <row r="668" spans="2:14" x14ac:dyDescent="0.25">
      <c r="B668" s="144"/>
      <c r="C668" s="139"/>
      <c r="D668" s="140"/>
      <c r="E668" s="140"/>
      <c r="F668" s="141"/>
      <c r="G668" s="142"/>
      <c r="H668" s="125"/>
      <c r="I668" s="125"/>
      <c r="J668" s="125"/>
      <c r="K668" s="125"/>
      <c r="L668" s="127"/>
      <c r="M668" s="143"/>
      <c r="N668" s="129"/>
    </row>
    <row r="669" spans="2:14" x14ac:dyDescent="0.25">
      <c r="B669" s="130"/>
      <c r="C669" s="131"/>
      <c r="D669" s="132"/>
      <c r="E669" s="132"/>
      <c r="F669" s="133"/>
      <c r="G669" s="134"/>
      <c r="H669" s="134"/>
      <c r="I669" s="134"/>
      <c r="J669" s="134"/>
      <c r="K669" s="134"/>
      <c r="L669" s="136"/>
      <c r="M669" s="137"/>
      <c r="N669" s="138"/>
    </row>
    <row r="670" spans="2:14" x14ac:dyDescent="0.25">
      <c r="B670" s="144"/>
      <c r="C670" s="139"/>
      <c r="D670" s="140"/>
      <c r="E670" s="140"/>
      <c r="F670" s="141"/>
      <c r="G670" s="142"/>
      <c r="H670" s="125"/>
      <c r="I670" s="125"/>
      <c r="J670" s="125"/>
      <c r="K670" s="125"/>
      <c r="L670" s="127"/>
      <c r="M670" s="143"/>
      <c r="N670" s="129"/>
    </row>
    <row r="671" spans="2:14" x14ac:dyDescent="0.25">
      <c r="B671" s="130"/>
      <c r="C671" s="131"/>
      <c r="D671" s="132"/>
      <c r="E671" s="132"/>
      <c r="F671" s="133"/>
      <c r="G671" s="134"/>
      <c r="H671" s="134"/>
      <c r="I671" s="134"/>
      <c r="J671" s="134"/>
      <c r="K671" s="134"/>
      <c r="L671" s="136"/>
      <c r="M671" s="137"/>
      <c r="N671" s="138"/>
    </row>
    <row r="672" spans="2:14" x14ac:dyDescent="0.25">
      <c r="B672" s="144"/>
      <c r="C672" s="139"/>
      <c r="D672" s="140"/>
      <c r="E672" s="140"/>
      <c r="F672" s="141"/>
      <c r="G672" s="142"/>
      <c r="H672" s="125"/>
      <c r="I672" s="125"/>
      <c r="J672" s="125"/>
      <c r="K672" s="125"/>
      <c r="L672" s="127"/>
      <c r="M672" s="143"/>
      <c r="N672" s="129"/>
    </row>
    <row r="673" spans="2:14" x14ac:dyDescent="0.25">
      <c r="B673" s="130"/>
      <c r="C673" s="131"/>
      <c r="D673" s="132"/>
      <c r="E673" s="132"/>
      <c r="F673" s="133"/>
      <c r="G673" s="134"/>
      <c r="H673" s="134"/>
      <c r="I673" s="134"/>
      <c r="J673" s="134"/>
      <c r="K673" s="134"/>
      <c r="L673" s="136"/>
      <c r="M673" s="137"/>
      <c r="N673" s="138"/>
    </row>
    <row r="674" spans="2:14" x14ac:dyDescent="0.25">
      <c r="B674" s="144"/>
      <c r="C674" s="139"/>
      <c r="D674" s="140"/>
      <c r="E674" s="140"/>
      <c r="F674" s="141"/>
      <c r="G674" s="142"/>
      <c r="H674" s="125"/>
      <c r="I674" s="125"/>
      <c r="J674" s="125"/>
      <c r="K674" s="125"/>
      <c r="L674" s="127"/>
      <c r="M674" s="143"/>
      <c r="N674" s="129"/>
    </row>
    <row r="675" spans="2:14" x14ac:dyDescent="0.25">
      <c r="B675" s="130"/>
      <c r="C675" s="131"/>
      <c r="D675" s="132"/>
      <c r="E675" s="132"/>
      <c r="F675" s="133"/>
      <c r="G675" s="134"/>
      <c r="H675" s="134"/>
      <c r="I675" s="134"/>
      <c r="J675" s="134"/>
      <c r="K675" s="134"/>
      <c r="L675" s="136"/>
      <c r="M675" s="137"/>
      <c r="N675" s="138"/>
    </row>
    <row r="676" spans="2:14" x14ac:dyDescent="0.25">
      <c r="B676" s="144"/>
      <c r="C676" s="139"/>
      <c r="D676" s="140"/>
      <c r="E676" s="140"/>
      <c r="F676" s="141"/>
      <c r="G676" s="142"/>
      <c r="H676" s="125"/>
      <c r="I676" s="125"/>
      <c r="J676" s="125"/>
      <c r="K676" s="125"/>
      <c r="L676" s="127"/>
      <c r="M676" s="143"/>
      <c r="N676" s="129"/>
    </row>
    <row r="677" spans="2:14" x14ac:dyDescent="0.25">
      <c r="B677" s="130"/>
      <c r="C677" s="131"/>
      <c r="D677" s="132"/>
      <c r="E677" s="132"/>
      <c r="F677" s="133"/>
      <c r="G677" s="134"/>
      <c r="H677" s="134"/>
      <c r="I677" s="134"/>
      <c r="J677" s="134"/>
      <c r="K677" s="134"/>
      <c r="L677" s="136"/>
      <c r="M677" s="137"/>
      <c r="N677" s="138"/>
    </row>
    <row r="678" spans="2:14" x14ac:dyDescent="0.25">
      <c r="B678" s="144"/>
      <c r="C678" s="139"/>
      <c r="D678" s="140"/>
      <c r="E678" s="140"/>
      <c r="F678" s="141"/>
      <c r="G678" s="142"/>
      <c r="H678" s="125"/>
      <c r="I678" s="125"/>
      <c r="J678" s="125"/>
      <c r="K678" s="125"/>
      <c r="L678" s="127"/>
      <c r="M678" s="143"/>
      <c r="N678" s="129"/>
    </row>
    <row r="679" spans="2:14" x14ac:dyDescent="0.25">
      <c r="B679" s="130"/>
      <c r="C679" s="131"/>
      <c r="D679" s="132"/>
      <c r="E679" s="132"/>
      <c r="F679" s="133"/>
      <c r="G679" s="134"/>
      <c r="H679" s="134"/>
      <c r="I679" s="134"/>
      <c r="J679" s="134"/>
      <c r="K679" s="134"/>
      <c r="L679" s="136"/>
      <c r="M679" s="137"/>
      <c r="N679" s="138"/>
    </row>
    <row r="680" spans="2:14" x14ac:dyDescent="0.25">
      <c r="B680" s="144"/>
      <c r="C680" s="139"/>
      <c r="D680" s="140"/>
      <c r="E680" s="140"/>
      <c r="F680" s="141"/>
      <c r="G680" s="142"/>
      <c r="H680" s="125"/>
      <c r="I680" s="125"/>
      <c r="J680" s="125"/>
      <c r="K680" s="125"/>
      <c r="L680" s="127"/>
      <c r="M680" s="143"/>
      <c r="N680" s="129"/>
    </row>
    <row r="681" spans="2:14" x14ac:dyDescent="0.25">
      <c r="B681" s="130"/>
      <c r="C681" s="131"/>
      <c r="D681" s="132"/>
      <c r="E681" s="132"/>
      <c r="F681" s="133"/>
      <c r="G681" s="134"/>
      <c r="H681" s="134"/>
      <c r="I681" s="134"/>
      <c r="J681" s="134"/>
      <c r="K681" s="134"/>
      <c r="L681" s="136"/>
      <c r="M681" s="137"/>
      <c r="N681" s="138"/>
    </row>
    <row r="682" spans="2:14" x14ac:dyDescent="0.25">
      <c r="B682" s="144"/>
      <c r="C682" s="139"/>
      <c r="D682" s="140"/>
      <c r="E682" s="140"/>
      <c r="F682" s="141"/>
      <c r="G682" s="142"/>
      <c r="H682" s="125"/>
      <c r="I682" s="125"/>
      <c r="J682" s="125"/>
      <c r="K682" s="125"/>
      <c r="L682" s="127"/>
      <c r="M682" s="143"/>
      <c r="N682" s="129"/>
    </row>
    <row r="683" spans="2:14" x14ac:dyDescent="0.25">
      <c r="B683" s="130"/>
      <c r="C683" s="131"/>
      <c r="D683" s="132"/>
      <c r="E683" s="132"/>
      <c r="F683" s="133"/>
      <c r="G683" s="134"/>
      <c r="H683" s="134"/>
      <c r="I683" s="134"/>
      <c r="J683" s="134"/>
      <c r="K683" s="134"/>
      <c r="L683" s="136"/>
      <c r="M683" s="137"/>
      <c r="N683" s="138"/>
    </row>
    <row r="684" spans="2:14" x14ac:dyDescent="0.25">
      <c r="B684" s="144"/>
      <c r="C684" s="139"/>
      <c r="D684" s="140"/>
      <c r="E684" s="140"/>
      <c r="F684" s="141"/>
      <c r="G684" s="142"/>
      <c r="H684" s="125"/>
      <c r="I684" s="125"/>
      <c r="J684" s="125"/>
      <c r="K684" s="125"/>
      <c r="L684" s="127"/>
      <c r="M684" s="143"/>
      <c r="N684" s="129"/>
    </row>
    <row r="685" spans="2:14" x14ac:dyDescent="0.25">
      <c r="B685" s="130"/>
      <c r="C685" s="131"/>
      <c r="D685" s="132"/>
      <c r="E685" s="132"/>
      <c r="F685" s="133"/>
      <c r="G685" s="134"/>
      <c r="H685" s="134"/>
      <c r="I685" s="134"/>
      <c r="J685" s="134"/>
      <c r="K685" s="134"/>
      <c r="L685" s="136"/>
      <c r="M685" s="137"/>
      <c r="N685" s="138"/>
    </row>
    <row r="686" spans="2:14" x14ac:dyDescent="0.25">
      <c r="B686" s="144"/>
      <c r="C686" s="139"/>
      <c r="D686" s="140"/>
      <c r="E686" s="140"/>
      <c r="F686" s="141"/>
      <c r="G686" s="142"/>
      <c r="H686" s="125"/>
      <c r="I686" s="125"/>
      <c r="J686" s="125"/>
      <c r="K686" s="125"/>
      <c r="L686" s="127"/>
      <c r="M686" s="143"/>
      <c r="N686" s="129"/>
    </row>
    <row r="687" spans="2:14" x14ac:dyDescent="0.25">
      <c r="B687" s="130"/>
      <c r="C687" s="131"/>
      <c r="D687" s="132"/>
      <c r="E687" s="132"/>
      <c r="F687" s="133"/>
      <c r="G687" s="134"/>
      <c r="H687" s="134"/>
      <c r="I687" s="134"/>
      <c r="J687" s="134"/>
      <c r="K687" s="134"/>
      <c r="L687" s="136"/>
      <c r="M687" s="137"/>
      <c r="N687" s="138"/>
    </row>
    <row r="688" spans="2:14" x14ac:dyDescent="0.25">
      <c r="B688" s="144"/>
      <c r="C688" s="139"/>
      <c r="D688" s="140"/>
      <c r="E688" s="140"/>
      <c r="F688" s="141"/>
      <c r="G688" s="142"/>
      <c r="H688" s="125"/>
      <c r="I688" s="125"/>
      <c r="J688" s="125"/>
      <c r="K688" s="125"/>
      <c r="L688" s="127"/>
      <c r="M688" s="143"/>
      <c r="N688" s="129"/>
    </row>
    <row r="689" spans="2:14" x14ac:dyDescent="0.25">
      <c r="B689" s="130"/>
      <c r="C689" s="131"/>
      <c r="D689" s="132"/>
      <c r="E689" s="132"/>
      <c r="F689" s="133"/>
      <c r="G689" s="134"/>
      <c r="H689" s="134"/>
      <c r="I689" s="134"/>
      <c r="J689" s="134"/>
      <c r="K689" s="134"/>
      <c r="L689" s="136"/>
      <c r="M689" s="137"/>
      <c r="N689" s="138"/>
    </row>
    <row r="690" spans="2:14" x14ac:dyDescent="0.25">
      <c r="B690" s="144"/>
      <c r="C690" s="139"/>
      <c r="D690" s="140"/>
      <c r="E690" s="140"/>
      <c r="F690" s="141"/>
      <c r="G690" s="142"/>
      <c r="H690" s="125"/>
      <c r="I690" s="125"/>
      <c r="J690" s="125"/>
      <c r="K690" s="125"/>
      <c r="L690" s="127"/>
      <c r="M690" s="143"/>
      <c r="N690" s="129"/>
    </row>
    <row r="691" spans="2:14" x14ac:dyDescent="0.25">
      <c r="B691" s="130"/>
      <c r="C691" s="131"/>
      <c r="D691" s="132"/>
      <c r="E691" s="132"/>
      <c r="F691" s="133"/>
      <c r="G691" s="134"/>
      <c r="H691" s="134"/>
      <c r="I691" s="134"/>
      <c r="J691" s="134"/>
      <c r="K691" s="134"/>
      <c r="L691" s="136"/>
      <c r="M691" s="137"/>
      <c r="N691" s="138"/>
    </row>
    <row r="692" spans="2:14" x14ac:dyDescent="0.25">
      <c r="B692" s="144"/>
      <c r="C692" s="139"/>
      <c r="D692" s="140"/>
      <c r="E692" s="140"/>
      <c r="F692" s="141"/>
      <c r="G692" s="142"/>
      <c r="H692" s="125"/>
      <c r="I692" s="125"/>
      <c r="J692" s="125"/>
      <c r="K692" s="125"/>
      <c r="L692" s="127"/>
      <c r="M692" s="143"/>
      <c r="N692" s="129"/>
    </row>
    <row r="693" spans="2:14" x14ac:dyDescent="0.25">
      <c r="B693" s="130"/>
      <c r="C693" s="131"/>
      <c r="D693" s="132"/>
      <c r="E693" s="132"/>
      <c r="F693" s="133"/>
      <c r="G693" s="134"/>
      <c r="H693" s="134"/>
      <c r="I693" s="134"/>
      <c r="J693" s="134"/>
      <c r="K693" s="134"/>
      <c r="L693" s="136"/>
      <c r="M693" s="137"/>
      <c r="N693" s="138"/>
    </row>
    <row r="694" spans="2:14" x14ac:dyDescent="0.25">
      <c r="B694" s="144"/>
      <c r="C694" s="139"/>
      <c r="D694" s="140"/>
      <c r="E694" s="140"/>
      <c r="F694" s="141"/>
      <c r="G694" s="142"/>
      <c r="H694" s="125"/>
      <c r="I694" s="125"/>
      <c r="J694" s="125"/>
      <c r="K694" s="125"/>
      <c r="L694" s="127"/>
      <c r="M694" s="143"/>
      <c r="N694" s="129"/>
    </row>
    <row r="695" spans="2:14" x14ac:dyDescent="0.25">
      <c r="B695" s="130"/>
      <c r="C695" s="131"/>
      <c r="D695" s="132"/>
      <c r="E695" s="132"/>
      <c r="F695" s="133"/>
      <c r="G695" s="134"/>
      <c r="H695" s="134"/>
      <c r="I695" s="134"/>
      <c r="J695" s="134"/>
      <c r="K695" s="134"/>
      <c r="L695" s="136"/>
      <c r="M695" s="137"/>
      <c r="N695" s="138"/>
    </row>
    <row r="696" spans="2:14" x14ac:dyDescent="0.25">
      <c r="B696" s="144"/>
      <c r="C696" s="139"/>
      <c r="D696" s="140"/>
      <c r="E696" s="140"/>
      <c r="F696" s="141"/>
      <c r="G696" s="142"/>
      <c r="H696" s="125"/>
      <c r="I696" s="125"/>
      <c r="J696" s="125"/>
      <c r="K696" s="125"/>
      <c r="L696" s="127"/>
      <c r="M696" s="143"/>
      <c r="N696" s="129"/>
    </row>
    <row r="697" spans="2:14" x14ac:dyDescent="0.25">
      <c r="B697" s="130"/>
      <c r="C697" s="131"/>
      <c r="D697" s="132"/>
      <c r="E697" s="132"/>
      <c r="F697" s="133"/>
      <c r="G697" s="134"/>
      <c r="H697" s="134"/>
      <c r="I697" s="134"/>
      <c r="J697" s="134"/>
      <c r="K697" s="134"/>
      <c r="L697" s="136"/>
      <c r="M697" s="137"/>
      <c r="N697" s="138"/>
    </row>
    <row r="698" spans="2:14" x14ac:dyDescent="0.25">
      <c r="B698" s="144"/>
      <c r="C698" s="139"/>
      <c r="D698" s="140"/>
      <c r="E698" s="140"/>
      <c r="F698" s="141"/>
      <c r="G698" s="142"/>
      <c r="H698" s="125"/>
      <c r="I698" s="125"/>
      <c r="J698" s="125"/>
      <c r="K698" s="125"/>
      <c r="L698" s="127"/>
      <c r="M698" s="143"/>
      <c r="N698" s="129"/>
    </row>
    <row r="699" spans="2:14" x14ac:dyDescent="0.25">
      <c r="B699" s="130"/>
      <c r="C699" s="131"/>
      <c r="D699" s="132"/>
      <c r="E699" s="132"/>
      <c r="F699" s="133"/>
      <c r="G699" s="134"/>
      <c r="H699" s="134"/>
      <c r="I699" s="134"/>
      <c r="J699" s="134"/>
      <c r="K699" s="134"/>
      <c r="L699" s="136"/>
      <c r="M699" s="137"/>
      <c r="N699" s="138"/>
    </row>
    <row r="700" spans="2:14" x14ac:dyDescent="0.25">
      <c r="B700" s="144"/>
      <c r="C700" s="139"/>
      <c r="D700" s="140"/>
      <c r="E700" s="140"/>
      <c r="F700" s="141"/>
      <c r="G700" s="142"/>
      <c r="H700" s="125"/>
      <c r="I700" s="125"/>
      <c r="J700" s="125"/>
      <c r="K700" s="125"/>
      <c r="L700" s="127"/>
      <c r="M700" s="143"/>
      <c r="N700" s="129"/>
    </row>
    <row r="701" spans="2:14" x14ac:dyDescent="0.25">
      <c r="B701" s="130"/>
      <c r="C701" s="131"/>
      <c r="D701" s="132"/>
      <c r="E701" s="132"/>
      <c r="F701" s="133"/>
      <c r="G701" s="134"/>
      <c r="H701" s="134"/>
      <c r="I701" s="134"/>
      <c r="J701" s="134"/>
      <c r="K701" s="134"/>
      <c r="L701" s="136"/>
      <c r="M701" s="137"/>
      <c r="N701" s="138"/>
    </row>
    <row r="702" spans="2:14" x14ac:dyDescent="0.25">
      <c r="B702" s="144"/>
      <c r="C702" s="139"/>
      <c r="D702" s="140"/>
      <c r="E702" s="140"/>
      <c r="F702" s="141"/>
      <c r="G702" s="142"/>
      <c r="H702" s="125"/>
      <c r="I702" s="125"/>
      <c r="J702" s="125"/>
      <c r="K702" s="125"/>
      <c r="L702" s="127"/>
      <c r="M702" s="143"/>
      <c r="N702" s="129"/>
    </row>
    <row r="703" spans="2:14" x14ac:dyDescent="0.25">
      <c r="B703" s="130"/>
      <c r="C703" s="131"/>
      <c r="D703" s="132"/>
      <c r="E703" s="132"/>
      <c r="F703" s="133"/>
      <c r="G703" s="134"/>
      <c r="H703" s="134"/>
      <c r="I703" s="134"/>
      <c r="J703" s="134"/>
      <c r="K703" s="134"/>
      <c r="L703" s="136"/>
      <c r="M703" s="137"/>
      <c r="N703" s="138"/>
    </row>
    <row r="704" spans="2:14" x14ac:dyDescent="0.25">
      <c r="B704" s="144"/>
      <c r="C704" s="139"/>
      <c r="D704" s="140"/>
      <c r="E704" s="140"/>
      <c r="F704" s="141"/>
      <c r="G704" s="142"/>
      <c r="H704" s="125"/>
      <c r="I704" s="125"/>
      <c r="J704" s="125"/>
      <c r="K704" s="125"/>
      <c r="L704" s="127"/>
      <c r="M704" s="143"/>
      <c r="N704" s="129"/>
    </row>
    <row r="705" spans="2:14" x14ac:dyDescent="0.25">
      <c r="B705" s="130"/>
      <c r="C705" s="131"/>
      <c r="D705" s="132"/>
      <c r="E705" s="132"/>
      <c r="F705" s="133"/>
      <c r="G705" s="134"/>
      <c r="H705" s="134"/>
      <c r="I705" s="134"/>
      <c r="J705" s="134"/>
      <c r="K705" s="134"/>
      <c r="L705" s="136"/>
      <c r="M705" s="137"/>
      <c r="N705" s="138"/>
    </row>
    <row r="706" spans="2:14" x14ac:dyDescent="0.25">
      <c r="B706" s="144"/>
      <c r="C706" s="139"/>
      <c r="D706" s="140"/>
      <c r="E706" s="140"/>
      <c r="F706" s="141"/>
      <c r="G706" s="142"/>
      <c r="H706" s="125"/>
      <c r="I706" s="125"/>
      <c r="J706" s="125"/>
      <c r="K706" s="125"/>
      <c r="L706" s="127"/>
      <c r="M706" s="143"/>
      <c r="N706" s="129"/>
    </row>
    <row r="707" spans="2:14" x14ac:dyDescent="0.25">
      <c r="B707" s="130"/>
      <c r="C707" s="131"/>
      <c r="D707" s="132"/>
      <c r="E707" s="132"/>
      <c r="F707" s="133"/>
      <c r="G707" s="134"/>
      <c r="H707" s="134"/>
      <c r="I707" s="134"/>
      <c r="J707" s="134"/>
      <c r="K707" s="134"/>
      <c r="L707" s="136"/>
      <c r="M707" s="137"/>
      <c r="N707" s="138"/>
    </row>
    <row r="708" spans="2:14" x14ac:dyDescent="0.25">
      <c r="B708" s="144"/>
      <c r="C708" s="139"/>
      <c r="D708" s="140"/>
      <c r="E708" s="140"/>
      <c r="F708" s="141"/>
      <c r="G708" s="142"/>
      <c r="H708" s="125"/>
      <c r="I708" s="125"/>
      <c r="J708" s="125"/>
      <c r="K708" s="125"/>
      <c r="L708" s="127"/>
      <c r="M708" s="143"/>
      <c r="N708" s="129"/>
    </row>
    <row r="709" spans="2:14" x14ac:dyDescent="0.25">
      <c r="B709" s="130"/>
      <c r="C709" s="131"/>
      <c r="D709" s="132"/>
      <c r="E709" s="132"/>
      <c r="F709" s="133"/>
      <c r="G709" s="134"/>
      <c r="H709" s="134"/>
      <c r="I709" s="134"/>
      <c r="J709" s="134"/>
      <c r="K709" s="134"/>
      <c r="L709" s="136"/>
      <c r="M709" s="137"/>
      <c r="N709" s="138"/>
    </row>
    <row r="710" spans="2:14" x14ac:dyDescent="0.25">
      <c r="B710" s="144"/>
      <c r="C710" s="139"/>
      <c r="D710" s="140"/>
      <c r="E710" s="140"/>
      <c r="F710" s="141"/>
      <c r="G710" s="142"/>
      <c r="H710" s="125"/>
      <c r="I710" s="125"/>
      <c r="J710" s="125"/>
      <c r="K710" s="125"/>
      <c r="L710" s="127"/>
      <c r="M710" s="143"/>
      <c r="N710" s="129"/>
    </row>
    <row r="711" spans="2:14" x14ac:dyDescent="0.25">
      <c r="B711" s="130"/>
      <c r="C711" s="131"/>
      <c r="D711" s="132"/>
      <c r="E711" s="132"/>
      <c r="F711" s="133"/>
      <c r="G711" s="134"/>
      <c r="H711" s="134"/>
      <c r="I711" s="134"/>
      <c r="J711" s="134"/>
      <c r="K711" s="134"/>
      <c r="L711" s="136"/>
      <c r="M711" s="137"/>
      <c r="N711" s="138"/>
    </row>
    <row r="712" spans="2:14" x14ac:dyDescent="0.25">
      <c r="B712" s="144"/>
      <c r="C712" s="139"/>
      <c r="D712" s="140"/>
      <c r="E712" s="140"/>
      <c r="F712" s="141"/>
      <c r="G712" s="142"/>
      <c r="H712" s="125"/>
      <c r="I712" s="125"/>
      <c r="J712" s="125"/>
      <c r="K712" s="125"/>
      <c r="L712" s="127"/>
      <c r="M712" s="143"/>
      <c r="N712" s="129"/>
    </row>
    <row r="713" spans="2:14" x14ac:dyDescent="0.25">
      <c r="B713" s="130"/>
      <c r="C713" s="131"/>
      <c r="D713" s="132"/>
      <c r="E713" s="132"/>
      <c r="F713" s="133"/>
      <c r="G713" s="134"/>
      <c r="H713" s="134"/>
      <c r="I713" s="134"/>
      <c r="J713" s="134"/>
      <c r="K713" s="134"/>
      <c r="L713" s="136"/>
      <c r="M713" s="137"/>
      <c r="N713" s="138"/>
    </row>
    <row r="714" spans="2:14" x14ac:dyDescent="0.25">
      <c r="B714" s="144"/>
      <c r="C714" s="139"/>
      <c r="D714" s="140"/>
      <c r="E714" s="140"/>
      <c r="F714" s="141"/>
      <c r="G714" s="142"/>
      <c r="H714" s="125"/>
      <c r="I714" s="125"/>
      <c r="J714" s="125"/>
      <c r="K714" s="125"/>
      <c r="L714" s="127"/>
      <c r="M714" s="143"/>
      <c r="N714" s="129"/>
    </row>
    <row r="715" spans="2:14" x14ac:dyDescent="0.25">
      <c r="B715" s="130"/>
      <c r="C715" s="131"/>
      <c r="D715" s="132"/>
      <c r="E715" s="132"/>
      <c r="F715" s="133"/>
      <c r="G715" s="134"/>
      <c r="H715" s="134"/>
      <c r="I715" s="134"/>
      <c r="J715" s="134"/>
      <c r="K715" s="134"/>
      <c r="L715" s="136"/>
      <c r="M715" s="137"/>
      <c r="N715" s="138"/>
    </row>
    <row r="716" spans="2:14" x14ac:dyDescent="0.25">
      <c r="B716" s="144"/>
      <c r="C716" s="139"/>
      <c r="D716" s="140"/>
      <c r="E716" s="140"/>
      <c r="F716" s="141"/>
      <c r="G716" s="142"/>
      <c r="H716" s="125"/>
      <c r="I716" s="125"/>
      <c r="J716" s="125"/>
      <c r="K716" s="125"/>
      <c r="L716" s="127"/>
      <c r="M716" s="143"/>
      <c r="N716" s="129"/>
    </row>
    <row r="717" spans="2:14" x14ac:dyDescent="0.25">
      <c r="B717" s="130"/>
      <c r="C717" s="131"/>
      <c r="D717" s="132"/>
      <c r="E717" s="132"/>
      <c r="F717" s="133"/>
      <c r="G717" s="134"/>
      <c r="H717" s="134"/>
      <c r="I717" s="134"/>
      <c r="J717" s="134"/>
      <c r="K717" s="134"/>
      <c r="L717" s="136"/>
      <c r="M717" s="137"/>
      <c r="N717" s="138"/>
    </row>
    <row r="718" spans="2:14" x14ac:dyDescent="0.25">
      <c r="B718" s="144"/>
      <c r="C718" s="139"/>
      <c r="D718" s="140"/>
      <c r="E718" s="140"/>
      <c r="F718" s="141"/>
      <c r="G718" s="142"/>
      <c r="H718" s="125"/>
      <c r="I718" s="125"/>
      <c r="J718" s="125"/>
      <c r="K718" s="125"/>
      <c r="L718" s="127"/>
      <c r="M718" s="143"/>
      <c r="N718" s="129"/>
    </row>
    <row r="719" spans="2:14" x14ac:dyDescent="0.25">
      <c r="B719" s="130"/>
      <c r="C719" s="131"/>
      <c r="D719" s="132"/>
      <c r="E719" s="132"/>
      <c r="F719" s="133"/>
      <c r="G719" s="134"/>
      <c r="H719" s="134"/>
      <c r="I719" s="134"/>
      <c r="J719" s="134"/>
      <c r="K719" s="134"/>
      <c r="L719" s="136"/>
      <c r="M719" s="137"/>
      <c r="N719" s="138"/>
    </row>
    <row r="720" spans="2:14" x14ac:dyDescent="0.25">
      <c r="B720" s="144"/>
      <c r="C720" s="139"/>
      <c r="D720" s="140"/>
      <c r="E720" s="140"/>
      <c r="F720" s="141"/>
      <c r="G720" s="142"/>
      <c r="H720" s="125"/>
      <c r="I720" s="125"/>
      <c r="J720" s="125"/>
      <c r="K720" s="125"/>
      <c r="L720" s="127"/>
      <c r="M720" s="143"/>
      <c r="N720" s="129"/>
    </row>
    <row r="721" spans="2:14" x14ac:dyDescent="0.25">
      <c r="B721" s="130"/>
      <c r="C721" s="131"/>
      <c r="D721" s="132"/>
      <c r="E721" s="132"/>
      <c r="F721" s="133"/>
      <c r="G721" s="134"/>
      <c r="H721" s="134"/>
      <c r="I721" s="134"/>
      <c r="J721" s="134"/>
      <c r="K721" s="134"/>
      <c r="L721" s="136"/>
      <c r="M721" s="137"/>
      <c r="N721" s="138"/>
    </row>
    <row r="722" spans="2:14" x14ac:dyDescent="0.25">
      <c r="B722" s="144"/>
      <c r="C722" s="139"/>
      <c r="D722" s="140"/>
      <c r="E722" s="140"/>
      <c r="F722" s="141"/>
      <c r="G722" s="142"/>
      <c r="H722" s="125"/>
      <c r="I722" s="125"/>
      <c r="J722" s="125"/>
      <c r="K722" s="125"/>
      <c r="L722" s="127"/>
      <c r="M722" s="143"/>
      <c r="N722" s="129"/>
    </row>
    <row r="723" spans="2:14" x14ac:dyDescent="0.25">
      <c r="B723" s="130"/>
      <c r="C723" s="131"/>
      <c r="D723" s="132"/>
      <c r="E723" s="132"/>
      <c r="F723" s="133"/>
      <c r="G723" s="134"/>
      <c r="H723" s="134"/>
      <c r="I723" s="134"/>
      <c r="J723" s="134"/>
      <c r="K723" s="134"/>
      <c r="L723" s="136"/>
      <c r="M723" s="137"/>
      <c r="N723" s="138"/>
    </row>
    <row r="724" spans="2:14" x14ac:dyDescent="0.25">
      <c r="B724" s="144"/>
      <c r="C724" s="139"/>
      <c r="D724" s="140"/>
      <c r="E724" s="140"/>
      <c r="F724" s="141"/>
      <c r="G724" s="142"/>
      <c r="H724" s="125"/>
      <c r="I724" s="125"/>
      <c r="J724" s="125"/>
      <c r="K724" s="125"/>
      <c r="L724" s="127"/>
      <c r="M724" s="143"/>
      <c r="N724" s="129"/>
    </row>
    <row r="725" spans="2:14" x14ac:dyDescent="0.25">
      <c r="B725" s="130"/>
      <c r="C725" s="131"/>
      <c r="D725" s="132"/>
      <c r="E725" s="132"/>
      <c r="F725" s="133"/>
      <c r="G725" s="134"/>
      <c r="H725" s="134"/>
      <c r="I725" s="134"/>
      <c r="J725" s="134"/>
      <c r="K725" s="134"/>
      <c r="L725" s="136"/>
      <c r="M725" s="137"/>
      <c r="N725" s="138"/>
    </row>
    <row r="726" spans="2:14" x14ac:dyDescent="0.25">
      <c r="B726" s="144"/>
      <c r="C726" s="139"/>
      <c r="D726" s="140"/>
      <c r="E726" s="140"/>
      <c r="F726" s="141"/>
      <c r="G726" s="142"/>
      <c r="H726" s="125"/>
      <c r="I726" s="125"/>
      <c r="J726" s="125"/>
      <c r="K726" s="125"/>
      <c r="L726" s="127"/>
      <c r="M726" s="143"/>
      <c r="N726" s="129"/>
    </row>
    <row r="727" spans="2:14" x14ac:dyDescent="0.25">
      <c r="B727" s="130"/>
      <c r="C727" s="131"/>
      <c r="D727" s="132"/>
      <c r="E727" s="132"/>
      <c r="F727" s="133"/>
      <c r="G727" s="134"/>
      <c r="H727" s="134"/>
      <c r="I727" s="134"/>
      <c r="J727" s="134"/>
      <c r="K727" s="134"/>
      <c r="L727" s="136"/>
      <c r="M727" s="137"/>
      <c r="N727" s="138"/>
    </row>
    <row r="728" spans="2:14" x14ac:dyDescent="0.25">
      <c r="B728" s="144"/>
      <c r="C728" s="139"/>
      <c r="D728" s="140"/>
      <c r="E728" s="140"/>
      <c r="F728" s="141"/>
      <c r="G728" s="142"/>
      <c r="H728" s="125"/>
      <c r="I728" s="125"/>
      <c r="J728" s="125"/>
      <c r="K728" s="125"/>
      <c r="L728" s="127"/>
      <c r="M728" s="143"/>
      <c r="N728" s="129"/>
    </row>
    <row r="729" spans="2:14" x14ac:dyDescent="0.25">
      <c r="B729" s="130"/>
      <c r="C729" s="131"/>
      <c r="D729" s="132"/>
      <c r="E729" s="132"/>
      <c r="F729" s="133"/>
      <c r="G729" s="134"/>
      <c r="H729" s="134"/>
      <c r="I729" s="134"/>
      <c r="J729" s="134"/>
      <c r="K729" s="134"/>
      <c r="L729" s="136"/>
      <c r="M729" s="137"/>
      <c r="N729" s="138"/>
    </row>
    <row r="730" spans="2:14" x14ac:dyDescent="0.25">
      <c r="B730" s="144"/>
      <c r="C730" s="139"/>
      <c r="D730" s="140"/>
      <c r="E730" s="140"/>
      <c r="F730" s="141"/>
      <c r="G730" s="142"/>
      <c r="H730" s="125"/>
      <c r="I730" s="125"/>
      <c r="J730" s="125"/>
      <c r="K730" s="125"/>
      <c r="L730" s="127"/>
      <c r="M730" s="143"/>
      <c r="N730" s="129"/>
    </row>
    <row r="731" spans="2:14" x14ac:dyDescent="0.25">
      <c r="B731" s="130"/>
      <c r="C731" s="131"/>
      <c r="D731" s="132"/>
      <c r="E731" s="132"/>
      <c r="F731" s="133"/>
      <c r="G731" s="134"/>
      <c r="H731" s="134"/>
      <c r="I731" s="134"/>
      <c r="J731" s="134"/>
      <c r="K731" s="134"/>
      <c r="L731" s="136"/>
      <c r="M731" s="137"/>
      <c r="N731" s="138"/>
    </row>
    <row r="732" spans="2:14" x14ac:dyDescent="0.25">
      <c r="B732" s="144"/>
      <c r="C732" s="139"/>
      <c r="D732" s="140"/>
      <c r="E732" s="140"/>
      <c r="F732" s="141"/>
      <c r="G732" s="142"/>
      <c r="H732" s="125"/>
      <c r="I732" s="125"/>
      <c r="J732" s="125"/>
      <c r="K732" s="125"/>
      <c r="L732" s="127"/>
      <c r="M732" s="143"/>
      <c r="N732" s="129"/>
    </row>
    <row r="733" spans="2:14" x14ac:dyDescent="0.25">
      <c r="B733" s="130"/>
      <c r="C733" s="131"/>
      <c r="D733" s="132"/>
      <c r="E733" s="132"/>
      <c r="F733" s="133"/>
      <c r="G733" s="134"/>
      <c r="H733" s="134"/>
      <c r="I733" s="134"/>
      <c r="J733" s="134"/>
      <c r="K733" s="134"/>
      <c r="L733" s="136"/>
      <c r="M733" s="137"/>
      <c r="N733" s="138"/>
    </row>
    <row r="734" spans="2:14" x14ac:dyDescent="0.25">
      <c r="B734" s="144"/>
      <c r="C734" s="139"/>
      <c r="D734" s="140"/>
      <c r="E734" s="140"/>
      <c r="F734" s="141"/>
      <c r="G734" s="142"/>
      <c r="H734" s="125"/>
      <c r="I734" s="125"/>
      <c r="J734" s="125"/>
      <c r="K734" s="125"/>
      <c r="L734" s="127"/>
      <c r="M734" s="143"/>
      <c r="N734" s="129"/>
    </row>
    <row r="735" spans="2:14" x14ac:dyDescent="0.25">
      <c r="B735" s="130"/>
      <c r="C735" s="131"/>
      <c r="D735" s="132"/>
      <c r="E735" s="132"/>
      <c r="F735" s="133"/>
      <c r="G735" s="134"/>
      <c r="H735" s="134"/>
      <c r="I735" s="134"/>
      <c r="J735" s="134"/>
      <c r="K735" s="134"/>
      <c r="L735" s="136"/>
      <c r="M735" s="137"/>
      <c r="N735" s="138"/>
    </row>
    <row r="736" spans="2:14" x14ac:dyDescent="0.25">
      <c r="B736" s="144"/>
      <c r="C736" s="139"/>
      <c r="D736" s="140"/>
      <c r="E736" s="140"/>
      <c r="F736" s="141"/>
      <c r="G736" s="142"/>
      <c r="H736" s="125"/>
      <c r="I736" s="125"/>
      <c r="J736" s="125"/>
      <c r="K736" s="125"/>
      <c r="L736" s="127"/>
      <c r="M736" s="143"/>
      <c r="N736" s="129"/>
    </row>
    <row r="737" spans="2:14" x14ac:dyDescent="0.25">
      <c r="B737" s="130"/>
      <c r="C737" s="131"/>
      <c r="D737" s="132"/>
      <c r="E737" s="132"/>
      <c r="F737" s="133"/>
      <c r="G737" s="134"/>
      <c r="H737" s="134"/>
      <c r="I737" s="134"/>
      <c r="J737" s="134"/>
      <c r="K737" s="134"/>
      <c r="L737" s="136"/>
      <c r="M737" s="137"/>
      <c r="N737" s="138"/>
    </row>
    <row r="738" spans="2:14" x14ac:dyDescent="0.25">
      <c r="B738" s="144"/>
      <c r="C738" s="139"/>
      <c r="D738" s="140"/>
      <c r="E738" s="140"/>
      <c r="F738" s="141"/>
      <c r="G738" s="142"/>
      <c r="H738" s="125"/>
      <c r="I738" s="125"/>
      <c r="J738" s="125"/>
      <c r="K738" s="125"/>
      <c r="L738" s="127"/>
      <c r="M738" s="143"/>
      <c r="N738" s="129"/>
    </row>
    <row r="739" spans="2:14" x14ac:dyDescent="0.25">
      <c r="B739" s="130"/>
      <c r="C739" s="131"/>
      <c r="D739" s="132"/>
      <c r="E739" s="132"/>
      <c r="F739" s="133"/>
      <c r="G739" s="134"/>
      <c r="H739" s="134"/>
      <c r="I739" s="134"/>
      <c r="J739" s="134"/>
      <c r="K739" s="134"/>
      <c r="L739" s="136"/>
      <c r="M739" s="137"/>
      <c r="N739" s="138"/>
    </row>
    <row r="740" spans="2:14" x14ac:dyDescent="0.25">
      <c r="B740" s="144"/>
      <c r="C740" s="139"/>
      <c r="D740" s="140"/>
      <c r="E740" s="140"/>
      <c r="F740" s="141"/>
      <c r="G740" s="142"/>
      <c r="H740" s="125"/>
      <c r="I740" s="125"/>
      <c r="J740" s="125"/>
      <c r="K740" s="125"/>
      <c r="L740" s="127"/>
      <c r="M740" s="143"/>
      <c r="N740" s="129"/>
    </row>
    <row r="741" spans="2:14" x14ac:dyDescent="0.25">
      <c r="B741" s="130"/>
      <c r="C741" s="131"/>
      <c r="D741" s="132"/>
      <c r="E741" s="132"/>
      <c r="F741" s="133"/>
      <c r="G741" s="134"/>
      <c r="H741" s="134"/>
      <c r="I741" s="134"/>
      <c r="J741" s="134"/>
      <c r="K741" s="134"/>
      <c r="L741" s="136"/>
      <c r="M741" s="137"/>
      <c r="N741" s="138"/>
    </row>
    <row r="742" spans="2:14" x14ac:dyDescent="0.25">
      <c r="B742" s="144"/>
      <c r="C742" s="139"/>
      <c r="D742" s="140"/>
      <c r="E742" s="140"/>
      <c r="F742" s="141"/>
      <c r="G742" s="142"/>
      <c r="H742" s="125"/>
      <c r="I742" s="125"/>
      <c r="J742" s="125"/>
      <c r="K742" s="125"/>
      <c r="L742" s="127"/>
      <c r="M742" s="143"/>
      <c r="N742" s="129"/>
    </row>
    <row r="743" spans="2:14" x14ac:dyDescent="0.25">
      <c r="B743" s="130"/>
      <c r="C743" s="131"/>
      <c r="D743" s="132"/>
      <c r="E743" s="132"/>
      <c r="F743" s="133"/>
      <c r="G743" s="134"/>
      <c r="H743" s="134"/>
      <c r="I743" s="134"/>
      <c r="J743" s="134"/>
      <c r="K743" s="134"/>
      <c r="L743" s="136"/>
      <c r="M743" s="137"/>
      <c r="N743" s="138"/>
    </row>
    <row r="744" spans="2:14" x14ac:dyDescent="0.25">
      <c r="B744" s="144"/>
      <c r="C744" s="139"/>
      <c r="D744" s="140"/>
      <c r="E744" s="140"/>
      <c r="F744" s="141"/>
      <c r="G744" s="142"/>
      <c r="H744" s="125"/>
      <c r="I744" s="125"/>
      <c r="J744" s="125"/>
      <c r="K744" s="125"/>
      <c r="L744" s="127"/>
      <c r="M744" s="143"/>
      <c r="N744" s="129"/>
    </row>
    <row r="745" spans="2:14" x14ac:dyDescent="0.25">
      <c r="B745" s="130"/>
      <c r="C745" s="131"/>
      <c r="D745" s="132"/>
      <c r="E745" s="132"/>
      <c r="F745" s="133"/>
      <c r="G745" s="134"/>
      <c r="H745" s="134"/>
      <c r="I745" s="134"/>
      <c r="J745" s="134"/>
      <c r="K745" s="134"/>
      <c r="L745" s="136"/>
      <c r="M745" s="137"/>
      <c r="N745" s="138"/>
    </row>
    <row r="746" spans="2:14" x14ac:dyDescent="0.25">
      <c r="B746" s="144"/>
      <c r="C746" s="139"/>
      <c r="D746" s="140"/>
      <c r="E746" s="140"/>
      <c r="F746" s="141"/>
      <c r="G746" s="142"/>
      <c r="H746" s="125"/>
      <c r="I746" s="125"/>
      <c r="J746" s="125"/>
      <c r="K746" s="125"/>
      <c r="L746" s="127"/>
      <c r="M746" s="143"/>
      <c r="N746" s="129"/>
    </row>
    <row r="747" spans="2:14" x14ac:dyDescent="0.25">
      <c r="B747" s="130"/>
      <c r="C747" s="131"/>
      <c r="D747" s="132"/>
      <c r="E747" s="132"/>
      <c r="F747" s="133"/>
      <c r="G747" s="134"/>
      <c r="H747" s="134"/>
      <c r="I747" s="134"/>
      <c r="J747" s="134"/>
      <c r="K747" s="134"/>
      <c r="L747" s="136"/>
      <c r="M747" s="137"/>
      <c r="N747" s="138"/>
    </row>
    <row r="748" spans="2:14" x14ac:dyDescent="0.25">
      <c r="B748" s="144"/>
      <c r="C748" s="139"/>
      <c r="D748" s="140"/>
      <c r="E748" s="140"/>
      <c r="F748" s="141"/>
      <c r="G748" s="142"/>
      <c r="H748" s="125"/>
      <c r="I748" s="125"/>
      <c r="J748" s="125"/>
      <c r="K748" s="125"/>
      <c r="L748" s="127"/>
      <c r="M748" s="143"/>
      <c r="N748" s="129"/>
    </row>
    <row r="749" spans="2:14" x14ac:dyDescent="0.25">
      <c r="B749" s="130"/>
      <c r="C749" s="131"/>
      <c r="D749" s="132"/>
      <c r="E749" s="132"/>
      <c r="F749" s="133"/>
      <c r="G749" s="134"/>
      <c r="H749" s="134"/>
      <c r="I749" s="134"/>
      <c r="J749" s="134"/>
      <c r="K749" s="134"/>
      <c r="L749" s="136"/>
      <c r="M749" s="137"/>
      <c r="N749" s="138"/>
    </row>
    <row r="750" spans="2:14" x14ac:dyDescent="0.25">
      <c r="B750" s="144"/>
      <c r="C750" s="139"/>
      <c r="D750" s="140"/>
      <c r="E750" s="140"/>
      <c r="F750" s="141"/>
      <c r="G750" s="142"/>
      <c r="H750" s="125"/>
      <c r="I750" s="125"/>
      <c r="J750" s="125"/>
      <c r="K750" s="125"/>
      <c r="L750" s="127"/>
      <c r="M750" s="143"/>
      <c r="N750" s="129"/>
    </row>
    <row r="751" spans="2:14" x14ac:dyDescent="0.25">
      <c r="B751" s="130"/>
      <c r="C751" s="131"/>
      <c r="D751" s="132"/>
      <c r="E751" s="132"/>
      <c r="F751" s="133"/>
      <c r="G751" s="134"/>
      <c r="H751" s="134"/>
      <c r="I751" s="134"/>
      <c r="J751" s="134"/>
      <c r="K751" s="134"/>
      <c r="L751" s="136"/>
      <c r="M751" s="137"/>
      <c r="N751" s="138"/>
    </row>
    <row r="752" spans="2:14" x14ac:dyDescent="0.25">
      <c r="B752" s="144"/>
      <c r="C752" s="139"/>
      <c r="D752" s="140"/>
      <c r="E752" s="140"/>
      <c r="F752" s="141"/>
      <c r="G752" s="142"/>
      <c r="H752" s="125"/>
      <c r="I752" s="125"/>
      <c r="J752" s="125"/>
      <c r="K752" s="125"/>
      <c r="L752" s="127"/>
      <c r="M752" s="143"/>
      <c r="N752" s="129"/>
    </row>
    <row r="753" spans="2:14" x14ac:dyDescent="0.25">
      <c r="B753" s="130"/>
      <c r="C753" s="131"/>
      <c r="D753" s="132"/>
      <c r="E753" s="132"/>
      <c r="F753" s="133"/>
      <c r="G753" s="134"/>
      <c r="H753" s="134"/>
      <c r="I753" s="134"/>
      <c r="J753" s="134"/>
      <c r="K753" s="134"/>
      <c r="L753" s="136"/>
      <c r="M753" s="137"/>
      <c r="N753" s="138"/>
    </row>
    <row r="754" spans="2:14" x14ac:dyDescent="0.25">
      <c r="B754" s="144"/>
      <c r="C754" s="139"/>
      <c r="D754" s="140"/>
      <c r="E754" s="140"/>
      <c r="F754" s="141"/>
      <c r="G754" s="142"/>
      <c r="H754" s="125"/>
      <c r="I754" s="125"/>
      <c r="J754" s="125"/>
      <c r="K754" s="125"/>
      <c r="L754" s="127"/>
      <c r="M754" s="143"/>
      <c r="N754" s="129"/>
    </row>
    <row r="755" spans="2:14" x14ac:dyDescent="0.25">
      <c r="B755" s="130"/>
      <c r="C755" s="131"/>
      <c r="D755" s="132"/>
      <c r="E755" s="132"/>
      <c r="F755" s="133"/>
      <c r="G755" s="134"/>
      <c r="H755" s="134"/>
      <c r="I755" s="134"/>
      <c r="J755" s="134"/>
      <c r="K755" s="134"/>
      <c r="L755" s="136"/>
      <c r="M755" s="137"/>
      <c r="N755" s="138"/>
    </row>
    <row r="756" spans="2:14" x14ac:dyDescent="0.25">
      <c r="B756" s="144"/>
      <c r="C756" s="139"/>
      <c r="D756" s="140"/>
      <c r="E756" s="140"/>
      <c r="F756" s="141"/>
      <c r="G756" s="142"/>
      <c r="H756" s="125"/>
      <c r="I756" s="125"/>
      <c r="J756" s="125"/>
      <c r="K756" s="125"/>
      <c r="L756" s="127"/>
      <c r="M756" s="143"/>
      <c r="N756" s="129"/>
    </row>
    <row r="757" spans="2:14" x14ac:dyDescent="0.25">
      <c r="B757" s="130"/>
      <c r="C757" s="131"/>
      <c r="D757" s="132"/>
      <c r="E757" s="132"/>
      <c r="F757" s="133"/>
      <c r="G757" s="134"/>
      <c r="H757" s="134"/>
      <c r="I757" s="134"/>
      <c r="J757" s="134"/>
      <c r="K757" s="134"/>
      <c r="L757" s="136"/>
      <c r="M757" s="137"/>
      <c r="N757" s="138"/>
    </row>
    <row r="758" spans="2:14" x14ac:dyDescent="0.25">
      <c r="B758" s="144"/>
      <c r="C758" s="139"/>
      <c r="D758" s="140"/>
      <c r="E758" s="140"/>
      <c r="F758" s="141"/>
      <c r="G758" s="142"/>
      <c r="H758" s="125"/>
      <c r="I758" s="125"/>
      <c r="J758" s="125"/>
      <c r="K758" s="125"/>
      <c r="L758" s="127"/>
      <c r="M758" s="143"/>
      <c r="N758" s="129"/>
    </row>
    <row r="759" spans="2:14" x14ac:dyDescent="0.25">
      <c r="B759" s="130"/>
      <c r="C759" s="131"/>
      <c r="D759" s="132"/>
      <c r="E759" s="132"/>
      <c r="F759" s="133"/>
      <c r="G759" s="134"/>
      <c r="H759" s="134"/>
      <c r="I759" s="134"/>
      <c r="J759" s="134"/>
      <c r="K759" s="134"/>
      <c r="L759" s="136"/>
      <c r="M759" s="137"/>
      <c r="N759" s="138"/>
    </row>
    <row r="760" spans="2:14" x14ac:dyDescent="0.25">
      <c r="B760" s="144"/>
      <c r="C760" s="139"/>
      <c r="D760" s="140"/>
      <c r="E760" s="140"/>
      <c r="F760" s="141"/>
      <c r="G760" s="142"/>
      <c r="H760" s="125"/>
      <c r="I760" s="125"/>
      <c r="J760" s="125"/>
      <c r="K760" s="125"/>
      <c r="L760" s="127"/>
      <c r="M760" s="143"/>
      <c r="N760" s="129"/>
    </row>
    <row r="761" spans="2:14" x14ac:dyDescent="0.25">
      <c r="B761" s="130"/>
      <c r="C761" s="131"/>
      <c r="D761" s="132"/>
      <c r="E761" s="132"/>
      <c r="F761" s="133"/>
      <c r="G761" s="134"/>
      <c r="H761" s="134"/>
      <c r="I761" s="134"/>
      <c r="J761" s="134"/>
      <c r="K761" s="134"/>
      <c r="L761" s="136"/>
      <c r="M761" s="137"/>
      <c r="N761" s="138"/>
    </row>
    <row r="762" spans="2:14" x14ac:dyDescent="0.25">
      <c r="B762" s="144"/>
      <c r="C762" s="139"/>
      <c r="D762" s="140"/>
      <c r="E762" s="140"/>
      <c r="F762" s="141"/>
      <c r="G762" s="142"/>
      <c r="H762" s="125"/>
      <c r="I762" s="125"/>
      <c r="J762" s="125"/>
      <c r="K762" s="125"/>
      <c r="L762" s="127"/>
      <c r="M762" s="143"/>
      <c r="N762" s="129"/>
    </row>
    <row r="763" spans="2:14" x14ac:dyDescent="0.25">
      <c r="B763" s="130"/>
      <c r="C763" s="131"/>
      <c r="D763" s="132"/>
      <c r="E763" s="132"/>
      <c r="F763" s="133"/>
      <c r="G763" s="134"/>
      <c r="H763" s="134"/>
      <c r="I763" s="134"/>
      <c r="J763" s="134"/>
      <c r="K763" s="134"/>
      <c r="L763" s="136"/>
      <c r="M763" s="137"/>
      <c r="N763" s="138"/>
    </row>
    <row r="764" spans="2:14" x14ac:dyDescent="0.25">
      <c r="B764" s="144"/>
      <c r="C764" s="139"/>
      <c r="D764" s="140"/>
      <c r="E764" s="140"/>
      <c r="F764" s="141"/>
      <c r="G764" s="142"/>
      <c r="H764" s="125"/>
      <c r="I764" s="125"/>
      <c r="J764" s="125"/>
      <c r="K764" s="125"/>
      <c r="L764" s="127"/>
      <c r="M764" s="143"/>
      <c r="N764" s="129"/>
    </row>
    <row r="765" spans="2:14" x14ac:dyDescent="0.25">
      <c r="B765" s="130"/>
      <c r="C765" s="131"/>
      <c r="D765" s="132"/>
      <c r="E765" s="132"/>
      <c r="F765" s="133"/>
      <c r="G765" s="134"/>
      <c r="H765" s="134"/>
      <c r="I765" s="134"/>
      <c r="J765" s="134"/>
      <c r="K765" s="134"/>
      <c r="L765" s="136"/>
      <c r="M765" s="137"/>
      <c r="N765" s="138"/>
    </row>
    <row r="766" spans="2:14" x14ac:dyDescent="0.25">
      <c r="B766" s="144"/>
      <c r="C766" s="139"/>
      <c r="D766" s="140"/>
      <c r="E766" s="140"/>
      <c r="F766" s="141"/>
      <c r="G766" s="142"/>
      <c r="H766" s="125"/>
      <c r="I766" s="125"/>
      <c r="J766" s="125"/>
      <c r="K766" s="125"/>
      <c r="L766" s="127"/>
      <c r="M766" s="143"/>
      <c r="N766" s="129"/>
    </row>
    <row r="767" spans="2:14" x14ac:dyDescent="0.25">
      <c r="B767" s="130"/>
      <c r="C767" s="131"/>
      <c r="D767" s="132"/>
      <c r="E767" s="132"/>
      <c r="F767" s="133"/>
      <c r="G767" s="134"/>
      <c r="H767" s="134"/>
      <c r="I767" s="134"/>
      <c r="J767" s="134"/>
      <c r="K767" s="134"/>
      <c r="L767" s="136"/>
      <c r="M767" s="137"/>
      <c r="N767" s="138"/>
    </row>
    <row r="768" spans="2:14" x14ac:dyDescent="0.25">
      <c r="B768" s="144"/>
      <c r="C768" s="139"/>
      <c r="D768" s="140"/>
      <c r="E768" s="140"/>
      <c r="F768" s="141"/>
      <c r="G768" s="142"/>
      <c r="H768" s="125"/>
      <c r="I768" s="125"/>
      <c r="J768" s="125"/>
      <c r="K768" s="125"/>
      <c r="L768" s="127"/>
      <c r="M768" s="143"/>
      <c r="N768" s="129"/>
    </row>
    <row r="769" spans="2:14" x14ac:dyDescent="0.25">
      <c r="B769" s="130"/>
      <c r="C769" s="131"/>
      <c r="D769" s="132"/>
      <c r="E769" s="132"/>
      <c r="F769" s="133"/>
      <c r="G769" s="134"/>
      <c r="H769" s="134"/>
      <c r="I769" s="134"/>
      <c r="J769" s="134"/>
      <c r="K769" s="134"/>
      <c r="L769" s="136"/>
      <c r="M769" s="137"/>
      <c r="N769" s="138"/>
    </row>
    <row r="770" spans="2:14" x14ac:dyDescent="0.25">
      <c r="B770" s="144"/>
      <c r="C770" s="139"/>
      <c r="D770" s="140"/>
      <c r="E770" s="140"/>
      <c r="F770" s="141"/>
      <c r="G770" s="142"/>
      <c r="H770" s="125"/>
      <c r="I770" s="125"/>
      <c r="J770" s="125"/>
      <c r="K770" s="125"/>
      <c r="L770" s="127"/>
      <c r="M770" s="143"/>
      <c r="N770" s="129"/>
    </row>
    <row r="771" spans="2:14" x14ac:dyDescent="0.25">
      <c r="B771" s="130"/>
      <c r="C771" s="131"/>
      <c r="D771" s="132"/>
      <c r="E771" s="132"/>
      <c r="F771" s="133"/>
      <c r="G771" s="134"/>
      <c r="H771" s="134"/>
      <c r="I771" s="134"/>
      <c r="J771" s="134"/>
      <c r="K771" s="134"/>
      <c r="L771" s="136"/>
      <c r="M771" s="137"/>
      <c r="N771" s="138"/>
    </row>
    <row r="772" spans="2:14" x14ac:dyDescent="0.25">
      <c r="B772" s="144"/>
      <c r="C772" s="139"/>
      <c r="D772" s="140"/>
      <c r="E772" s="140"/>
      <c r="F772" s="141"/>
      <c r="G772" s="142"/>
      <c r="H772" s="125"/>
      <c r="I772" s="125"/>
      <c r="J772" s="125"/>
      <c r="K772" s="125"/>
      <c r="L772" s="127"/>
      <c r="M772" s="143"/>
      <c r="N772" s="129"/>
    </row>
    <row r="773" spans="2:14" x14ac:dyDescent="0.25">
      <c r="B773" s="130"/>
      <c r="C773" s="131"/>
      <c r="D773" s="132"/>
      <c r="E773" s="132"/>
      <c r="F773" s="133"/>
      <c r="G773" s="134"/>
      <c r="H773" s="134"/>
      <c r="I773" s="134"/>
      <c r="J773" s="134"/>
      <c r="K773" s="134"/>
      <c r="L773" s="136"/>
      <c r="M773" s="137"/>
      <c r="N773" s="138"/>
    </row>
    <row r="774" spans="2:14" x14ac:dyDescent="0.25">
      <c r="B774" s="144"/>
      <c r="C774" s="139"/>
      <c r="D774" s="140"/>
      <c r="E774" s="140"/>
      <c r="F774" s="141"/>
      <c r="G774" s="142"/>
      <c r="H774" s="125"/>
      <c r="I774" s="125"/>
      <c r="J774" s="125"/>
      <c r="K774" s="125"/>
      <c r="L774" s="127"/>
      <c r="M774" s="143"/>
      <c r="N774" s="129"/>
    </row>
    <row r="775" spans="2:14" x14ac:dyDescent="0.25">
      <c r="B775" s="130"/>
      <c r="C775" s="131"/>
      <c r="D775" s="132"/>
      <c r="E775" s="132"/>
      <c r="F775" s="133"/>
      <c r="G775" s="134"/>
      <c r="H775" s="134"/>
      <c r="I775" s="134"/>
      <c r="J775" s="134"/>
      <c r="K775" s="134"/>
      <c r="L775" s="136"/>
      <c r="M775" s="137"/>
      <c r="N775" s="138"/>
    </row>
    <row r="776" spans="2:14" x14ac:dyDescent="0.25">
      <c r="B776" s="144"/>
      <c r="C776" s="139"/>
      <c r="D776" s="140"/>
      <c r="E776" s="140"/>
      <c r="F776" s="141"/>
      <c r="G776" s="142"/>
      <c r="H776" s="125"/>
      <c r="I776" s="125"/>
      <c r="J776" s="125"/>
      <c r="K776" s="125"/>
      <c r="L776" s="127"/>
      <c r="M776" s="143"/>
      <c r="N776" s="129"/>
    </row>
    <row r="777" spans="2:14" x14ac:dyDescent="0.25">
      <c r="B777" s="130"/>
      <c r="C777" s="131"/>
      <c r="D777" s="132"/>
      <c r="E777" s="132"/>
      <c r="F777" s="133"/>
      <c r="G777" s="134"/>
      <c r="H777" s="134"/>
      <c r="I777" s="134"/>
      <c r="J777" s="134"/>
      <c r="K777" s="134"/>
      <c r="L777" s="136"/>
      <c r="M777" s="137"/>
      <c r="N777" s="138"/>
    </row>
    <row r="778" spans="2:14" x14ac:dyDescent="0.25">
      <c r="B778" s="144"/>
      <c r="C778" s="139"/>
      <c r="D778" s="140"/>
      <c r="E778" s="140"/>
      <c r="F778" s="141"/>
      <c r="G778" s="142"/>
      <c r="H778" s="125"/>
      <c r="I778" s="125"/>
      <c r="J778" s="125"/>
      <c r="K778" s="125"/>
      <c r="L778" s="127"/>
      <c r="M778" s="143"/>
      <c r="N778" s="129"/>
    </row>
    <row r="779" spans="2:14" x14ac:dyDescent="0.25">
      <c r="B779" s="130"/>
      <c r="C779" s="131"/>
      <c r="D779" s="132"/>
      <c r="E779" s="132"/>
      <c r="F779" s="133"/>
      <c r="G779" s="134"/>
      <c r="H779" s="134"/>
      <c r="I779" s="134"/>
      <c r="J779" s="134"/>
      <c r="K779" s="134"/>
      <c r="L779" s="136"/>
      <c r="M779" s="137"/>
      <c r="N779" s="138"/>
    </row>
    <row r="780" spans="2:14" x14ac:dyDescent="0.25">
      <c r="B780" s="144"/>
      <c r="C780" s="139"/>
      <c r="D780" s="140"/>
      <c r="E780" s="140"/>
      <c r="F780" s="141"/>
      <c r="G780" s="142"/>
      <c r="H780" s="125"/>
      <c r="I780" s="125"/>
      <c r="J780" s="125"/>
      <c r="K780" s="125"/>
      <c r="L780" s="127"/>
      <c r="M780" s="143"/>
      <c r="N780" s="129"/>
    </row>
    <row r="781" spans="2:14" x14ac:dyDescent="0.25">
      <c r="B781" s="130"/>
      <c r="C781" s="131"/>
      <c r="D781" s="132"/>
      <c r="E781" s="132"/>
      <c r="F781" s="133"/>
      <c r="G781" s="134"/>
      <c r="H781" s="134"/>
      <c r="I781" s="134"/>
      <c r="J781" s="134"/>
      <c r="K781" s="134"/>
      <c r="L781" s="136"/>
      <c r="M781" s="137"/>
      <c r="N781" s="138"/>
    </row>
    <row r="782" spans="2:14" x14ac:dyDescent="0.25">
      <c r="B782" s="144"/>
      <c r="C782" s="139"/>
      <c r="D782" s="140"/>
      <c r="E782" s="140"/>
      <c r="F782" s="141"/>
      <c r="G782" s="142"/>
      <c r="H782" s="125"/>
      <c r="I782" s="125"/>
      <c r="J782" s="125"/>
      <c r="K782" s="125"/>
      <c r="L782" s="127"/>
      <c r="M782" s="143"/>
      <c r="N782" s="129"/>
    </row>
    <row r="783" spans="2:14" x14ac:dyDescent="0.25">
      <c r="B783" s="130"/>
      <c r="C783" s="131"/>
      <c r="D783" s="132"/>
      <c r="E783" s="132"/>
      <c r="F783" s="133"/>
      <c r="G783" s="134"/>
      <c r="H783" s="134"/>
      <c r="I783" s="134"/>
      <c r="J783" s="134"/>
      <c r="K783" s="134"/>
      <c r="L783" s="136"/>
      <c r="M783" s="137"/>
      <c r="N783" s="138"/>
    </row>
    <row r="784" spans="2:14" x14ac:dyDescent="0.25">
      <c r="B784" s="144"/>
      <c r="C784" s="139"/>
      <c r="D784" s="140"/>
      <c r="E784" s="140"/>
      <c r="F784" s="141"/>
      <c r="G784" s="142"/>
      <c r="H784" s="125"/>
      <c r="I784" s="125"/>
      <c r="J784" s="125"/>
      <c r="K784" s="125"/>
      <c r="L784" s="127"/>
      <c r="M784" s="143"/>
      <c r="N784" s="129"/>
    </row>
    <row r="785" spans="2:14" x14ac:dyDescent="0.25">
      <c r="B785" s="130"/>
      <c r="C785" s="131"/>
      <c r="D785" s="132"/>
      <c r="E785" s="132"/>
      <c r="F785" s="133"/>
      <c r="G785" s="134"/>
      <c r="H785" s="134"/>
      <c r="I785" s="134"/>
      <c r="J785" s="134"/>
      <c r="K785" s="134"/>
      <c r="L785" s="136"/>
      <c r="M785" s="137"/>
      <c r="N785" s="138"/>
    </row>
    <row r="786" spans="2:14" x14ac:dyDescent="0.25">
      <c r="B786" s="144"/>
      <c r="C786" s="139"/>
      <c r="D786" s="140"/>
      <c r="E786" s="140"/>
      <c r="F786" s="141"/>
      <c r="G786" s="142"/>
      <c r="H786" s="125"/>
      <c r="I786" s="125"/>
      <c r="J786" s="125"/>
      <c r="K786" s="125"/>
      <c r="L786" s="127"/>
      <c r="M786" s="143"/>
      <c r="N786" s="129"/>
    </row>
    <row r="787" spans="2:14" x14ac:dyDescent="0.25">
      <c r="B787" s="130"/>
      <c r="C787" s="131"/>
      <c r="D787" s="132"/>
      <c r="E787" s="132"/>
      <c r="F787" s="133"/>
      <c r="G787" s="134"/>
      <c r="H787" s="134"/>
      <c r="I787" s="134"/>
      <c r="J787" s="134"/>
      <c r="K787" s="134"/>
      <c r="L787" s="136"/>
      <c r="M787" s="137"/>
      <c r="N787" s="138"/>
    </row>
    <row r="788" spans="2:14" x14ac:dyDescent="0.25">
      <c r="B788" s="144"/>
      <c r="C788" s="139"/>
      <c r="D788" s="140"/>
      <c r="E788" s="140"/>
      <c r="F788" s="141"/>
      <c r="G788" s="142"/>
      <c r="H788" s="125"/>
      <c r="I788" s="125"/>
      <c r="J788" s="125"/>
      <c r="K788" s="125"/>
      <c r="L788" s="127"/>
      <c r="M788" s="143"/>
      <c r="N788" s="129"/>
    </row>
    <row r="789" spans="2:14" x14ac:dyDescent="0.25">
      <c r="B789" s="130"/>
      <c r="C789" s="131"/>
      <c r="D789" s="132"/>
      <c r="E789" s="132"/>
      <c r="F789" s="133"/>
      <c r="G789" s="134"/>
      <c r="H789" s="134"/>
      <c r="I789" s="134"/>
      <c r="J789" s="134"/>
      <c r="K789" s="134"/>
      <c r="L789" s="136"/>
      <c r="M789" s="137"/>
      <c r="N789" s="138"/>
    </row>
    <row r="790" spans="2:14" x14ac:dyDescent="0.25">
      <c r="B790" s="144"/>
      <c r="C790" s="139"/>
      <c r="D790" s="140"/>
      <c r="E790" s="140"/>
      <c r="F790" s="141"/>
      <c r="G790" s="142"/>
      <c r="H790" s="125"/>
      <c r="I790" s="125"/>
      <c r="J790" s="125"/>
      <c r="K790" s="125"/>
      <c r="L790" s="127"/>
      <c r="M790" s="143"/>
      <c r="N790" s="129"/>
    </row>
    <row r="791" spans="2:14" x14ac:dyDescent="0.25">
      <c r="B791" s="130"/>
      <c r="C791" s="131"/>
      <c r="D791" s="132"/>
      <c r="E791" s="132"/>
      <c r="F791" s="133"/>
      <c r="G791" s="134"/>
      <c r="H791" s="134"/>
      <c r="I791" s="134"/>
      <c r="J791" s="134"/>
      <c r="K791" s="134"/>
      <c r="L791" s="136"/>
      <c r="M791" s="137"/>
      <c r="N791" s="138"/>
    </row>
    <row r="792" spans="2:14" x14ac:dyDescent="0.25">
      <c r="B792" s="144"/>
      <c r="C792" s="139"/>
      <c r="D792" s="140"/>
      <c r="E792" s="140"/>
      <c r="F792" s="141"/>
      <c r="G792" s="142"/>
      <c r="H792" s="125"/>
      <c r="I792" s="125"/>
      <c r="J792" s="125"/>
      <c r="K792" s="125"/>
      <c r="L792" s="127"/>
      <c r="M792" s="143"/>
      <c r="N792" s="129"/>
    </row>
    <row r="793" spans="2:14" x14ac:dyDescent="0.25">
      <c r="B793" s="130"/>
      <c r="C793" s="131"/>
      <c r="D793" s="132"/>
      <c r="E793" s="132"/>
      <c r="F793" s="133"/>
      <c r="G793" s="134"/>
      <c r="H793" s="134"/>
      <c r="I793" s="134"/>
      <c r="J793" s="134"/>
      <c r="K793" s="134"/>
      <c r="L793" s="136"/>
      <c r="M793" s="137"/>
      <c r="N793" s="138"/>
    </row>
    <row r="794" spans="2:14" x14ac:dyDescent="0.25">
      <c r="B794" s="144"/>
      <c r="C794" s="139"/>
      <c r="D794" s="140"/>
      <c r="E794" s="140"/>
      <c r="F794" s="141"/>
      <c r="G794" s="142"/>
      <c r="H794" s="125"/>
      <c r="I794" s="125"/>
      <c r="J794" s="125"/>
      <c r="K794" s="125"/>
      <c r="L794" s="127"/>
      <c r="M794" s="143"/>
      <c r="N794" s="129"/>
    </row>
    <row r="795" spans="2:14" x14ac:dyDescent="0.25">
      <c r="B795" s="130"/>
      <c r="C795" s="131"/>
      <c r="D795" s="132"/>
      <c r="E795" s="132"/>
      <c r="F795" s="133"/>
      <c r="G795" s="134"/>
      <c r="H795" s="134"/>
      <c r="I795" s="134"/>
      <c r="J795" s="134"/>
      <c r="K795" s="134"/>
      <c r="L795" s="136"/>
      <c r="M795" s="137"/>
      <c r="N795" s="138"/>
    </row>
    <row r="796" spans="2:14" x14ac:dyDescent="0.25">
      <c r="B796" s="144"/>
      <c r="C796" s="139"/>
      <c r="D796" s="140"/>
      <c r="E796" s="140"/>
      <c r="F796" s="141"/>
      <c r="G796" s="142"/>
      <c r="H796" s="125"/>
      <c r="I796" s="125"/>
      <c r="J796" s="125"/>
      <c r="K796" s="125"/>
      <c r="L796" s="127"/>
      <c r="M796" s="143"/>
      <c r="N796" s="129"/>
    </row>
    <row r="797" spans="2:14" x14ac:dyDescent="0.25">
      <c r="B797" s="130"/>
      <c r="C797" s="131"/>
      <c r="D797" s="132"/>
      <c r="E797" s="132"/>
      <c r="F797" s="133"/>
      <c r="G797" s="134"/>
      <c r="H797" s="134"/>
      <c r="I797" s="134"/>
      <c r="J797" s="134"/>
      <c r="K797" s="134"/>
      <c r="L797" s="136"/>
      <c r="M797" s="137"/>
      <c r="N797" s="138"/>
    </row>
    <row r="798" spans="2:14" x14ac:dyDescent="0.25">
      <c r="B798" s="144"/>
      <c r="C798" s="139"/>
      <c r="D798" s="140"/>
      <c r="E798" s="140"/>
      <c r="F798" s="141"/>
      <c r="G798" s="142"/>
      <c r="H798" s="125"/>
      <c r="I798" s="125"/>
      <c r="J798" s="125"/>
      <c r="K798" s="125"/>
      <c r="L798" s="127"/>
      <c r="M798" s="143"/>
      <c r="N798" s="129"/>
    </row>
    <row r="799" spans="2:14" x14ac:dyDescent="0.25">
      <c r="B799" s="130"/>
      <c r="C799" s="131"/>
      <c r="D799" s="132"/>
      <c r="E799" s="132"/>
      <c r="F799" s="133"/>
      <c r="G799" s="134"/>
      <c r="H799" s="134"/>
      <c r="I799" s="134"/>
      <c r="J799" s="134"/>
      <c r="K799" s="134"/>
      <c r="L799" s="136"/>
      <c r="M799" s="137"/>
      <c r="N799" s="138"/>
    </row>
    <row r="800" spans="2:14" x14ac:dyDescent="0.25">
      <c r="B800" s="144"/>
      <c r="C800" s="139"/>
      <c r="D800" s="140"/>
      <c r="E800" s="140"/>
      <c r="F800" s="141"/>
      <c r="G800" s="142"/>
      <c r="H800" s="125"/>
      <c r="I800" s="125"/>
      <c r="J800" s="125"/>
      <c r="K800" s="125"/>
      <c r="L800" s="127"/>
      <c r="M800" s="143"/>
      <c r="N800" s="129"/>
    </row>
    <row r="801" spans="2:14" x14ac:dyDescent="0.25">
      <c r="B801" s="130"/>
      <c r="C801" s="131"/>
      <c r="D801" s="132"/>
      <c r="E801" s="132"/>
      <c r="F801" s="133"/>
      <c r="G801" s="134"/>
      <c r="H801" s="134"/>
      <c r="I801" s="134"/>
      <c r="J801" s="134"/>
      <c r="K801" s="134"/>
      <c r="L801" s="136"/>
      <c r="M801" s="137"/>
      <c r="N801" s="138"/>
    </row>
    <row r="802" spans="2:14" x14ac:dyDescent="0.25">
      <c r="B802" s="144"/>
      <c r="C802" s="139"/>
      <c r="D802" s="140"/>
      <c r="E802" s="140"/>
      <c r="F802" s="141"/>
      <c r="G802" s="142"/>
      <c r="H802" s="125"/>
      <c r="I802" s="125"/>
      <c r="J802" s="125"/>
      <c r="K802" s="125"/>
      <c r="L802" s="127"/>
      <c r="M802" s="143"/>
      <c r="N802" s="129"/>
    </row>
    <row r="803" spans="2:14" x14ac:dyDescent="0.25">
      <c r="B803" s="130"/>
      <c r="C803" s="131"/>
      <c r="D803" s="132"/>
      <c r="E803" s="132"/>
      <c r="F803" s="133"/>
      <c r="G803" s="134"/>
      <c r="H803" s="134"/>
      <c r="I803" s="134"/>
      <c r="J803" s="134"/>
      <c r="K803" s="134"/>
      <c r="L803" s="136"/>
      <c r="M803" s="137"/>
      <c r="N803" s="138"/>
    </row>
    <row r="804" spans="2:14" x14ac:dyDescent="0.25">
      <c r="B804" s="144"/>
      <c r="C804" s="139"/>
      <c r="D804" s="140"/>
      <c r="E804" s="140"/>
      <c r="F804" s="141"/>
      <c r="G804" s="142"/>
      <c r="H804" s="125"/>
      <c r="I804" s="125"/>
      <c r="J804" s="125"/>
      <c r="K804" s="125"/>
      <c r="L804" s="127"/>
      <c r="M804" s="143"/>
      <c r="N804" s="129"/>
    </row>
    <row r="805" spans="2:14" x14ac:dyDescent="0.25">
      <c r="B805" s="130"/>
      <c r="C805" s="131"/>
      <c r="D805" s="132"/>
      <c r="E805" s="132"/>
      <c r="F805" s="133"/>
      <c r="G805" s="134"/>
      <c r="H805" s="134"/>
      <c r="I805" s="134"/>
      <c r="J805" s="134"/>
      <c r="K805" s="134"/>
      <c r="L805" s="136"/>
      <c r="M805" s="137"/>
      <c r="N805" s="138"/>
    </row>
    <row r="806" spans="2:14" x14ac:dyDescent="0.25">
      <c r="B806" s="144"/>
      <c r="C806" s="139"/>
      <c r="D806" s="140"/>
      <c r="E806" s="140"/>
      <c r="F806" s="141"/>
      <c r="G806" s="142"/>
      <c r="H806" s="125"/>
      <c r="I806" s="125"/>
      <c r="J806" s="125"/>
      <c r="K806" s="125"/>
      <c r="L806" s="127"/>
      <c r="M806" s="143"/>
      <c r="N806" s="129"/>
    </row>
    <row r="807" spans="2:14" x14ac:dyDescent="0.25">
      <c r="B807" s="130"/>
      <c r="C807" s="131"/>
      <c r="D807" s="132"/>
      <c r="E807" s="132"/>
      <c r="F807" s="133"/>
      <c r="G807" s="134"/>
      <c r="H807" s="134"/>
      <c r="I807" s="134"/>
      <c r="J807" s="134"/>
      <c r="K807" s="134"/>
      <c r="L807" s="136"/>
      <c r="M807" s="137"/>
      <c r="N807" s="138"/>
    </row>
    <row r="808" spans="2:14" x14ac:dyDescent="0.25">
      <c r="B808" s="144"/>
      <c r="C808" s="139"/>
      <c r="D808" s="140"/>
      <c r="E808" s="140"/>
      <c r="F808" s="141"/>
      <c r="G808" s="142"/>
      <c r="H808" s="125"/>
      <c r="I808" s="125"/>
      <c r="J808" s="125"/>
      <c r="K808" s="125"/>
      <c r="L808" s="127"/>
      <c r="M808" s="143"/>
      <c r="N808" s="129"/>
    </row>
    <row r="809" spans="2:14" x14ac:dyDescent="0.25">
      <c r="B809" s="130"/>
      <c r="C809" s="131"/>
      <c r="D809" s="132"/>
      <c r="E809" s="132"/>
      <c r="F809" s="133"/>
      <c r="G809" s="134"/>
      <c r="H809" s="134"/>
      <c r="I809" s="134"/>
      <c r="J809" s="134"/>
      <c r="K809" s="134"/>
      <c r="L809" s="136"/>
      <c r="M809" s="137"/>
      <c r="N809" s="138"/>
    </row>
    <row r="810" spans="2:14" x14ac:dyDescent="0.25">
      <c r="B810" s="144"/>
      <c r="C810" s="139"/>
      <c r="D810" s="140"/>
      <c r="E810" s="140"/>
      <c r="F810" s="141"/>
      <c r="G810" s="142"/>
      <c r="H810" s="125"/>
      <c r="I810" s="125"/>
      <c r="J810" s="125"/>
      <c r="K810" s="125"/>
      <c r="L810" s="127"/>
      <c r="M810" s="143"/>
      <c r="N810" s="129"/>
    </row>
    <row r="811" spans="2:14" x14ac:dyDescent="0.25">
      <c r="B811" s="130"/>
      <c r="C811" s="131"/>
      <c r="D811" s="132"/>
      <c r="E811" s="132"/>
      <c r="F811" s="133"/>
      <c r="G811" s="134"/>
      <c r="H811" s="134"/>
      <c r="I811" s="134"/>
      <c r="J811" s="134"/>
      <c r="K811" s="134"/>
      <c r="L811" s="136"/>
      <c r="M811" s="137"/>
      <c r="N811" s="138"/>
    </row>
    <row r="812" spans="2:14" x14ac:dyDescent="0.25">
      <c r="B812" s="144"/>
      <c r="C812" s="139"/>
      <c r="D812" s="140"/>
      <c r="E812" s="140"/>
      <c r="F812" s="141"/>
      <c r="G812" s="142"/>
      <c r="H812" s="125"/>
      <c r="I812" s="125"/>
      <c r="J812" s="125"/>
      <c r="K812" s="125"/>
      <c r="L812" s="127"/>
      <c r="M812" s="143"/>
      <c r="N812" s="129"/>
    </row>
    <row r="813" spans="2:14" x14ac:dyDescent="0.25">
      <c r="B813" s="130"/>
      <c r="C813" s="131"/>
      <c r="D813" s="132"/>
      <c r="E813" s="132"/>
      <c r="F813" s="133"/>
      <c r="G813" s="134"/>
      <c r="H813" s="134"/>
      <c r="I813" s="134"/>
      <c r="J813" s="134"/>
      <c r="K813" s="134"/>
      <c r="L813" s="136"/>
      <c r="M813" s="137"/>
      <c r="N813" s="138"/>
    </row>
    <row r="814" spans="2:14" x14ac:dyDescent="0.25">
      <c r="B814" s="144"/>
      <c r="C814" s="139"/>
      <c r="D814" s="140"/>
      <c r="E814" s="140"/>
      <c r="F814" s="141"/>
      <c r="G814" s="142"/>
      <c r="H814" s="125"/>
      <c r="I814" s="125"/>
      <c r="J814" s="125"/>
      <c r="K814" s="125"/>
      <c r="L814" s="127"/>
      <c r="M814" s="143"/>
      <c r="N814" s="129"/>
    </row>
    <row r="815" spans="2:14" x14ac:dyDescent="0.25">
      <c r="B815" s="130"/>
      <c r="C815" s="131"/>
      <c r="D815" s="132"/>
      <c r="E815" s="132"/>
      <c r="F815" s="133"/>
      <c r="G815" s="134"/>
      <c r="H815" s="134"/>
      <c r="I815" s="134"/>
      <c r="J815" s="134"/>
      <c r="K815" s="134"/>
      <c r="L815" s="136"/>
      <c r="M815" s="137"/>
      <c r="N815" s="138"/>
    </row>
    <row r="816" spans="2:14" x14ac:dyDescent="0.25">
      <c r="B816" s="144"/>
      <c r="C816" s="139"/>
      <c r="D816" s="140"/>
      <c r="E816" s="140"/>
      <c r="F816" s="141"/>
      <c r="G816" s="142"/>
      <c r="H816" s="125"/>
      <c r="I816" s="125"/>
      <c r="J816" s="125"/>
      <c r="K816" s="125"/>
      <c r="L816" s="127"/>
      <c r="M816" s="143"/>
      <c r="N816" s="129"/>
    </row>
    <row r="817" spans="2:14" x14ac:dyDescent="0.25">
      <c r="B817" s="130"/>
      <c r="C817" s="131"/>
      <c r="D817" s="132"/>
      <c r="E817" s="132"/>
      <c r="F817" s="133"/>
      <c r="G817" s="134"/>
      <c r="H817" s="134"/>
      <c r="I817" s="134"/>
      <c r="J817" s="134"/>
      <c r="K817" s="134"/>
      <c r="L817" s="136"/>
      <c r="M817" s="137"/>
      <c r="N817" s="138"/>
    </row>
    <row r="818" spans="2:14" x14ac:dyDescent="0.25">
      <c r="B818" s="144"/>
      <c r="C818" s="139"/>
      <c r="D818" s="140"/>
      <c r="E818" s="140"/>
      <c r="F818" s="141"/>
      <c r="G818" s="142"/>
      <c r="H818" s="125"/>
      <c r="I818" s="125"/>
      <c r="J818" s="125"/>
      <c r="K818" s="125"/>
      <c r="L818" s="127"/>
      <c r="M818" s="143"/>
      <c r="N818" s="129"/>
    </row>
    <row r="819" spans="2:14" x14ac:dyDescent="0.25">
      <c r="B819" s="130"/>
      <c r="C819" s="131"/>
      <c r="D819" s="132"/>
      <c r="E819" s="132"/>
      <c r="F819" s="133"/>
      <c r="G819" s="134"/>
      <c r="H819" s="134"/>
      <c r="I819" s="134"/>
      <c r="J819" s="134"/>
      <c r="K819" s="134"/>
      <c r="L819" s="136"/>
      <c r="M819" s="137"/>
      <c r="N819" s="138"/>
    </row>
    <row r="820" spans="2:14" x14ac:dyDescent="0.25">
      <c r="B820" s="144"/>
      <c r="C820" s="139"/>
      <c r="D820" s="140"/>
      <c r="E820" s="140"/>
      <c r="F820" s="141"/>
      <c r="G820" s="142"/>
      <c r="H820" s="125"/>
      <c r="I820" s="125"/>
      <c r="J820" s="125"/>
      <c r="K820" s="125"/>
      <c r="L820" s="127"/>
      <c r="M820" s="143"/>
      <c r="N820" s="129"/>
    </row>
    <row r="821" spans="2:14" x14ac:dyDescent="0.25">
      <c r="B821" s="130"/>
      <c r="C821" s="131"/>
      <c r="D821" s="132"/>
      <c r="E821" s="132"/>
      <c r="F821" s="133"/>
      <c r="G821" s="134"/>
      <c r="H821" s="134"/>
      <c r="I821" s="134"/>
      <c r="J821" s="134"/>
      <c r="K821" s="134"/>
      <c r="L821" s="136"/>
      <c r="M821" s="137"/>
      <c r="N821" s="138"/>
    </row>
    <row r="822" spans="2:14" x14ac:dyDescent="0.25">
      <c r="B822" s="144"/>
      <c r="C822" s="139"/>
      <c r="D822" s="140"/>
      <c r="E822" s="140"/>
      <c r="F822" s="141"/>
      <c r="G822" s="142"/>
      <c r="H822" s="125"/>
      <c r="I822" s="125"/>
      <c r="J822" s="125"/>
      <c r="K822" s="125"/>
      <c r="L822" s="127"/>
      <c r="M822" s="143"/>
      <c r="N822" s="129"/>
    </row>
    <row r="823" spans="2:14" x14ac:dyDescent="0.25">
      <c r="B823" s="130"/>
      <c r="C823" s="131"/>
      <c r="D823" s="132"/>
      <c r="E823" s="132"/>
      <c r="F823" s="133"/>
      <c r="G823" s="134"/>
      <c r="H823" s="134"/>
      <c r="I823" s="134"/>
      <c r="J823" s="134"/>
      <c r="K823" s="134"/>
      <c r="L823" s="136"/>
      <c r="M823" s="137"/>
      <c r="N823" s="138"/>
    </row>
    <row r="824" spans="2:14" x14ac:dyDescent="0.25">
      <c r="B824" s="144"/>
      <c r="C824" s="139"/>
      <c r="D824" s="140"/>
      <c r="E824" s="140"/>
      <c r="F824" s="141"/>
      <c r="G824" s="142"/>
      <c r="H824" s="125"/>
      <c r="I824" s="125"/>
      <c r="J824" s="125"/>
      <c r="K824" s="125"/>
      <c r="L824" s="127"/>
      <c r="M824" s="143"/>
      <c r="N824" s="129"/>
    </row>
    <row r="825" spans="2:14" x14ac:dyDescent="0.25">
      <c r="B825" s="130"/>
      <c r="C825" s="131"/>
      <c r="D825" s="132"/>
      <c r="E825" s="132"/>
      <c r="F825" s="133"/>
      <c r="G825" s="134"/>
      <c r="H825" s="134"/>
      <c r="I825" s="134"/>
      <c r="J825" s="134"/>
      <c r="K825" s="134"/>
      <c r="L825" s="136"/>
      <c r="M825" s="137"/>
      <c r="N825" s="138"/>
    </row>
    <row r="826" spans="2:14" x14ac:dyDescent="0.25">
      <c r="B826" s="144"/>
      <c r="C826" s="139"/>
      <c r="D826" s="140"/>
      <c r="E826" s="140"/>
      <c r="F826" s="141"/>
      <c r="G826" s="142"/>
      <c r="H826" s="125"/>
      <c r="I826" s="125"/>
      <c r="J826" s="125"/>
      <c r="K826" s="125"/>
      <c r="L826" s="127"/>
      <c r="M826" s="143"/>
      <c r="N826" s="129"/>
    </row>
    <row r="827" spans="2:14" x14ac:dyDescent="0.25">
      <c r="B827" s="130"/>
      <c r="C827" s="131"/>
      <c r="D827" s="132"/>
      <c r="E827" s="132"/>
      <c r="F827" s="133"/>
      <c r="G827" s="134"/>
      <c r="H827" s="134"/>
      <c r="I827" s="134"/>
      <c r="J827" s="134"/>
      <c r="K827" s="134"/>
      <c r="L827" s="136"/>
      <c r="M827" s="137"/>
      <c r="N827" s="138"/>
    </row>
    <row r="828" spans="2:14" x14ac:dyDescent="0.25">
      <c r="B828" s="144"/>
      <c r="C828" s="139"/>
      <c r="D828" s="140"/>
      <c r="E828" s="140"/>
      <c r="F828" s="141"/>
      <c r="G828" s="142"/>
      <c r="H828" s="125"/>
      <c r="I828" s="125"/>
      <c r="J828" s="125"/>
      <c r="K828" s="125"/>
      <c r="L828" s="127"/>
      <c r="M828" s="143"/>
      <c r="N828" s="129"/>
    </row>
    <row r="829" spans="2:14" x14ac:dyDescent="0.25">
      <c r="B829" s="130"/>
      <c r="C829" s="131"/>
      <c r="D829" s="132"/>
      <c r="E829" s="132"/>
      <c r="F829" s="133"/>
      <c r="G829" s="134"/>
      <c r="H829" s="134"/>
      <c r="I829" s="134"/>
      <c r="J829" s="134"/>
      <c r="K829" s="134"/>
      <c r="L829" s="136"/>
      <c r="M829" s="137"/>
      <c r="N829" s="138"/>
    </row>
    <row r="830" spans="2:14" x14ac:dyDescent="0.25">
      <c r="B830" s="144"/>
      <c r="C830" s="139"/>
      <c r="D830" s="140"/>
      <c r="E830" s="140"/>
      <c r="F830" s="141"/>
      <c r="G830" s="142"/>
      <c r="H830" s="125"/>
      <c r="I830" s="125"/>
      <c r="J830" s="125"/>
      <c r="K830" s="125"/>
      <c r="L830" s="127"/>
      <c r="M830" s="143"/>
      <c r="N830" s="129"/>
    </row>
    <row r="831" spans="2:14" x14ac:dyDescent="0.25">
      <c r="B831" s="130"/>
      <c r="C831" s="131"/>
      <c r="D831" s="132"/>
      <c r="E831" s="132"/>
      <c r="F831" s="133"/>
      <c r="G831" s="134"/>
      <c r="H831" s="134"/>
      <c r="I831" s="134"/>
      <c r="J831" s="134"/>
      <c r="K831" s="134"/>
      <c r="L831" s="136"/>
      <c r="M831" s="137"/>
      <c r="N831" s="138"/>
    </row>
    <row r="832" spans="2:14" x14ac:dyDescent="0.25">
      <c r="B832" s="144"/>
      <c r="C832" s="139"/>
      <c r="D832" s="140"/>
      <c r="E832" s="140"/>
      <c r="F832" s="141"/>
      <c r="G832" s="142"/>
      <c r="H832" s="125"/>
      <c r="I832" s="125"/>
      <c r="J832" s="125"/>
      <c r="K832" s="125"/>
      <c r="L832" s="127"/>
      <c r="M832" s="143"/>
      <c r="N832" s="129"/>
    </row>
    <row r="833" spans="2:14" x14ac:dyDescent="0.25">
      <c r="B833" s="130"/>
      <c r="C833" s="131"/>
      <c r="D833" s="132"/>
      <c r="E833" s="132"/>
      <c r="F833" s="133"/>
      <c r="G833" s="134"/>
      <c r="H833" s="134"/>
      <c r="I833" s="134"/>
      <c r="J833" s="134"/>
      <c r="K833" s="134"/>
      <c r="L833" s="136"/>
      <c r="M833" s="137"/>
      <c r="N833" s="138"/>
    </row>
    <row r="834" spans="2:14" x14ac:dyDescent="0.25">
      <c r="B834" s="144"/>
      <c r="C834" s="139"/>
      <c r="D834" s="140"/>
      <c r="E834" s="140"/>
      <c r="F834" s="141"/>
      <c r="G834" s="142"/>
      <c r="H834" s="125"/>
      <c r="I834" s="125"/>
      <c r="J834" s="125"/>
      <c r="K834" s="125"/>
      <c r="L834" s="127"/>
      <c r="M834" s="143"/>
      <c r="N834" s="129"/>
    </row>
    <row r="835" spans="2:14" x14ac:dyDescent="0.25">
      <c r="B835" s="130"/>
      <c r="C835" s="131"/>
      <c r="D835" s="132"/>
      <c r="E835" s="132"/>
      <c r="F835" s="133"/>
      <c r="G835" s="134"/>
      <c r="H835" s="134"/>
      <c r="I835" s="134"/>
      <c r="J835" s="134"/>
      <c r="K835" s="134"/>
      <c r="L835" s="136"/>
      <c r="M835" s="137"/>
      <c r="N835" s="138"/>
    </row>
    <row r="836" spans="2:14" x14ac:dyDescent="0.25">
      <c r="B836" s="144"/>
      <c r="C836" s="139"/>
      <c r="D836" s="140"/>
      <c r="E836" s="140"/>
      <c r="F836" s="141"/>
      <c r="G836" s="142"/>
      <c r="H836" s="125"/>
      <c r="I836" s="125"/>
      <c r="J836" s="125"/>
      <c r="K836" s="125"/>
      <c r="L836" s="127"/>
      <c r="M836" s="143"/>
      <c r="N836" s="129"/>
    </row>
    <row r="837" spans="2:14" x14ac:dyDescent="0.25">
      <c r="B837" s="130"/>
      <c r="C837" s="131"/>
      <c r="D837" s="132"/>
      <c r="E837" s="132"/>
      <c r="F837" s="133"/>
      <c r="G837" s="134"/>
      <c r="H837" s="134"/>
      <c r="I837" s="134"/>
      <c r="J837" s="134"/>
      <c r="K837" s="134"/>
      <c r="L837" s="136"/>
      <c r="M837" s="137"/>
      <c r="N837" s="138"/>
    </row>
    <row r="838" spans="2:14" x14ac:dyDescent="0.25">
      <c r="B838" s="144"/>
      <c r="C838" s="139"/>
      <c r="D838" s="140"/>
      <c r="E838" s="140"/>
      <c r="F838" s="141"/>
      <c r="G838" s="142"/>
      <c r="H838" s="125"/>
      <c r="I838" s="125"/>
      <c r="J838" s="125"/>
      <c r="K838" s="125"/>
      <c r="L838" s="127"/>
      <c r="M838" s="143"/>
      <c r="N838" s="129"/>
    </row>
    <row r="839" spans="2:14" x14ac:dyDescent="0.25">
      <c r="B839" s="130"/>
      <c r="C839" s="131"/>
      <c r="D839" s="132"/>
      <c r="E839" s="132"/>
      <c r="F839" s="133"/>
      <c r="G839" s="134"/>
      <c r="H839" s="134"/>
      <c r="I839" s="134"/>
      <c r="J839" s="134"/>
      <c r="K839" s="134"/>
      <c r="L839" s="136"/>
      <c r="M839" s="137"/>
      <c r="N839" s="138"/>
    </row>
    <row r="840" spans="2:14" x14ac:dyDescent="0.25">
      <c r="B840" s="144"/>
      <c r="C840" s="139"/>
      <c r="D840" s="140"/>
      <c r="E840" s="140"/>
      <c r="F840" s="141"/>
      <c r="G840" s="142"/>
      <c r="H840" s="125"/>
      <c r="I840" s="125"/>
      <c r="J840" s="125"/>
      <c r="K840" s="125"/>
      <c r="L840" s="127"/>
      <c r="M840" s="143"/>
      <c r="N840" s="129"/>
    </row>
    <row r="841" spans="2:14" x14ac:dyDescent="0.25">
      <c r="B841" s="130"/>
      <c r="C841" s="131"/>
      <c r="D841" s="132"/>
      <c r="E841" s="132"/>
      <c r="F841" s="133"/>
      <c r="G841" s="134"/>
      <c r="H841" s="134"/>
      <c r="I841" s="134"/>
      <c r="J841" s="134"/>
      <c r="K841" s="134"/>
      <c r="L841" s="136"/>
      <c r="M841" s="137"/>
      <c r="N841" s="138"/>
    </row>
    <row r="842" spans="2:14" x14ac:dyDescent="0.25">
      <c r="B842" s="144"/>
      <c r="C842" s="139"/>
      <c r="D842" s="140"/>
      <c r="E842" s="140"/>
      <c r="F842" s="141"/>
      <c r="G842" s="142"/>
      <c r="H842" s="125"/>
      <c r="I842" s="125"/>
      <c r="J842" s="125"/>
      <c r="K842" s="125"/>
      <c r="L842" s="127"/>
      <c r="M842" s="143"/>
      <c r="N842" s="129"/>
    </row>
    <row r="843" spans="2:14" x14ac:dyDescent="0.25">
      <c r="B843" s="130"/>
      <c r="C843" s="131"/>
      <c r="D843" s="132"/>
      <c r="E843" s="132"/>
      <c r="F843" s="133"/>
      <c r="G843" s="134"/>
      <c r="H843" s="134"/>
      <c r="I843" s="134"/>
      <c r="J843" s="134"/>
      <c r="K843" s="134"/>
      <c r="L843" s="136"/>
      <c r="M843" s="137"/>
      <c r="N843" s="138"/>
    </row>
    <row r="844" spans="2:14" x14ac:dyDescent="0.25">
      <c r="B844" s="144"/>
      <c r="C844" s="139"/>
      <c r="D844" s="140"/>
      <c r="E844" s="140"/>
      <c r="F844" s="141"/>
      <c r="G844" s="142"/>
      <c r="H844" s="125"/>
      <c r="I844" s="125"/>
      <c r="J844" s="125"/>
      <c r="K844" s="125"/>
      <c r="L844" s="127"/>
      <c r="M844" s="143"/>
      <c r="N844" s="129"/>
    </row>
    <row r="845" spans="2:14" x14ac:dyDescent="0.25">
      <c r="B845" s="130"/>
      <c r="C845" s="131"/>
      <c r="D845" s="132"/>
      <c r="E845" s="132"/>
      <c r="F845" s="133"/>
      <c r="G845" s="134"/>
      <c r="H845" s="134"/>
      <c r="I845" s="134"/>
      <c r="J845" s="134"/>
      <c r="K845" s="134"/>
      <c r="L845" s="136"/>
      <c r="M845" s="137"/>
      <c r="N845" s="138"/>
    </row>
    <row r="846" spans="2:14" x14ac:dyDescent="0.25">
      <c r="B846" s="144"/>
      <c r="C846" s="139"/>
      <c r="D846" s="140"/>
      <c r="E846" s="140"/>
      <c r="F846" s="141"/>
      <c r="G846" s="142"/>
      <c r="H846" s="125"/>
      <c r="I846" s="125"/>
      <c r="J846" s="125"/>
      <c r="K846" s="125"/>
      <c r="L846" s="127"/>
      <c r="M846" s="143"/>
      <c r="N846" s="129"/>
    </row>
    <row r="847" spans="2:14" x14ac:dyDescent="0.25">
      <c r="B847" s="130"/>
      <c r="C847" s="131"/>
      <c r="D847" s="132"/>
      <c r="E847" s="132"/>
      <c r="F847" s="133"/>
      <c r="G847" s="134"/>
      <c r="H847" s="134"/>
      <c r="I847" s="134"/>
      <c r="J847" s="134"/>
      <c r="K847" s="134"/>
      <c r="L847" s="136"/>
      <c r="M847" s="137"/>
      <c r="N847" s="138"/>
    </row>
    <row r="848" spans="2:14" x14ac:dyDescent="0.25">
      <c r="B848" s="144"/>
      <c r="C848" s="139"/>
      <c r="D848" s="140"/>
      <c r="E848" s="140"/>
      <c r="F848" s="141"/>
      <c r="G848" s="142"/>
      <c r="H848" s="125"/>
      <c r="I848" s="125"/>
      <c r="J848" s="125"/>
      <c r="K848" s="125"/>
      <c r="L848" s="127"/>
      <c r="M848" s="143"/>
      <c r="N848" s="129"/>
    </row>
    <row r="849" spans="2:14" x14ac:dyDescent="0.25">
      <c r="B849" s="130"/>
      <c r="C849" s="131"/>
      <c r="D849" s="132"/>
      <c r="E849" s="132"/>
      <c r="F849" s="133"/>
      <c r="G849" s="134"/>
      <c r="H849" s="134"/>
      <c r="I849" s="134"/>
      <c r="J849" s="134"/>
      <c r="K849" s="134"/>
      <c r="L849" s="136"/>
      <c r="M849" s="137"/>
      <c r="N849" s="138"/>
    </row>
    <row r="850" spans="2:14" x14ac:dyDescent="0.25">
      <c r="B850" s="144"/>
      <c r="C850" s="139"/>
      <c r="D850" s="140"/>
      <c r="E850" s="140"/>
      <c r="F850" s="141"/>
      <c r="G850" s="142"/>
      <c r="H850" s="125"/>
      <c r="I850" s="125"/>
      <c r="J850" s="125"/>
      <c r="K850" s="125"/>
      <c r="L850" s="127"/>
      <c r="M850" s="143"/>
      <c r="N850" s="129"/>
    </row>
    <row r="851" spans="2:14" x14ac:dyDescent="0.25">
      <c r="B851" s="130"/>
      <c r="C851" s="131"/>
      <c r="D851" s="132"/>
      <c r="E851" s="132"/>
      <c r="F851" s="133"/>
      <c r="G851" s="134"/>
      <c r="H851" s="134"/>
      <c r="I851" s="134"/>
      <c r="J851" s="134"/>
      <c r="K851" s="134"/>
      <c r="L851" s="136"/>
      <c r="M851" s="137"/>
      <c r="N851" s="138"/>
    </row>
    <row r="852" spans="2:14" x14ac:dyDescent="0.25">
      <c r="B852" s="144"/>
      <c r="C852" s="139"/>
      <c r="D852" s="140"/>
      <c r="E852" s="140"/>
      <c r="F852" s="141"/>
      <c r="G852" s="142"/>
      <c r="H852" s="125"/>
      <c r="I852" s="125"/>
      <c r="J852" s="125"/>
      <c r="K852" s="125"/>
      <c r="L852" s="127"/>
      <c r="M852" s="143"/>
      <c r="N852" s="129"/>
    </row>
    <row r="853" spans="2:14" x14ac:dyDescent="0.25">
      <c r="B853" s="130"/>
      <c r="C853" s="131"/>
      <c r="D853" s="132"/>
      <c r="E853" s="132"/>
      <c r="F853" s="133"/>
      <c r="G853" s="134"/>
      <c r="H853" s="134"/>
      <c r="I853" s="134"/>
      <c r="J853" s="134"/>
      <c r="K853" s="134"/>
      <c r="L853" s="136"/>
      <c r="M853" s="137"/>
      <c r="N853" s="138"/>
    </row>
    <row r="854" spans="2:14" x14ac:dyDescent="0.25">
      <c r="B854" s="144"/>
      <c r="C854" s="139"/>
      <c r="D854" s="140"/>
      <c r="E854" s="140"/>
      <c r="F854" s="141"/>
      <c r="G854" s="142"/>
      <c r="H854" s="125"/>
      <c r="I854" s="125"/>
      <c r="J854" s="125"/>
      <c r="K854" s="125"/>
      <c r="L854" s="127"/>
      <c r="M854" s="143"/>
      <c r="N854" s="129"/>
    </row>
    <row r="855" spans="2:14" x14ac:dyDescent="0.25">
      <c r="B855" s="130"/>
      <c r="C855" s="131"/>
      <c r="D855" s="132"/>
      <c r="E855" s="132"/>
      <c r="F855" s="133"/>
      <c r="G855" s="134"/>
      <c r="H855" s="134"/>
      <c r="I855" s="134"/>
      <c r="J855" s="134"/>
      <c r="K855" s="134"/>
      <c r="L855" s="136"/>
      <c r="M855" s="137"/>
      <c r="N855" s="138"/>
    </row>
    <row r="856" spans="2:14" x14ac:dyDescent="0.25">
      <c r="B856" s="144"/>
      <c r="C856" s="139"/>
      <c r="D856" s="140"/>
      <c r="E856" s="140"/>
      <c r="F856" s="141"/>
      <c r="G856" s="142"/>
      <c r="H856" s="125"/>
      <c r="I856" s="125"/>
      <c r="J856" s="125"/>
      <c r="K856" s="125"/>
      <c r="L856" s="127"/>
      <c r="M856" s="143"/>
      <c r="N856" s="129"/>
    </row>
    <row r="857" spans="2:14" x14ac:dyDescent="0.25">
      <c r="B857" s="130"/>
      <c r="C857" s="131"/>
      <c r="D857" s="132"/>
      <c r="E857" s="132"/>
      <c r="F857" s="133"/>
      <c r="G857" s="134"/>
      <c r="H857" s="134"/>
      <c r="I857" s="134"/>
      <c r="J857" s="134"/>
      <c r="K857" s="134"/>
      <c r="L857" s="136"/>
      <c r="M857" s="137"/>
      <c r="N857" s="138"/>
    </row>
    <row r="858" spans="2:14" x14ac:dyDescent="0.25">
      <c r="B858" s="144"/>
      <c r="C858" s="139"/>
      <c r="D858" s="140"/>
      <c r="E858" s="140"/>
      <c r="F858" s="141"/>
      <c r="G858" s="142"/>
      <c r="H858" s="125"/>
      <c r="I858" s="125"/>
      <c r="J858" s="125"/>
      <c r="K858" s="125"/>
      <c r="L858" s="127"/>
      <c r="M858" s="143"/>
      <c r="N858" s="129"/>
    </row>
    <row r="859" spans="2:14" x14ac:dyDescent="0.25">
      <c r="B859" s="130"/>
      <c r="C859" s="131"/>
      <c r="D859" s="132"/>
      <c r="E859" s="132"/>
      <c r="F859" s="133"/>
      <c r="G859" s="134"/>
      <c r="H859" s="134"/>
      <c r="I859" s="134"/>
      <c r="J859" s="134"/>
      <c r="K859" s="134"/>
      <c r="L859" s="136"/>
      <c r="M859" s="137"/>
      <c r="N859" s="138"/>
    </row>
    <row r="860" spans="2:14" x14ac:dyDescent="0.25">
      <c r="B860" s="144"/>
      <c r="C860" s="139"/>
      <c r="D860" s="140"/>
      <c r="E860" s="140"/>
      <c r="F860" s="141"/>
      <c r="G860" s="142"/>
      <c r="H860" s="125"/>
      <c r="I860" s="125"/>
      <c r="J860" s="125"/>
      <c r="K860" s="125"/>
      <c r="L860" s="127"/>
      <c r="M860" s="143"/>
      <c r="N860" s="129"/>
    </row>
    <row r="861" spans="2:14" x14ac:dyDescent="0.25">
      <c r="B861" s="130"/>
      <c r="C861" s="131"/>
      <c r="D861" s="132"/>
      <c r="E861" s="132"/>
      <c r="F861" s="133"/>
      <c r="G861" s="134"/>
      <c r="H861" s="134"/>
      <c r="I861" s="134"/>
      <c r="J861" s="134"/>
      <c r="K861" s="134"/>
      <c r="L861" s="136"/>
      <c r="M861" s="137"/>
      <c r="N861" s="138"/>
    </row>
    <row r="862" spans="2:14" x14ac:dyDescent="0.25">
      <c r="B862" s="144"/>
      <c r="C862" s="139"/>
      <c r="D862" s="140"/>
      <c r="E862" s="140"/>
      <c r="F862" s="141"/>
      <c r="G862" s="142"/>
      <c r="H862" s="125"/>
      <c r="I862" s="125"/>
      <c r="J862" s="125"/>
      <c r="K862" s="125"/>
      <c r="L862" s="127"/>
      <c r="M862" s="143"/>
      <c r="N862" s="129"/>
    </row>
    <row r="863" spans="2:14" x14ac:dyDescent="0.25">
      <c r="B863" s="130"/>
      <c r="C863" s="131"/>
      <c r="D863" s="132"/>
      <c r="E863" s="132"/>
      <c r="F863" s="133"/>
      <c r="G863" s="134"/>
      <c r="H863" s="134"/>
      <c r="I863" s="134"/>
      <c r="J863" s="134"/>
      <c r="K863" s="134"/>
      <c r="L863" s="136"/>
      <c r="M863" s="137"/>
      <c r="N863" s="138"/>
    </row>
    <row r="864" spans="2:14" x14ac:dyDescent="0.25">
      <c r="B864" s="144"/>
      <c r="C864" s="139"/>
      <c r="D864" s="140"/>
      <c r="E864" s="140"/>
      <c r="F864" s="141"/>
      <c r="G864" s="142"/>
      <c r="H864" s="125"/>
      <c r="I864" s="125"/>
      <c r="J864" s="125"/>
      <c r="K864" s="125"/>
      <c r="L864" s="127"/>
      <c r="M864" s="143"/>
      <c r="N864" s="129"/>
    </row>
    <row r="865" spans="2:14" x14ac:dyDescent="0.25">
      <c r="B865" s="130"/>
      <c r="C865" s="131"/>
      <c r="D865" s="132"/>
      <c r="E865" s="132"/>
      <c r="F865" s="133"/>
      <c r="G865" s="134"/>
      <c r="H865" s="134"/>
      <c r="I865" s="134"/>
      <c r="J865" s="134"/>
      <c r="K865" s="134"/>
      <c r="L865" s="136"/>
      <c r="M865" s="137"/>
      <c r="N865" s="138"/>
    </row>
    <row r="866" spans="2:14" x14ac:dyDescent="0.25">
      <c r="B866" s="144"/>
      <c r="C866" s="139"/>
      <c r="D866" s="140"/>
      <c r="E866" s="140"/>
      <c r="F866" s="141"/>
      <c r="G866" s="142"/>
      <c r="H866" s="125"/>
      <c r="I866" s="125"/>
      <c r="J866" s="125"/>
      <c r="K866" s="125"/>
      <c r="L866" s="127"/>
      <c r="M866" s="143"/>
      <c r="N866" s="129"/>
    </row>
    <row r="867" spans="2:14" x14ac:dyDescent="0.25">
      <c r="B867" s="130"/>
      <c r="C867" s="131"/>
      <c r="D867" s="132"/>
      <c r="E867" s="132"/>
      <c r="F867" s="133"/>
      <c r="G867" s="134"/>
      <c r="H867" s="134"/>
      <c r="I867" s="134"/>
      <c r="J867" s="134"/>
      <c r="K867" s="134"/>
      <c r="L867" s="136"/>
      <c r="M867" s="137"/>
      <c r="N867" s="138"/>
    </row>
    <row r="868" spans="2:14" x14ac:dyDescent="0.25">
      <c r="B868" s="144"/>
      <c r="C868" s="139"/>
      <c r="D868" s="140"/>
      <c r="E868" s="140"/>
      <c r="F868" s="141"/>
      <c r="G868" s="142"/>
      <c r="H868" s="125"/>
      <c r="I868" s="125"/>
      <c r="J868" s="125"/>
      <c r="K868" s="125"/>
      <c r="L868" s="127"/>
      <c r="M868" s="143"/>
      <c r="N868" s="129"/>
    </row>
    <row r="869" spans="2:14" x14ac:dyDescent="0.25">
      <c r="B869" s="130"/>
      <c r="C869" s="131"/>
      <c r="D869" s="132"/>
      <c r="E869" s="132"/>
      <c r="F869" s="133"/>
      <c r="G869" s="134"/>
      <c r="H869" s="134"/>
      <c r="I869" s="134"/>
      <c r="J869" s="134"/>
      <c r="K869" s="134"/>
      <c r="L869" s="136"/>
      <c r="M869" s="137"/>
      <c r="N869" s="138"/>
    </row>
    <row r="870" spans="2:14" x14ac:dyDescent="0.25">
      <c r="B870" s="144"/>
      <c r="C870" s="139"/>
      <c r="D870" s="140"/>
      <c r="E870" s="140"/>
      <c r="F870" s="141"/>
      <c r="G870" s="142"/>
      <c r="H870" s="125"/>
      <c r="I870" s="125"/>
      <c r="J870" s="125"/>
      <c r="K870" s="125"/>
      <c r="L870" s="127"/>
      <c r="M870" s="143"/>
      <c r="N870" s="129"/>
    </row>
    <row r="871" spans="2:14" x14ac:dyDescent="0.25">
      <c r="B871" s="130"/>
      <c r="C871" s="131"/>
      <c r="D871" s="132"/>
      <c r="E871" s="132"/>
      <c r="F871" s="133"/>
      <c r="G871" s="134"/>
      <c r="H871" s="134"/>
      <c r="I871" s="134"/>
      <c r="J871" s="134"/>
      <c r="K871" s="134"/>
      <c r="L871" s="136"/>
      <c r="M871" s="137"/>
      <c r="N871" s="138"/>
    </row>
    <row r="872" spans="2:14" x14ac:dyDescent="0.25">
      <c r="B872" s="144"/>
      <c r="C872" s="139"/>
      <c r="D872" s="140"/>
      <c r="E872" s="140"/>
      <c r="F872" s="141"/>
      <c r="G872" s="142"/>
      <c r="H872" s="125"/>
      <c r="I872" s="125"/>
      <c r="J872" s="125"/>
      <c r="K872" s="125"/>
      <c r="L872" s="127"/>
      <c r="M872" s="143"/>
      <c r="N872" s="129"/>
    </row>
    <row r="873" spans="2:14" x14ac:dyDescent="0.25">
      <c r="B873" s="130"/>
      <c r="C873" s="131"/>
      <c r="D873" s="132"/>
      <c r="E873" s="132"/>
      <c r="F873" s="133"/>
      <c r="G873" s="134"/>
      <c r="H873" s="134"/>
      <c r="I873" s="134"/>
      <c r="J873" s="134"/>
      <c r="K873" s="134"/>
      <c r="L873" s="136"/>
      <c r="M873" s="137"/>
      <c r="N873" s="138"/>
    </row>
    <row r="874" spans="2:14" x14ac:dyDescent="0.25">
      <c r="B874" s="144"/>
      <c r="C874" s="139"/>
      <c r="D874" s="140"/>
      <c r="E874" s="140"/>
      <c r="F874" s="141"/>
      <c r="G874" s="142"/>
      <c r="H874" s="125"/>
      <c r="I874" s="125"/>
      <c r="J874" s="125"/>
      <c r="K874" s="125"/>
      <c r="L874" s="127"/>
      <c r="M874" s="143"/>
      <c r="N874" s="129"/>
    </row>
    <row r="875" spans="2:14" x14ac:dyDescent="0.25">
      <c r="B875" s="130"/>
      <c r="C875" s="131"/>
      <c r="D875" s="132"/>
      <c r="E875" s="132"/>
      <c r="F875" s="133"/>
      <c r="G875" s="134"/>
      <c r="H875" s="134"/>
      <c r="I875" s="134"/>
      <c r="J875" s="134"/>
      <c r="K875" s="134"/>
      <c r="L875" s="136"/>
      <c r="M875" s="137"/>
      <c r="N875" s="138"/>
    </row>
    <row r="876" spans="2:14" x14ac:dyDescent="0.25">
      <c r="B876" s="144"/>
      <c r="C876" s="139"/>
      <c r="D876" s="140"/>
      <c r="E876" s="140"/>
      <c r="F876" s="141"/>
      <c r="G876" s="142"/>
      <c r="H876" s="125"/>
      <c r="I876" s="125"/>
      <c r="J876" s="125"/>
      <c r="K876" s="125"/>
      <c r="L876" s="127"/>
      <c r="M876" s="143"/>
      <c r="N876" s="129"/>
    </row>
    <row r="877" spans="2:14" x14ac:dyDescent="0.25">
      <c r="B877" s="130"/>
      <c r="C877" s="131"/>
      <c r="D877" s="132"/>
      <c r="E877" s="132"/>
      <c r="F877" s="133"/>
      <c r="G877" s="134"/>
      <c r="H877" s="134"/>
      <c r="I877" s="134"/>
      <c r="J877" s="134"/>
      <c r="K877" s="134"/>
      <c r="L877" s="136"/>
      <c r="M877" s="137"/>
      <c r="N877" s="138"/>
    </row>
    <row r="878" spans="2:14" x14ac:dyDescent="0.25">
      <c r="B878" s="144"/>
      <c r="C878" s="139"/>
      <c r="D878" s="140"/>
      <c r="E878" s="140"/>
      <c r="F878" s="141"/>
      <c r="G878" s="142"/>
      <c r="H878" s="125"/>
      <c r="I878" s="125"/>
      <c r="J878" s="125"/>
      <c r="K878" s="125"/>
      <c r="L878" s="127"/>
      <c r="M878" s="143"/>
      <c r="N878" s="129"/>
    </row>
    <row r="879" spans="2:14" x14ac:dyDescent="0.25">
      <c r="B879" s="130"/>
      <c r="C879" s="131"/>
      <c r="D879" s="132"/>
      <c r="E879" s="132"/>
      <c r="F879" s="133"/>
      <c r="G879" s="134"/>
      <c r="H879" s="134"/>
      <c r="I879" s="134"/>
      <c r="J879" s="134"/>
      <c r="K879" s="134"/>
      <c r="L879" s="136"/>
      <c r="M879" s="137"/>
      <c r="N879" s="138"/>
    </row>
    <row r="880" spans="2:14" x14ac:dyDescent="0.25">
      <c r="B880" s="144"/>
      <c r="C880" s="139"/>
      <c r="D880" s="140"/>
      <c r="E880" s="140"/>
      <c r="F880" s="141"/>
      <c r="G880" s="142"/>
      <c r="H880" s="125"/>
      <c r="I880" s="125"/>
      <c r="J880" s="125"/>
      <c r="K880" s="125"/>
      <c r="L880" s="127"/>
      <c r="M880" s="143"/>
      <c r="N880" s="129"/>
    </row>
    <row r="881" spans="2:14" x14ac:dyDescent="0.25">
      <c r="B881" s="130"/>
      <c r="C881" s="131"/>
      <c r="D881" s="132"/>
      <c r="E881" s="132"/>
      <c r="F881" s="133"/>
      <c r="G881" s="134"/>
      <c r="H881" s="134"/>
      <c r="I881" s="134"/>
      <c r="J881" s="134"/>
      <c r="K881" s="134"/>
      <c r="L881" s="136"/>
      <c r="M881" s="137"/>
      <c r="N881" s="138"/>
    </row>
    <row r="882" spans="2:14" x14ac:dyDescent="0.25">
      <c r="B882" s="144"/>
      <c r="C882" s="139"/>
      <c r="D882" s="140"/>
      <c r="E882" s="140"/>
      <c r="F882" s="141"/>
      <c r="G882" s="142"/>
      <c r="H882" s="125"/>
      <c r="I882" s="125"/>
      <c r="J882" s="125"/>
      <c r="K882" s="125"/>
      <c r="L882" s="127"/>
      <c r="M882" s="143"/>
      <c r="N882" s="129"/>
    </row>
    <row r="883" spans="2:14" x14ac:dyDescent="0.25">
      <c r="B883" s="130"/>
      <c r="C883" s="131"/>
      <c r="D883" s="132"/>
      <c r="E883" s="132"/>
      <c r="F883" s="133"/>
      <c r="G883" s="134"/>
      <c r="H883" s="134"/>
      <c r="I883" s="134"/>
      <c r="J883" s="134"/>
      <c r="K883" s="134"/>
      <c r="L883" s="136"/>
      <c r="M883" s="137"/>
      <c r="N883" s="138"/>
    </row>
    <row r="884" spans="2:14" x14ac:dyDescent="0.25">
      <c r="B884" s="144"/>
      <c r="C884" s="139"/>
      <c r="D884" s="140"/>
      <c r="E884" s="140"/>
      <c r="F884" s="141"/>
      <c r="G884" s="142"/>
      <c r="H884" s="125"/>
      <c r="I884" s="125"/>
      <c r="J884" s="125"/>
      <c r="K884" s="125"/>
      <c r="L884" s="127"/>
      <c r="M884" s="143"/>
      <c r="N884" s="129"/>
    </row>
    <row r="885" spans="2:14" x14ac:dyDescent="0.25">
      <c r="B885" s="130"/>
      <c r="C885" s="131"/>
      <c r="D885" s="132"/>
      <c r="E885" s="132"/>
      <c r="F885" s="133"/>
      <c r="G885" s="134"/>
      <c r="H885" s="134"/>
      <c r="I885" s="134"/>
      <c r="J885" s="134"/>
      <c r="K885" s="134"/>
      <c r="L885" s="136"/>
      <c r="M885" s="137"/>
      <c r="N885" s="138"/>
    </row>
    <row r="886" spans="2:14" x14ac:dyDescent="0.25">
      <c r="B886" s="144"/>
      <c r="C886" s="139"/>
      <c r="D886" s="140"/>
      <c r="E886" s="140"/>
      <c r="F886" s="141"/>
      <c r="G886" s="142"/>
      <c r="H886" s="125"/>
      <c r="I886" s="125"/>
      <c r="J886" s="125"/>
      <c r="K886" s="125"/>
      <c r="L886" s="127"/>
      <c r="M886" s="143"/>
      <c r="N886" s="129"/>
    </row>
    <row r="887" spans="2:14" x14ac:dyDescent="0.25">
      <c r="B887" s="130"/>
      <c r="C887" s="131"/>
      <c r="D887" s="132"/>
      <c r="E887" s="132"/>
      <c r="F887" s="133"/>
      <c r="G887" s="134"/>
      <c r="H887" s="134"/>
      <c r="I887" s="134"/>
      <c r="J887" s="134"/>
      <c r="K887" s="134"/>
      <c r="L887" s="136"/>
      <c r="M887" s="137"/>
      <c r="N887" s="138"/>
    </row>
    <row r="888" spans="2:14" x14ac:dyDescent="0.25">
      <c r="B888" s="144"/>
      <c r="C888" s="139"/>
      <c r="D888" s="140"/>
      <c r="E888" s="140"/>
      <c r="F888" s="141"/>
      <c r="G888" s="142"/>
      <c r="H888" s="125"/>
      <c r="I888" s="125"/>
      <c r="J888" s="125"/>
      <c r="K888" s="125"/>
      <c r="L888" s="127"/>
      <c r="M888" s="143"/>
      <c r="N888" s="129"/>
    </row>
    <row r="889" spans="2:14" x14ac:dyDescent="0.25">
      <c r="B889" s="130"/>
      <c r="C889" s="131"/>
      <c r="D889" s="132"/>
      <c r="E889" s="132"/>
      <c r="F889" s="133"/>
      <c r="G889" s="134"/>
      <c r="H889" s="134"/>
      <c r="I889" s="134"/>
      <c r="J889" s="134"/>
      <c r="K889" s="134"/>
      <c r="L889" s="136"/>
      <c r="M889" s="137"/>
      <c r="N889" s="138"/>
    </row>
    <row r="890" spans="2:14" x14ac:dyDescent="0.25">
      <c r="B890" s="144"/>
      <c r="C890" s="139"/>
      <c r="D890" s="140"/>
      <c r="E890" s="140"/>
      <c r="F890" s="141"/>
      <c r="G890" s="142"/>
      <c r="H890" s="125"/>
      <c r="I890" s="125"/>
      <c r="J890" s="125"/>
      <c r="K890" s="125"/>
      <c r="L890" s="127"/>
      <c r="M890" s="143"/>
      <c r="N890" s="129"/>
    </row>
    <row r="891" spans="2:14" x14ac:dyDescent="0.25">
      <c r="B891" s="130"/>
      <c r="C891" s="131"/>
      <c r="D891" s="132"/>
      <c r="E891" s="132"/>
      <c r="F891" s="133"/>
      <c r="G891" s="134"/>
      <c r="H891" s="134"/>
      <c r="I891" s="134"/>
      <c r="J891" s="134"/>
      <c r="K891" s="134"/>
      <c r="L891" s="136"/>
      <c r="M891" s="137"/>
      <c r="N891" s="138"/>
    </row>
    <row r="892" spans="2:14" x14ac:dyDescent="0.25">
      <c r="B892" s="144"/>
      <c r="C892" s="139"/>
      <c r="D892" s="140"/>
      <c r="E892" s="140"/>
      <c r="F892" s="141"/>
      <c r="G892" s="142"/>
      <c r="H892" s="125"/>
      <c r="I892" s="125"/>
      <c r="J892" s="125"/>
      <c r="K892" s="125"/>
      <c r="L892" s="127"/>
      <c r="M892" s="143"/>
      <c r="N892" s="129"/>
    </row>
    <row r="893" spans="2:14" x14ac:dyDescent="0.25">
      <c r="B893" s="130"/>
      <c r="C893" s="131"/>
      <c r="D893" s="132"/>
      <c r="E893" s="132"/>
      <c r="F893" s="133"/>
      <c r="G893" s="134"/>
      <c r="H893" s="134"/>
      <c r="I893" s="134"/>
      <c r="J893" s="134"/>
      <c r="K893" s="134"/>
      <c r="L893" s="136"/>
      <c r="M893" s="137"/>
      <c r="N893" s="138"/>
    </row>
    <row r="894" spans="2:14" x14ac:dyDescent="0.25">
      <c r="B894" s="144"/>
      <c r="C894" s="139"/>
      <c r="D894" s="140"/>
      <c r="E894" s="140"/>
      <c r="F894" s="141"/>
      <c r="G894" s="142"/>
      <c r="H894" s="125"/>
      <c r="I894" s="125"/>
      <c r="J894" s="125"/>
      <c r="K894" s="125"/>
      <c r="L894" s="127"/>
      <c r="M894" s="143"/>
      <c r="N894" s="129"/>
    </row>
    <row r="895" spans="2:14" x14ac:dyDescent="0.25">
      <c r="B895" s="130"/>
      <c r="C895" s="131"/>
      <c r="D895" s="132"/>
      <c r="E895" s="132"/>
      <c r="F895" s="133"/>
      <c r="G895" s="134"/>
      <c r="H895" s="134"/>
      <c r="I895" s="134"/>
      <c r="J895" s="134"/>
      <c r="K895" s="134"/>
      <c r="L895" s="136"/>
      <c r="M895" s="137"/>
      <c r="N895" s="138"/>
    </row>
    <row r="896" spans="2:14" x14ac:dyDescent="0.25">
      <c r="B896" s="144"/>
      <c r="C896" s="139"/>
      <c r="D896" s="140"/>
      <c r="E896" s="140"/>
      <c r="F896" s="141"/>
      <c r="G896" s="142"/>
      <c r="H896" s="125"/>
      <c r="I896" s="125"/>
      <c r="J896" s="125"/>
      <c r="K896" s="125"/>
      <c r="L896" s="127"/>
      <c r="M896" s="143"/>
      <c r="N896" s="129"/>
    </row>
    <row r="897" spans="2:14" x14ac:dyDescent="0.25">
      <c r="B897" s="130"/>
      <c r="C897" s="131"/>
      <c r="D897" s="132"/>
      <c r="E897" s="132"/>
      <c r="F897" s="133"/>
      <c r="G897" s="134"/>
      <c r="H897" s="134"/>
      <c r="I897" s="134"/>
      <c r="J897" s="134"/>
      <c r="K897" s="134"/>
      <c r="L897" s="136"/>
      <c r="M897" s="137"/>
      <c r="N897" s="138"/>
    </row>
    <row r="898" spans="2:14" x14ac:dyDescent="0.25">
      <c r="B898" s="144"/>
      <c r="C898" s="139"/>
      <c r="D898" s="140"/>
      <c r="E898" s="140"/>
      <c r="F898" s="141"/>
      <c r="G898" s="142"/>
      <c r="H898" s="125"/>
      <c r="I898" s="125"/>
      <c r="J898" s="125"/>
      <c r="K898" s="125"/>
      <c r="L898" s="127"/>
      <c r="M898" s="143"/>
      <c r="N898" s="129"/>
    </row>
    <row r="899" spans="2:14" x14ac:dyDescent="0.25">
      <c r="B899" s="130"/>
      <c r="C899" s="131"/>
      <c r="D899" s="132"/>
      <c r="E899" s="132"/>
      <c r="F899" s="133"/>
      <c r="G899" s="134"/>
      <c r="H899" s="134"/>
      <c r="I899" s="134"/>
      <c r="J899" s="134"/>
      <c r="K899" s="134"/>
      <c r="L899" s="136"/>
      <c r="M899" s="137"/>
      <c r="N899" s="138"/>
    </row>
    <row r="900" spans="2:14" x14ac:dyDescent="0.25">
      <c r="B900" s="144"/>
      <c r="C900" s="139"/>
      <c r="D900" s="140"/>
      <c r="E900" s="140"/>
      <c r="F900" s="141"/>
      <c r="G900" s="142"/>
      <c r="H900" s="125"/>
      <c r="I900" s="125"/>
      <c r="J900" s="125"/>
      <c r="K900" s="125"/>
      <c r="L900" s="127"/>
      <c r="M900" s="143"/>
      <c r="N900" s="129"/>
    </row>
    <row r="901" spans="2:14" x14ac:dyDescent="0.25">
      <c r="B901" s="130"/>
      <c r="C901" s="131"/>
      <c r="D901" s="132"/>
      <c r="E901" s="132"/>
      <c r="F901" s="133"/>
      <c r="G901" s="134"/>
      <c r="H901" s="134"/>
      <c r="I901" s="134"/>
      <c r="J901" s="134"/>
      <c r="K901" s="134"/>
      <c r="L901" s="136"/>
      <c r="M901" s="137"/>
      <c r="N901" s="138"/>
    </row>
    <row r="902" spans="2:14" x14ac:dyDescent="0.25">
      <c r="B902" s="144"/>
      <c r="C902" s="139"/>
      <c r="D902" s="140"/>
      <c r="E902" s="140"/>
      <c r="F902" s="141"/>
      <c r="G902" s="142"/>
      <c r="H902" s="125"/>
      <c r="I902" s="125"/>
      <c r="J902" s="125"/>
      <c r="K902" s="125"/>
      <c r="L902" s="127"/>
      <c r="M902" s="143"/>
      <c r="N902" s="129"/>
    </row>
    <row r="903" spans="2:14" x14ac:dyDescent="0.25">
      <c r="B903" s="130"/>
      <c r="C903" s="131"/>
      <c r="D903" s="132"/>
      <c r="E903" s="132"/>
      <c r="F903" s="133"/>
      <c r="G903" s="134"/>
      <c r="H903" s="134"/>
      <c r="I903" s="134"/>
      <c r="J903" s="134"/>
      <c r="K903" s="134"/>
      <c r="L903" s="136"/>
      <c r="M903" s="137"/>
      <c r="N903" s="138"/>
    </row>
    <row r="904" spans="2:14" x14ac:dyDescent="0.25">
      <c r="B904" s="144"/>
      <c r="C904" s="139"/>
      <c r="D904" s="140"/>
      <c r="E904" s="140"/>
      <c r="F904" s="141"/>
      <c r="G904" s="142"/>
      <c r="H904" s="125"/>
      <c r="I904" s="125"/>
      <c r="J904" s="125"/>
      <c r="K904" s="125"/>
      <c r="L904" s="127"/>
      <c r="M904" s="143"/>
      <c r="N904" s="129"/>
    </row>
    <row r="905" spans="2:14" x14ac:dyDescent="0.25">
      <c r="B905" s="130"/>
      <c r="C905" s="131"/>
      <c r="D905" s="132"/>
      <c r="E905" s="132"/>
      <c r="F905" s="133"/>
      <c r="G905" s="134"/>
      <c r="H905" s="134"/>
      <c r="I905" s="134"/>
      <c r="J905" s="134"/>
      <c r="K905" s="134"/>
      <c r="L905" s="136"/>
      <c r="M905" s="137"/>
      <c r="N905" s="138"/>
    </row>
    <row r="906" spans="2:14" x14ac:dyDescent="0.25">
      <c r="B906" s="144"/>
      <c r="C906" s="139"/>
      <c r="D906" s="140"/>
      <c r="E906" s="140"/>
      <c r="F906" s="141"/>
      <c r="G906" s="142"/>
      <c r="H906" s="125"/>
      <c r="I906" s="125"/>
      <c r="J906" s="125"/>
      <c r="K906" s="125"/>
      <c r="L906" s="127"/>
      <c r="M906" s="143"/>
      <c r="N906" s="129"/>
    </row>
    <row r="907" spans="2:14" x14ac:dyDescent="0.25">
      <c r="B907" s="130"/>
      <c r="C907" s="131"/>
      <c r="D907" s="132"/>
      <c r="E907" s="132"/>
      <c r="F907" s="133"/>
      <c r="G907" s="134"/>
      <c r="H907" s="134"/>
      <c r="I907" s="134"/>
      <c r="J907" s="134"/>
      <c r="K907" s="134"/>
      <c r="L907" s="136"/>
      <c r="M907" s="137"/>
      <c r="N907" s="138"/>
    </row>
    <row r="908" spans="2:14" x14ac:dyDescent="0.25">
      <c r="B908" s="144"/>
      <c r="C908" s="139"/>
      <c r="D908" s="140"/>
      <c r="E908" s="140"/>
      <c r="F908" s="141"/>
      <c r="G908" s="142"/>
      <c r="H908" s="125"/>
      <c r="I908" s="125"/>
      <c r="J908" s="125"/>
      <c r="K908" s="125"/>
      <c r="L908" s="127"/>
      <c r="M908" s="143"/>
      <c r="N908" s="129"/>
    </row>
    <row r="909" spans="2:14" x14ac:dyDescent="0.25">
      <c r="B909" s="130"/>
      <c r="C909" s="131"/>
      <c r="D909" s="132"/>
      <c r="E909" s="132"/>
      <c r="F909" s="133"/>
      <c r="G909" s="134"/>
      <c r="H909" s="134"/>
      <c r="I909" s="134"/>
      <c r="J909" s="134"/>
      <c r="K909" s="134"/>
      <c r="L909" s="136"/>
      <c r="M909" s="137"/>
      <c r="N909" s="138"/>
    </row>
    <row r="910" spans="2:14" x14ac:dyDescent="0.25">
      <c r="B910" s="144"/>
      <c r="C910" s="139"/>
      <c r="D910" s="140"/>
      <c r="E910" s="140"/>
      <c r="F910" s="141"/>
      <c r="G910" s="142"/>
      <c r="H910" s="125"/>
      <c r="I910" s="125"/>
      <c r="J910" s="125"/>
      <c r="K910" s="125"/>
      <c r="L910" s="127"/>
      <c r="M910" s="143"/>
      <c r="N910" s="129"/>
    </row>
    <row r="911" spans="2:14" x14ac:dyDescent="0.25">
      <c r="B911" s="130"/>
      <c r="C911" s="131"/>
      <c r="D911" s="132"/>
      <c r="E911" s="132"/>
      <c r="F911" s="133"/>
      <c r="G911" s="134"/>
      <c r="H911" s="134"/>
      <c r="I911" s="134"/>
      <c r="J911" s="134"/>
      <c r="K911" s="134"/>
      <c r="L911" s="136"/>
      <c r="M911" s="137"/>
      <c r="N911" s="138"/>
    </row>
    <row r="912" spans="2:14" x14ac:dyDescent="0.25">
      <c r="B912" s="144"/>
      <c r="C912" s="139"/>
      <c r="D912" s="140"/>
      <c r="E912" s="140"/>
      <c r="F912" s="141"/>
      <c r="G912" s="142"/>
      <c r="H912" s="125"/>
      <c r="I912" s="125"/>
      <c r="J912" s="125"/>
      <c r="K912" s="125"/>
      <c r="L912" s="127"/>
      <c r="M912" s="143"/>
      <c r="N912" s="129"/>
    </row>
    <row r="913" spans="2:14" x14ac:dyDescent="0.25">
      <c r="B913" s="130"/>
      <c r="C913" s="131"/>
      <c r="D913" s="132"/>
      <c r="E913" s="132"/>
      <c r="F913" s="133"/>
      <c r="G913" s="134"/>
      <c r="H913" s="134"/>
      <c r="I913" s="134"/>
      <c r="J913" s="134"/>
      <c r="K913" s="134"/>
      <c r="L913" s="136"/>
      <c r="M913" s="137"/>
      <c r="N913" s="138"/>
    </row>
    <row r="914" spans="2:14" x14ac:dyDescent="0.25">
      <c r="B914" s="144"/>
      <c r="C914" s="139"/>
      <c r="D914" s="140"/>
      <c r="E914" s="140"/>
      <c r="F914" s="141"/>
      <c r="G914" s="142"/>
      <c r="H914" s="125"/>
      <c r="I914" s="125"/>
      <c r="J914" s="125"/>
      <c r="K914" s="125"/>
      <c r="L914" s="127"/>
      <c r="M914" s="143"/>
      <c r="N914" s="129"/>
    </row>
    <row r="915" spans="2:14" x14ac:dyDescent="0.25">
      <c r="B915" s="130"/>
      <c r="C915" s="131"/>
      <c r="D915" s="132"/>
      <c r="E915" s="132"/>
      <c r="F915" s="133"/>
      <c r="G915" s="134"/>
      <c r="H915" s="134"/>
      <c r="I915" s="134"/>
      <c r="J915" s="134"/>
      <c r="K915" s="134"/>
      <c r="L915" s="136"/>
      <c r="M915" s="137"/>
      <c r="N915" s="138"/>
    </row>
    <row r="916" spans="2:14" x14ac:dyDescent="0.25">
      <c r="B916" s="144"/>
      <c r="C916" s="139"/>
      <c r="D916" s="140"/>
      <c r="E916" s="140"/>
      <c r="F916" s="141"/>
      <c r="G916" s="142"/>
      <c r="H916" s="125"/>
      <c r="I916" s="125"/>
      <c r="J916" s="125"/>
      <c r="K916" s="125"/>
      <c r="L916" s="127"/>
      <c r="M916" s="143"/>
      <c r="N916" s="129"/>
    </row>
    <row r="917" spans="2:14" x14ac:dyDescent="0.25">
      <c r="B917" s="130"/>
      <c r="C917" s="131"/>
      <c r="D917" s="132"/>
      <c r="E917" s="132"/>
      <c r="F917" s="133"/>
      <c r="G917" s="134"/>
      <c r="H917" s="134"/>
      <c r="I917" s="134"/>
      <c r="J917" s="134"/>
      <c r="K917" s="134"/>
      <c r="L917" s="136"/>
      <c r="M917" s="137"/>
      <c r="N917" s="138"/>
    </row>
    <row r="918" spans="2:14" x14ac:dyDescent="0.25">
      <c r="B918" s="144"/>
      <c r="C918" s="139"/>
      <c r="D918" s="140"/>
      <c r="E918" s="140"/>
      <c r="F918" s="141"/>
      <c r="G918" s="142"/>
      <c r="H918" s="125"/>
      <c r="I918" s="125"/>
      <c r="J918" s="125"/>
      <c r="K918" s="125"/>
      <c r="L918" s="127"/>
      <c r="M918" s="143"/>
      <c r="N918" s="129"/>
    </row>
    <row r="919" spans="2:14" x14ac:dyDescent="0.25">
      <c r="B919" s="130"/>
      <c r="C919" s="131"/>
      <c r="D919" s="132"/>
      <c r="E919" s="132"/>
      <c r="F919" s="133"/>
      <c r="G919" s="134"/>
      <c r="H919" s="134"/>
      <c r="I919" s="134"/>
      <c r="J919" s="134"/>
      <c r="K919" s="134"/>
      <c r="L919" s="136"/>
      <c r="M919" s="137"/>
      <c r="N919" s="138"/>
    </row>
    <row r="920" spans="2:14" x14ac:dyDescent="0.25">
      <c r="B920" s="144"/>
      <c r="C920" s="139"/>
      <c r="D920" s="140"/>
      <c r="E920" s="140"/>
      <c r="F920" s="141"/>
      <c r="G920" s="142"/>
      <c r="H920" s="125"/>
      <c r="I920" s="125"/>
      <c r="J920" s="125"/>
      <c r="K920" s="125"/>
      <c r="L920" s="127"/>
      <c r="M920" s="143"/>
      <c r="N920" s="129"/>
    </row>
    <row r="921" spans="2:14" x14ac:dyDescent="0.25">
      <c r="B921" s="130"/>
      <c r="C921" s="131"/>
      <c r="D921" s="132"/>
      <c r="E921" s="132"/>
      <c r="F921" s="133"/>
      <c r="G921" s="134"/>
      <c r="H921" s="134"/>
      <c r="I921" s="134"/>
      <c r="J921" s="134"/>
      <c r="K921" s="134"/>
      <c r="L921" s="136"/>
      <c r="M921" s="137"/>
      <c r="N921" s="138"/>
    </row>
    <row r="922" spans="2:14" x14ac:dyDescent="0.25">
      <c r="B922" s="144"/>
      <c r="C922" s="139"/>
      <c r="D922" s="140"/>
      <c r="E922" s="140"/>
      <c r="F922" s="141"/>
      <c r="G922" s="142"/>
      <c r="H922" s="125"/>
      <c r="I922" s="125"/>
      <c r="J922" s="125"/>
      <c r="K922" s="125"/>
      <c r="L922" s="127"/>
      <c r="M922" s="143"/>
      <c r="N922" s="129"/>
    </row>
    <row r="923" spans="2:14" x14ac:dyDescent="0.25">
      <c r="B923" s="130"/>
      <c r="C923" s="131"/>
      <c r="D923" s="132"/>
      <c r="E923" s="132"/>
      <c r="F923" s="133"/>
      <c r="G923" s="134"/>
      <c r="H923" s="134"/>
      <c r="I923" s="134"/>
      <c r="J923" s="134"/>
      <c r="K923" s="134"/>
      <c r="L923" s="136"/>
      <c r="M923" s="137"/>
      <c r="N923" s="138"/>
    </row>
    <row r="924" spans="2:14" x14ac:dyDescent="0.25">
      <c r="B924" s="144"/>
      <c r="C924" s="139"/>
      <c r="D924" s="140"/>
      <c r="E924" s="140"/>
      <c r="F924" s="141"/>
      <c r="G924" s="142"/>
      <c r="H924" s="125"/>
      <c r="I924" s="125"/>
      <c r="J924" s="125"/>
      <c r="K924" s="125"/>
      <c r="L924" s="127"/>
      <c r="M924" s="143"/>
      <c r="N924" s="129"/>
    </row>
    <row r="925" spans="2:14" x14ac:dyDescent="0.25">
      <c r="B925" s="130"/>
      <c r="C925" s="131"/>
      <c r="D925" s="132"/>
      <c r="E925" s="132"/>
      <c r="F925" s="133"/>
      <c r="G925" s="134"/>
      <c r="H925" s="134"/>
      <c r="I925" s="134"/>
      <c r="J925" s="134"/>
      <c r="K925" s="134"/>
      <c r="L925" s="136"/>
      <c r="M925" s="137"/>
      <c r="N925" s="138"/>
    </row>
    <row r="926" spans="2:14" x14ac:dyDescent="0.25">
      <c r="B926" s="144"/>
      <c r="C926" s="139"/>
      <c r="D926" s="140"/>
      <c r="E926" s="140"/>
      <c r="F926" s="141"/>
      <c r="G926" s="142"/>
      <c r="H926" s="125"/>
      <c r="I926" s="125"/>
      <c r="J926" s="125"/>
      <c r="K926" s="125"/>
      <c r="L926" s="127"/>
      <c r="M926" s="143"/>
      <c r="N926" s="129"/>
    </row>
    <row r="927" spans="2:14" x14ac:dyDescent="0.25">
      <c r="B927" s="130"/>
      <c r="C927" s="131"/>
      <c r="D927" s="132"/>
      <c r="E927" s="132"/>
      <c r="F927" s="133"/>
      <c r="G927" s="134"/>
      <c r="H927" s="134"/>
      <c r="I927" s="134"/>
      <c r="J927" s="134"/>
      <c r="K927" s="134"/>
      <c r="L927" s="136"/>
      <c r="M927" s="137"/>
      <c r="N927" s="138"/>
    </row>
    <row r="928" spans="2:14" x14ac:dyDescent="0.25">
      <c r="B928" s="144"/>
      <c r="C928" s="139"/>
      <c r="D928" s="140"/>
      <c r="E928" s="140"/>
      <c r="F928" s="141"/>
      <c r="G928" s="142"/>
      <c r="H928" s="125"/>
      <c r="I928" s="125"/>
      <c r="J928" s="125"/>
      <c r="K928" s="125"/>
      <c r="L928" s="127"/>
      <c r="M928" s="143"/>
      <c r="N928" s="129"/>
    </row>
    <row r="929" spans="2:14" x14ac:dyDescent="0.25">
      <c r="B929" s="130"/>
      <c r="C929" s="131"/>
      <c r="D929" s="132"/>
      <c r="E929" s="132"/>
      <c r="F929" s="133"/>
      <c r="G929" s="134"/>
      <c r="H929" s="134"/>
      <c r="I929" s="134"/>
      <c r="J929" s="134"/>
      <c r="K929" s="134"/>
      <c r="L929" s="136"/>
      <c r="M929" s="137"/>
      <c r="N929" s="138"/>
    </row>
    <row r="930" spans="2:14" x14ac:dyDescent="0.25">
      <c r="B930" s="144"/>
      <c r="C930" s="139"/>
      <c r="D930" s="140"/>
      <c r="E930" s="140"/>
      <c r="F930" s="141"/>
      <c r="G930" s="142"/>
      <c r="H930" s="125"/>
      <c r="I930" s="125"/>
      <c r="J930" s="125"/>
      <c r="K930" s="125"/>
      <c r="L930" s="127"/>
      <c r="M930" s="143"/>
      <c r="N930" s="129"/>
    </row>
    <row r="931" spans="2:14" x14ac:dyDescent="0.25">
      <c r="B931" s="130"/>
      <c r="C931" s="131"/>
      <c r="D931" s="132"/>
      <c r="E931" s="132"/>
      <c r="F931" s="133"/>
      <c r="G931" s="134"/>
      <c r="H931" s="134"/>
      <c r="I931" s="134"/>
      <c r="J931" s="134"/>
      <c r="K931" s="134"/>
      <c r="L931" s="136"/>
      <c r="M931" s="137"/>
      <c r="N931" s="138"/>
    </row>
    <row r="932" spans="2:14" x14ac:dyDescent="0.25">
      <c r="B932" s="144"/>
      <c r="C932" s="139"/>
      <c r="D932" s="140"/>
      <c r="E932" s="140"/>
      <c r="F932" s="141"/>
      <c r="G932" s="142"/>
      <c r="H932" s="125"/>
      <c r="I932" s="125"/>
      <c r="J932" s="125"/>
      <c r="K932" s="125"/>
      <c r="L932" s="127"/>
      <c r="M932" s="143"/>
      <c r="N932" s="129"/>
    </row>
    <row r="933" spans="2:14" x14ac:dyDescent="0.25">
      <c r="B933" s="130"/>
      <c r="C933" s="131"/>
      <c r="D933" s="132"/>
      <c r="E933" s="132"/>
      <c r="F933" s="133"/>
      <c r="G933" s="134"/>
      <c r="H933" s="134"/>
      <c r="I933" s="134"/>
      <c r="J933" s="134"/>
      <c r="K933" s="134"/>
      <c r="L933" s="136"/>
      <c r="M933" s="137"/>
      <c r="N933" s="138"/>
    </row>
    <row r="934" spans="2:14" x14ac:dyDescent="0.25">
      <c r="B934" s="144"/>
      <c r="C934" s="139"/>
      <c r="D934" s="140"/>
      <c r="E934" s="140"/>
      <c r="F934" s="141"/>
      <c r="G934" s="142"/>
      <c r="H934" s="125"/>
      <c r="I934" s="125"/>
      <c r="J934" s="125"/>
      <c r="K934" s="125"/>
      <c r="L934" s="127"/>
      <c r="M934" s="143"/>
      <c r="N934" s="129"/>
    </row>
    <row r="935" spans="2:14" x14ac:dyDescent="0.25">
      <c r="B935" s="130"/>
      <c r="C935" s="131"/>
      <c r="D935" s="132"/>
      <c r="E935" s="132"/>
      <c r="F935" s="133"/>
      <c r="G935" s="134"/>
      <c r="H935" s="134"/>
      <c r="I935" s="134"/>
      <c r="J935" s="134"/>
      <c r="K935" s="134"/>
      <c r="L935" s="136"/>
      <c r="M935" s="137"/>
      <c r="N935" s="138"/>
    </row>
    <row r="936" spans="2:14" x14ac:dyDescent="0.25">
      <c r="B936" s="144"/>
      <c r="C936" s="139"/>
      <c r="D936" s="140"/>
      <c r="E936" s="140"/>
      <c r="F936" s="141"/>
      <c r="G936" s="142"/>
      <c r="H936" s="125"/>
      <c r="I936" s="125"/>
      <c r="J936" s="125"/>
      <c r="K936" s="125"/>
      <c r="L936" s="127"/>
      <c r="M936" s="143"/>
      <c r="N936" s="129"/>
    </row>
    <row r="937" spans="2:14" x14ac:dyDescent="0.25">
      <c r="B937" s="130"/>
      <c r="C937" s="131"/>
      <c r="D937" s="132"/>
      <c r="E937" s="132"/>
      <c r="F937" s="133"/>
      <c r="G937" s="134"/>
      <c r="H937" s="134"/>
      <c r="I937" s="134"/>
      <c r="J937" s="134"/>
      <c r="K937" s="134"/>
      <c r="L937" s="136"/>
      <c r="M937" s="137"/>
      <c r="N937" s="138"/>
    </row>
    <row r="938" spans="2:14" x14ac:dyDescent="0.25">
      <c r="B938" s="144"/>
      <c r="C938" s="139"/>
      <c r="D938" s="140"/>
      <c r="E938" s="140"/>
      <c r="F938" s="141"/>
      <c r="G938" s="142"/>
      <c r="H938" s="125"/>
      <c r="I938" s="125"/>
      <c r="J938" s="125"/>
      <c r="K938" s="125"/>
      <c r="L938" s="127"/>
      <c r="M938" s="143"/>
      <c r="N938" s="129"/>
    </row>
    <row r="939" spans="2:14" x14ac:dyDescent="0.25">
      <c r="B939" s="130"/>
      <c r="C939" s="131"/>
      <c r="D939" s="132"/>
      <c r="E939" s="132"/>
      <c r="F939" s="133"/>
      <c r="G939" s="134"/>
      <c r="H939" s="134"/>
      <c r="I939" s="134"/>
      <c r="J939" s="134"/>
      <c r="K939" s="134"/>
      <c r="L939" s="136"/>
      <c r="M939" s="137"/>
      <c r="N939" s="138"/>
    </row>
    <row r="940" spans="2:14" x14ac:dyDescent="0.25">
      <c r="B940" s="144"/>
      <c r="C940" s="139"/>
      <c r="D940" s="140"/>
      <c r="E940" s="140"/>
      <c r="F940" s="141"/>
      <c r="G940" s="142"/>
      <c r="H940" s="125"/>
      <c r="I940" s="125"/>
      <c r="J940" s="125"/>
      <c r="K940" s="125"/>
      <c r="L940" s="127"/>
      <c r="M940" s="143"/>
      <c r="N940" s="129"/>
    </row>
    <row r="941" spans="2:14" x14ac:dyDescent="0.25">
      <c r="B941" s="130"/>
      <c r="C941" s="131"/>
      <c r="D941" s="132"/>
      <c r="E941" s="132"/>
      <c r="F941" s="133"/>
      <c r="G941" s="134"/>
      <c r="H941" s="134"/>
      <c r="I941" s="134"/>
      <c r="J941" s="134"/>
      <c r="K941" s="134"/>
      <c r="L941" s="136"/>
      <c r="M941" s="137"/>
      <c r="N941" s="138"/>
    </row>
    <row r="942" spans="2:14" x14ac:dyDescent="0.25">
      <c r="B942" s="144"/>
      <c r="C942" s="139"/>
      <c r="D942" s="140"/>
      <c r="E942" s="140"/>
      <c r="F942" s="141"/>
      <c r="G942" s="142"/>
      <c r="H942" s="125"/>
      <c r="I942" s="125"/>
      <c r="J942" s="125"/>
      <c r="K942" s="125"/>
      <c r="L942" s="127"/>
      <c r="M942" s="143"/>
      <c r="N942" s="129"/>
    </row>
    <row r="943" spans="2:14" x14ac:dyDescent="0.25">
      <c r="B943" s="130"/>
      <c r="C943" s="131"/>
      <c r="D943" s="132"/>
      <c r="E943" s="132"/>
      <c r="F943" s="133"/>
      <c r="G943" s="134"/>
      <c r="H943" s="134"/>
      <c r="I943" s="134"/>
      <c r="J943" s="134"/>
      <c r="K943" s="134"/>
      <c r="L943" s="136"/>
      <c r="M943" s="137"/>
      <c r="N943" s="138"/>
    </row>
    <row r="944" spans="2:14" x14ac:dyDescent="0.25">
      <c r="B944" s="144"/>
      <c r="C944" s="139"/>
      <c r="D944" s="140"/>
      <c r="E944" s="140"/>
      <c r="F944" s="141"/>
      <c r="G944" s="142"/>
      <c r="H944" s="125"/>
      <c r="I944" s="125"/>
      <c r="J944" s="125"/>
      <c r="K944" s="125"/>
      <c r="L944" s="127"/>
      <c r="M944" s="143"/>
      <c r="N944" s="129"/>
    </row>
    <row r="945" spans="2:14" x14ac:dyDescent="0.25">
      <c r="B945" s="130"/>
      <c r="C945" s="131"/>
      <c r="D945" s="132"/>
      <c r="E945" s="132"/>
      <c r="F945" s="133"/>
      <c r="G945" s="134"/>
      <c r="H945" s="134"/>
      <c r="I945" s="134"/>
      <c r="J945" s="134"/>
      <c r="K945" s="134"/>
      <c r="L945" s="136"/>
      <c r="M945" s="137"/>
      <c r="N945" s="138"/>
    </row>
    <row r="946" spans="2:14" x14ac:dyDescent="0.25">
      <c r="B946" s="144"/>
      <c r="C946" s="139"/>
      <c r="D946" s="140"/>
      <c r="E946" s="140"/>
      <c r="F946" s="141"/>
      <c r="G946" s="142"/>
      <c r="H946" s="125"/>
      <c r="I946" s="125"/>
      <c r="J946" s="125"/>
      <c r="K946" s="125"/>
      <c r="L946" s="127"/>
      <c r="M946" s="143"/>
      <c r="N946" s="129"/>
    </row>
    <row r="947" spans="2:14" x14ac:dyDescent="0.25">
      <c r="B947" s="130"/>
      <c r="C947" s="131"/>
      <c r="D947" s="132"/>
      <c r="E947" s="132"/>
      <c r="F947" s="133"/>
      <c r="G947" s="134"/>
      <c r="H947" s="134"/>
      <c r="I947" s="134"/>
      <c r="J947" s="134"/>
      <c r="K947" s="134"/>
      <c r="L947" s="136"/>
      <c r="M947" s="137"/>
      <c r="N947" s="138"/>
    </row>
    <row r="948" spans="2:14" x14ac:dyDescent="0.25">
      <c r="B948" s="144"/>
      <c r="C948" s="139"/>
      <c r="D948" s="140"/>
      <c r="E948" s="140"/>
      <c r="F948" s="141"/>
      <c r="G948" s="142"/>
      <c r="H948" s="125"/>
      <c r="I948" s="125"/>
      <c r="J948" s="125"/>
      <c r="K948" s="125"/>
      <c r="L948" s="127"/>
      <c r="M948" s="143"/>
      <c r="N948" s="129"/>
    </row>
    <row r="949" spans="2:14" x14ac:dyDescent="0.25">
      <c r="B949" s="130"/>
      <c r="C949" s="131"/>
      <c r="D949" s="132"/>
      <c r="E949" s="132"/>
      <c r="F949" s="133"/>
      <c r="G949" s="134"/>
      <c r="H949" s="134"/>
      <c r="I949" s="134"/>
      <c r="J949" s="134"/>
      <c r="K949" s="134"/>
      <c r="L949" s="136"/>
      <c r="M949" s="137"/>
      <c r="N949" s="138"/>
    </row>
    <row r="950" spans="2:14" x14ac:dyDescent="0.25">
      <c r="B950" s="144"/>
      <c r="C950" s="139"/>
      <c r="D950" s="140"/>
      <c r="E950" s="140"/>
      <c r="F950" s="141"/>
      <c r="G950" s="142"/>
      <c r="H950" s="125"/>
      <c r="I950" s="125"/>
      <c r="J950" s="125"/>
      <c r="K950" s="125"/>
      <c r="L950" s="127"/>
      <c r="M950" s="143"/>
      <c r="N950" s="129"/>
    </row>
    <row r="951" spans="2:14" x14ac:dyDescent="0.25">
      <c r="B951" s="130"/>
      <c r="C951" s="131"/>
      <c r="D951" s="132"/>
      <c r="E951" s="132"/>
      <c r="F951" s="133"/>
      <c r="G951" s="134"/>
      <c r="H951" s="134"/>
      <c r="I951" s="134"/>
      <c r="J951" s="134"/>
      <c r="K951" s="134"/>
      <c r="L951" s="136"/>
      <c r="M951" s="137"/>
      <c r="N951" s="138"/>
    </row>
    <row r="952" spans="2:14" x14ac:dyDescent="0.25">
      <c r="B952" s="144"/>
      <c r="C952" s="139"/>
      <c r="D952" s="140"/>
      <c r="E952" s="140"/>
      <c r="F952" s="141"/>
      <c r="G952" s="142"/>
      <c r="H952" s="125"/>
      <c r="I952" s="125"/>
      <c r="J952" s="125"/>
      <c r="K952" s="125"/>
      <c r="L952" s="127"/>
      <c r="M952" s="143"/>
      <c r="N952" s="129"/>
    </row>
    <row r="953" spans="2:14" x14ac:dyDescent="0.25">
      <c r="B953" s="130"/>
      <c r="C953" s="131"/>
      <c r="D953" s="132"/>
      <c r="E953" s="132"/>
      <c r="F953" s="133"/>
      <c r="G953" s="134"/>
      <c r="H953" s="134"/>
      <c r="I953" s="134"/>
      <c r="J953" s="134"/>
      <c r="K953" s="134"/>
      <c r="L953" s="136"/>
      <c r="M953" s="137"/>
      <c r="N953" s="138"/>
    </row>
    <row r="954" spans="2:14" x14ac:dyDescent="0.25">
      <c r="B954" s="144"/>
      <c r="C954" s="139"/>
      <c r="D954" s="140"/>
      <c r="E954" s="140"/>
      <c r="F954" s="141"/>
      <c r="G954" s="142"/>
      <c r="H954" s="125"/>
      <c r="I954" s="125"/>
      <c r="J954" s="125"/>
      <c r="K954" s="125"/>
      <c r="L954" s="127"/>
      <c r="M954" s="143"/>
      <c r="N954" s="129"/>
    </row>
    <row r="955" spans="2:14" x14ac:dyDescent="0.25">
      <c r="B955" s="130"/>
      <c r="C955" s="131"/>
      <c r="D955" s="132"/>
      <c r="E955" s="132"/>
      <c r="F955" s="133"/>
      <c r="G955" s="134"/>
      <c r="H955" s="134"/>
      <c r="I955" s="134"/>
      <c r="J955" s="134"/>
      <c r="K955" s="134"/>
      <c r="L955" s="136"/>
      <c r="M955" s="137"/>
      <c r="N955" s="138"/>
    </row>
    <row r="956" spans="2:14" x14ac:dyDescent="0.25">
      <c r="B956" s="144"/>
      <c r="C956" s="139"/>
      <c r="D956" s="140"/>
      <c r="E956" s="140"/>
      <c r="F956" s="141"/>
      <c r="G956" s="142"/>
      <c r="H956" s="125"/>
      <c r="I956" s="125"/>
      <c r="J956" s="125"/>
      <c r="K956" s="125"/>
      <c r="L956" s="127"/>
      <c r="M956" s="143"/>
      <c r="N956" s="129"/>
    </row>
    <row r="957" spans="2:14" x14ac:dyDescent="0.25">
      <c r="B957" s="130"/>
      <c r="C957" s="131"/>
      <c r="D957" s="132"/>
      <c r="E957" s="132"/>
      <c r="F957" s="133"/>
      <c r="G957" s="134"/>
      <c r="H957" s="134"/>
      <c r="I957" s="134"/>
      <c r="J957" s="134"/>
      <c r="K957" s="134"/>
      <c r="L957" s="136"/>
      <c r="M957" s="137"/>
      <c r="N957" s="138"/>
    </row>
    <row r="958" spans="2:14" x14ac:dyDescent="0.25">
      <c r="B958" s="144"/>
      <c r="C958" s="139"/>
      <c r="D958" s="140"/>
      <c r="E958" s="140"/>
      <c r="F958" s="141"/>
      <c r="G958" s="142"/>
      <c r="H958" s="125"/>
      <c r="I958" s="125"/>
      <c r="J958" s="125"/>
      <c r="K958" s="125"/>
      <c r="L958" s="127"/>
      <c r="M958" s="143"/>
      <c r="N958" s="129"/>
    </row>
    <row r="959" spans="2:14" x14ac:dyDescent="0.25">
      <c r="B959" s="130"/>
      <c r="C959" s="131"/>
      <c r="D959" s="132"/>
      <c r="E959" s="132"/>
      <c r="F959" s="133"/>
      <c r="G959" s="134"/>
      <c r="H959" s="134"/>
      <c r="I959" s="134"/>
      <c r="J959" s="134"/>
      <c r="K959" s="134"/>
      <c r="L959" s="136"/>
      <c r="M959" s="137"/>
      <c r="N959" s="138"/>
    </row>
    <row r="960" spans="2:14" x14ac:dyDescent="0.25">
      <c r="B960" s="144"/>
      <c r="C960" s="139"/>
      <c r="D960" s="140"/>
      <c r="E960" s="140"/>
      <c r="F960" s="141"/>
      <c r="G960" s="142"/>
      <c r="H960" s="125"/>
      <c r="I960" s="125"/>
      <c r="J960" s="125"/>
      <c r="K960" s="125"/>
      <c r="L960" s="127"/>
      <c r="M960" s="143"/>
      <c r="N960" s="129"/>
    </row>
    <row r="961" spans="2:14" x14ac:dyDescent="0.25">
      <c r="B961" s="130"/>
      <c r="C961" s="131"/>
      <c r="D961" s="132"/>
      <c r="E961" s="132"/>
      <c r="F961" s="133"/>
      <c r="G961" s="134"/>
      <c r="H961" s="134"/>
      <c r="I961" s="134"/>
      <c r="J961" s="134"/>
      <c r="K961" s="134"/>
      <c r="L961" s="136"/>
      <c r="M961" s="137"/>
      <c r="N961" s="138"/>
    </row>
    <row r="962" spans="2:14" x14ac:dyDescent="0.25">
      <c r="B962" s="144"/>
      <c r="C962" s="139"/>
      <c r="D962" s="140"/>
      <c r="E962" s="140"/>
      <c r="F962" s="141"/>
      <c r="G962" s="142"/>
      <c r="H962" s="125"/>
      <c r="I962" s="125"/>
      <c r="J962" s="125"/>
      <c r="K962" s="125"/>
      <c r="L962" s="127"/>
      <c r="M962" s="143"/>
      <c r="N962" s="129"/>
    </row>
    <row r="963" spans="2:14" x14ac:dyDescent="0.25">
      <c r="B963" s="130"/>
      <c r="C963" s="131"/>
      <c r="D963" s="132"/>
      <c r="E963" s="132"/>
      <c r="F963" s="133"/>
      <c r="G963" s="134"/>
      <c r="H963" s="134"/>
      <c r="I963" s="134"/>
      <c r="J963" s="134"/>
      <c r="K963" s="134"/>
      <c r="L963" s="136"/>
      <c r="M963" s="137"/>
      <c r="N963" s="138"/>
    </row>
    <row r="964" spans="2:14" x14ac:dyDescent="0.25">
      <c r="B964" s="144"/>
      <c r="C964" s="139"/>
      <c r="D964" s="140"/>
      <c r="E964" s="140"/>
      <c r="F964" s="141"/>
      <c r="G964" s="142"/>
      <c r="H964" s="125"/>
      <c r="I964" s="125"/>
      <c r="J964" s="125"/>
      <c r="K964" s="125"/>
      <c r="L964" s="127"/>
      <c r="M964" s="143"/>
      <c r="N964" s="129"/>
    </row>
    <row r="965" spans="2:14" x14ac:dyDescent="0.25">
      <c r="B965" s="130"/>
      <c r="C965" s="131"/>
      <c r="D965" s="132"/>
      <c r="E965" s="132"/>
      <c r="F965" s="133"/>
      <c r="G965" s="134"/>
      <c r="H965" s="134"/>
      <c r="I965" s="134"/>
      <c r="J965" s="134"/>
      <c r="K965" s="134"/>
      <c r="L965" s="136"/>
      <c r="M965" s="137"/>
      <c r="N965" s="138"/>
    </row>
    <row r="966" spans="2:14" x14ac:dyDescent="0.25">
      <c r="B966" s="144"/>
      <c r="C966" s="139"/>
      <c r="D966" s="140"/>
      <c r="E966" s="140"/>
      <c r="F966" s="141"/>
      <c r="G966" s="142"/>
      <c r="H966" s="125"/>
      <c r="I966" s="125"/>
      <c r="J966" s="125"/>
      <c r="K966" s="125"/>
      <c r="L966" s="127"/>
      <c r="M966" s="143"/>
      <c r="N966" s="129"/>
    </row>
    <row r="967" spans="2:14" x14ac:dyDescent="0.25">
      <c r="B967" s="130"/>
      <c r="C967" s="131"/>
      <c r="D967" s="132"/>
      <c r="E967" s="132"/>
      <c r="F967" s="133"/>
      <c r="G967" s="134"/>
      <c r="H967" s="134"/>
      <c r="I967" s="134"/>
      <c r="J967" s="134"/>
      <c r="K967" s="134"/>
      <c r="L967" s="136"/>
      <c r="M967" s="137"/>
      <c r="N967" s="138"/>
    </row>
    <row r="968" spans="2:14" x14ac:dyDescent="0.25">
      <c r="B968" s="144"/>
      <c r="C968" s="139"/>
      <c r="D968" s="140"/>
      <c r="E968" s="140"/>
      <c r="F968" s="141"/>
      <c r="G968" s="142"/>
      <c r="H968" s="125"/>
      <c r="I968" s="125"/>
      <c r="J968" s="125"/>
      <c r="K968" s="125"/>
      <c r="L968" s="127"/>
      <c r="M968" s="143"/>
      <c r="N968" s="129"/>
    </row>
    <row r="969" spans="2:14" x14ac:dyDescent="0.25">
      <c r="B969" s="130"/>
      <c r="C969" s="131"/>
      <c r="D969" s="132"/>
      <c r="E969" s="132"/>
      <c r="F969" s="133"/>
      <c r="G969" s="134"/>
      <c r="H969" s="134"/>
      <c r="I969" s="134"/>
      <c r="J969" s="134"/>
      <c r="K969" s="134"/>
      <c r="L969" s="136"/>
      <c r="M969" s="137"/>
      <c r="N969" s="138"/>
    </row>
    <row r="970" spans="2:14" x14ac:dyDescent="0.25">
      <c r="B970" s="144"/>
      <c r="C970" s="139"/>
      <c r="D970" s="140"/>
      <c r="E970" s="140"/>
      <c r="F970" s="141"/>
      <c r="G970" s="142"/>
      <c r="H970" s="125"/>
      <c r="I970" s="125"/>
      <c r="J970" s="125"/>
      <c r="K970" s="125"/>
      <c r="L970" s="127"/>
      <c r="M970" s="143"/>
      <c r="N970" s="129"/>
    </row>
    <row r="971" spans="2:14" x14ac:dyDescent="0.25">
      <c r="B971" s="130"/>
      <c r="C971" s="131"/>
      <c r="D971" s="132"/>
      <c r="E971" s="132"/>
      <c r="F971" s="133"/>
      <c r="G971" s="134"/>
      <c r="H971" s="134"/>
      <c r="I971" s="134"/>
      <c r="J971" s="134"/>
      <c r="K971" s="134"/>
      <c r="L971" s="136"/>
      <c r="M971" s="137"/>
      <c r="N971" s="138"/>
    </row>
    <row r="972" spans="2:14" x14ac:dyDescent="0.25">
      <c r="B972" s="144"/>
      <c r="C972" s="139"/>
      <c r="D972" s="140"/>
      <c r="E972" s="140"/>
      <c r="F972" s="141"/>
      <c r="G972" s="142"/>
      <c r="H972" s="125"/>
      <c r="I972" s="125"/>
      <c r="J972" s="125"/>
      <c r="K972" s="125"/>
      <c r="L972" s="127"/>
      <c r="M972" s="143"/>
      <c r="N972" s="129"/>
    </row>
    <row r="973" spans="2:14" x14ac:dyDescent="0.25">
      <c r="B973" s="130"/>
      <c r="C973" s="131"/>
      <c r="D973" s="132"/>
      <c r="E973" s="132"/>
      <c r="F973" s="133"/>
      <c r="G973" s="134"/>
      <c r="H973" s="134"/>
      <c r="I973" s="134"/>
      <c r="J973" s="134"/>
      <c r="K973" s="134"/>
      <c r="L973" s="136"/>
      <c r="M973" s="137"/>
      <c r="N973" s="138"/>
    </row>
    <row r="974" spans="2:14" x14ac:dyDescent="0.25">
      <c r="B974" s="144"/>
      <c r="C974" s="139"/>
      <c r="D974" s="140"/>
      <c r="E974" s="140"/>
      <c r="F974" s="141"/>
      <c r="G974" s="142"/>
      <c r="H974" s="125"/>
      <c r="I974" s="125"/>
      <c r="J974" s="125"/>
      <c r="K974" s="125"/>
      <c r="L974" s="127"/>
      <c r="M974" s="143"/>
      <c r="N974" s="129"/>
    </row>
    <row r="975" spans="2:14" x14ac:dyDescent="0.25">
      <c r="B975" s="130"/>
      <c r="C975" s="131"/>
      <c r="D975" s="132"/>
      <c r="E975" s="132"/>
      <c r="F975" s="133"/>
      <c r="G975" s="134"/>
      <c r="H975" s="134"/>
      <c r="I975" s="134"/>
      <c r="J975" s="134"/>
      <c r="K975" s="134"/>
      <c r="L975" s="136"/>
      <c r="M975" s="137"/>
      <c r="N975" s="138"/>
    </row>
    <row r="976" spans="2:14" x14ac:dyDescent="0.25">
      <c r="B976" s="144"/>
      <c r="C976" s="139"/>
      <c r="D976" s="140"/>
      <c r="E976" s="140"/>
      <c r="F976" s="141"/>
      <c r="G976" s="142"/>
      <c r="H976" s="125"/>
      <c r="I976" s="125"/>
      <c r="J976" s="125"/>
      <c r="K976" s="125"/>
      <c r="L976" s="127"/>
      <c r="M976" s="143"/>
      <c r="N976" s="129"/>
    </row>
    <row r="977" spans="2:14" x14ac:dyDescent="0.25">
      <c r="B977" s="130"/>
      <c r="C977" s="131"/>
      <c r="D977" s="132"/>
      <c r="E977" s="132"/>
      <c r="F977" s="133"/>
      <c r="G977" s="134"/>
      <c r="H977" s="134"/>
      <c r="I977" s="134"/>
      <c r="J977" s="134"/>
      <c r="K977" s="134"/>
      <c r="L977" s="136"/>
      <c r="M977" s="137"/>
      <c r="N977" s="138"/>
    </row>
    <row r="978" spans="2:14" x14ac:dyDescent="0.25">
      <c r="B978" s="144"/>
      <c r="C978" s="139"/>
      <c r="D978" s="140"/>
      <c r="E978" s="140"/>
      <c r="F978" s="141"/>
      <c r="G978" s="142"/>
      <c r="H978" s="125"/>
      <c r="I978" s="125"/>
      <c r="J978" s="125"/>
      <c r="K978" s="125"/>
      <c r="L978" s="127"/>
      <c r="M978" s="143"/>
      <c r="N978" s="129"/>
    </row>
    <row r="979" spans="2:14" x14ac:dyDescent="0.25">
      <c r="B979" s="130"/>
      <c r="C979" s="131"/>
      <c r="D979" s="132"/>
      <c r="E979" s="132"/>
      <c r="F979" s="133"/>
      <c r="G979" s="134"/>
      <c r="H979" s="134"/>
      <c r="I979" s="134"/>
      <c r="J979" s="134"/>
      <c r="K979" s="134"/>
      <c r="L979" s="136"/>
      <c r="M979" s="137"/>
      <c r="N979" s="138"/>
    </row>
    <row r="980" spans="2:14" x14ac:dyDescent="0.25">
      <c r="B980" s="144"/>
      <c r="C980" s="139"/>
      <c r="D980" s="140"/>
      <c r="E980" s="140"/>
      <c r="F980" s="141"/>
      <c r="G980" s="142"/>
      <c r="H980" s="125"/>
      <c r="I980" s="125"/>
      <c r="J980" s="125"/>
      <c r="K980" s="125"/>
      <c r="L980" s="127"/>
      <c r="M980" s="143"/>
      <c r="N980" s="129"/>
    </row>
    <row r="981" spans="2:14" x14ac:dyDescent="0.25">
      <c r="B981" s="130"/>
      <c r="C981" s="131"/>
      <c r="D981" s="132"/>
      <c r="E981" s="132"/>
      <c r="F981" s="133"/>
      <c r="G981" s="134"/>
      <c r="H981" s="134"/>
      <c r="I981" s="134"/>
      <c r="J981" s="134"/>
      <c r="K981" s="134"/>
      <c r="L981" s="136"/>
      <c r="M981" s="137"/>
      <c r="N981" s="138"/>
    </row>
    <row r="982" spans="2:14" x14ac:dyDescent="0.25">
      <c r="B982" s="144"/>
      <c r="C982" s="139"/>
      <c r="D982" s="140"/>
      <c r="E982" s="140"/>
      <c r="F982" s="141"/>
      <c r="G982" s="142"/>
      <c r="H982" s="125"/>
      <c r="I982" s="125"/>
      <c r="J982" s="125"/>
      <c r="K982" s="125"/>
      <c r="L982" s="127"/>
      <c r="M982" s="143"/>
      <c r="N982" s="129"/>
    </row>
    <row r="983" spans="2:14" x14ac:dyDescent="0.25">
      <c r="B983" s="130"/>
      <c r="C983" s="131"/>
      <c r="D983" s="132"/>
      <c r="E983" s="132"/>
      <c r="F983" s="133"/>
      <c r="G983" s="134"/>
      <c r="H983" s="134"/>
      <c r="I983" s="134"/>
      <c r="J983" s="134"/>
      <c r="K983" s="134"/>
      <c r="L983" s="136"/>
      <c r="M983" s="137"/>
      <c r="N983" s="138"/>
    </row>
    <row r="984" spans="2:14" x14ac:dyDescent="0.25">
      <c r="B984" s="144"/>
      <c r="C984" s="139"/>
      <c r="D984" s="140"/>
      <c r="E984" s="140"/>
      <c r="F984" s="141"/>
      <c r="G984" s="142"/>
      <c r="H984" s="125"/>
      <c r="I984" s="125"/>
      <c r="J984" s="125"/>
      <c r="K984" s="125"/>
      <c r="L984" s="127"/>
      <c r="M984" s="143"/>
      <c r="N984" s="129"/>
    </row>
    <row r="985" spans="2:14" x14ac:dyDescent="0.25">
      <c r="B985" s="130"/>
      <c r="C985" s="131"/>
      <c r="D985" s="132"/>
      <c r="E985" s="132"/>
      <c r="F985" s="133"/>
      <c r="G985" s="134"/>
      <c r="H985" s="134"/>
      <c r="I985" s="134"/>
      <c r="J985" s="134"/>
      <c r="K985" s="134"/>
      <c r="L985" s="136"/>
      <c r="M985" s="137"/>
      <c r="N985" s="138"/>
    </row>
    <row r="986" spans="2:14" x14ac:dyDescent="0.25">
      <c r="B986" s="144"/>
      <c r="C986" s="139"/>
      <c r="D986" s="140"/>
      <c r="E986" s="140"/>
      <c r="F986" s="141"/>
      <c r="G986" s="142"/>
      <c r="H986" s="125"/>
      <c r="I986" s="125"/>
      <c r="J986" s="125"/>
      <c r="K986" s="125"/>
      <c r="L986" s="127"/>
      <c r="M986" s="143"/>
      <c r="N986" s="129"/>
    </row>
    <row r="987" spans="2:14" x14ac:dyDescent="0.25">
      <c r="B987" s="130"/>
      <c r="C987" s="131"/>
      <c r="D987" s="132"/>
      <c r="E987" s="132"/>
      <c r="F987" s="133"/>
      <c r="G987" s="134"/>
      <c r="H987" s="134"/>
      <c r="I987" s="134"/>
      <c r="J987" s="134"/>
      <c r="K987" s="134"/>
      <c r="L987" s="136"/>
      <c r="M987" s="137"/>
      <c r="N987" s="138"/>
    </row>
    <row r="988" spans="2:14" x14ac:dyDescent="0.25">
      <c r="B988" s="144"/>
      <c r="C988" s="139"/>
      <c r="D988" s="140"/>
      <c r="E988" s="140"/>
      <c r="F988" s="141"/>
      <c r="G988" s="142"/>
      <c r="H988" s="125"/>
      <c r="I988" s="125"/>
      <c r="J988" s="125"/>
      <c r="K988" s="125"/>
      <c r="L988" s="127"/>
      <c r="M988" s="143"/>
      <c r="N988" s="129"/>
    </row>
    <row r="989" spans="2:14" x14ac:dyDescent="0.25">
      <c r="B989" s="130"/>
      <c r="C989" s="131"/>
      <c r="D989" s="132"/>
      <c r="E989" s="132"/>
      <c r="F989" s="133"/>
      <c r="G989" s="134"/>
      <c r="H989" s="134"/>
      <c r="I989" s="134"/>
      <c r="J989" s="134"/>
      <c r="K989" s="134"/>
      <c r="L989" s="136"/>
      <c r="M989" s="137"/>
      <c r="N989" s="138"/>
    </row>
    <row r="990" spans="2:14" x14ac:dyDescent="0.25">
      <c r="B990" s="144"/>
      <c r="C990" s="139"/>
      <c r="D990" s="140"/>
      <c r="E990" s="140"/>
      <c r="F990" s="141"/>
      <c r="G990" s="142"/>
      <c r="H990" s="125"/>
      <c r="I990" s="125"/>
      <c r="J990" s="125"/>
      <c r="K990" s="125"/>
      <c r="L990" s="127"/>
      <c r="M990" s="143"/>
      <c r="N990" s="129"/>
    </row>
    <row r="991" spans="2:14" x14ac:dyDescent="0.25">
      <c r="B991" s="130"/>
      <c r="C991" s="131"/>
      <c r="D991" s="132"/>
      <c r="E991" s="132"/>
      <c r="F991" s="133"/>
      <c r="G991" s="134"/>
      <c r="H991" s="134"/>
      <c r="I991" s="134"/>
      <c r="J991" s="134"/>
      <c r="K991" s="134"/>
      <c r="L991" s="136"/>
      <c r="M991" s="137"/>
      <c r="N991" s="138"/>
    </row>
    <row r="992" spans="2:14" x14ac:dyDescent="0.25">
      <c r="B992" s="144"/>
      <c r="C992" s="139"/>
      <c r="D992" s="140"/>
      <c r="E992" s="140"/>
      <c r="F992" s="141"/>
      <c r="G992" s="142"/>
      <c r="H992" s="125"/>
      <c r="I992" s="125"/>
      <c r="J992" s="125"/>
      <c r="K992" s="125"/>
      <c r="L992" s="127"/>
      <c r="M992" s="143"/>
      <c r="N992" s="129"/>
    </row>
    <row r="993" spans="2:14" x14ac:dyDescent="0.25">
      <c r="B993" s="130"/>
      <c r="C993" s="131"/>
      <c r="D993" s="132"/>
      <c r="E993" s="132"/>
      <c r="F993" s="133"/>
      <c r="G993" s="134"/>
      <c r="H993" s="134"/>
      <c r="I993" s="134"/>
      <c r="J993" s="134"/>
      <c r="K993" s="134"/>
      <c r="L993" s="136"/>
      <c r="M993" s="137"/>
      <c r="N993" s="138"/>
    </row>
    <row r="994" spans="2:14" x14ac:dyDescent="0.25">
      <c r="B994" s="144"/>
      <c r="C994" s="139"/>
      <c r="D994" s="140"/>
      <c r="E994" s="140"/>
      <c r="F994" s="141"/>
      <c r="G994" s="142"/>
      <c r="H994" s="125"/>
      <c r="I994" s="125"/>
      <c r="J994" s="125"/>
      <c r="K994" s="125"/>
      <c r="L994" s="127"/>
      <c r="M994" s="143"/>
      <c r="N994" s="129"/>
    </row>
    <row r="995" spans="2:14" x14ac:dyDescent="0.25">
      <c r="B995" s="130"/>
      <c r="C995" s="131"/>
      <c r="D995" s="132"/>
      <c r="E995" s="132"/>
      <c r="F995" s="133"/>
      <c r="G995" s="134"/>
      <c r="H995" s="134"/>
      <c r="I995" s="134"/>
      <c r="J995" s="134"/>
      <c r="K995" s="134"/>
      <c r="L995" s="136"/>
      <c r="M995" s="137"/>
      <c r="N995" s="138"/>
    </row>
    <row r="996" spans="2:14" x14ac:dyDescent="0.25">
      <c r="B996" s="144"/>
      <c r="C996" s="139"/>
      <c r="D996" s="140"/>
      <c r="E996" s="140"/>
      <c r="F996" s="141"/>
      <c r="G996" s="142"/>
      <c r="H996" s="125"/>
      <c r="I996" s="125"/>
      <c r="J996" s="125"/>
      <c r="K996" s="125"/>
      <c r="L996" s="127"/>
      <c r="M996" s="143"/>
      <c r="N996" s="129"/>
    </row>
    <row r="997" spans="2:14" x14ac:dyDescent="0.25">
      <c r="B997" s="130"/>
      <c r="C997" s="131"/>
      <c r="D997" s="132"/>
      <c r="E997" s="132"/>
      <c r="F997" s="133"/>
      <c r="G997" s="134"/>
      <c r="H997" s="134"/>
      <c r="I997" s="134"/>
      <c r="J997" s="134"/>
      <c r="K997" s="134"/>
      <c r="L997" s="136"/>
      <c r="M997" s="137"/>
      <c r="N997" s="138"/>
    </row>
    <row r="998" spans="2:14" x14ac:dyDescent="0.25">
      <c r="B998" s="144"/>
      <c r="C998" s="139"/>
      <c r="D998" s="140"/>
      <c r="E998" s="140"/>
      <c r="F998" s="141"/>
      <c r="G998" s="142"/>
      <c r="H998" s="125"/>
      <c r="I998" s="125"/>
      <c r="J998" s="125"/>
      <c r="K998" s="125"/>
      <c r="L998" s="127"/>
      <c r="M998" s="143"/>
      <c r="N998" s="129"/>
    </row>
    <row r="999" spans="2:14" x14ac:dyDescent="0.25">
      <c r="B999" s="130"/>
      <c r="C999" s="131"/>
      <c r="D999" s="132"/>
      <c r="E999" s="132"/>
      <c r="F999" s="133"/>
      <c r="G999" s="134"/>
      <c r="H999" s="134"/>
      <c r="I999" s="134"/>
      <c r="J999" s="134"/>
      <c r="K999" s="134"/>
      <c r="L999" s="136"/>
      <c r="M999" s="137"/>
      <c r="N999" s="138"/>
    </row>
    <row r="1000" spans="2:14" x14ac:dyDescent="0.25">
      <c r="B1000" s="144"/>
      <c r="C1000" s="139"/>
      <c r="D1000" s="140"/>
      <c r="E1000" s="140"/>
      <c r="F1000" s="141"/>
      <c r="G1000" s="142"/>
      <c r="H1000" s="125"/>
      <c r="I1000" s="125"/>
      <c r="J1000" s="125"/>
      <c r="K1000" s="125"/>
      <c r="L1000" s="127"/>
      <c r="M1000" s="143"/>
      <c r="N1000" s="129"/>
    </row>
    <row r="1001" spans="2:14" x14ac:dyDescent="0.25">
      <c r="B1001" s="36"/>
      <c r="C1001" s="25"/>
      <c r="D1001" s="11"/>
      <c r="E1001" s="11"/>
      <c r="F1001" s="29"/>
      <c r="G1001" s="33"/>
      <c r="H1001" s="33"/>
      <c r="I1001" s="33"/>
      <c r="J1001" s="33"/>
      <c r="K1001" s="33"/>
      <c r="L1001" s="63"/>
      <c r="M1001" s="20"/>
      <c r="N1001" s="67"/>
    </row>
    <row r="1002" spans="2:14" x14ac:dyDescent="0.25">
      <c r="B1002" s="36"/>
      <c r="C1002" s="25"/>
      <c r="D1002" s="11"/>
      <c r="E1002" s="11"/>
      <c r="F1002" s="29"/>
      <c r="G1002" s="33"/>
      <c r="H1002" s="118"/>
      <c r="I1002" s="118"/>
      <c r="J1002" s="118"/>
      <c r="K1002" s="118"/>
      <c r="L1002" s="65"/>
      <c r="M1002" s="20"/>
      <c r="N1002" s="66"/>
    </row>
    <row r="1003" spans="2:14" x14ac:dyDescent="0.25">
      <c r="B1003" s="36"/>
      <c r="C1003" s="25"/>
      <c r="D1003" s="11"/>
      <c r="E1003" s="11"/>
      <c r="F1003" s="29"/>
      <c r="G1003" s="33"/>
      <c r="H1003" s="33"/>
      <c r="I1003" s="33"/>
      <c r="J1003" s="33"/>
      <c r="K1003" s="33"/>
      <c r="L1003" s="63"/>
      <c r="M1003" s="20"/>
      <c r="N1003" s="67"/>
    </row>
    <row r="1004" spans="2:14" x14ac:dyDescent="0.25">
      <c r="B1004" s="36"/>
      <c r="C1004" s="25"/>
      <c r="D1004" s="11"/>
      <c r="E1004" s="11"/>
      <c r="F1004" s="29"/>
      <c r="G1004" s="33"/>
      <c r="H1004" s="118"/>
      <c r="I1004" s="118"/>
      <c r="J1004" s="118"/>
      <c r="K1004" s="118"/>
      <c r="L1004" s="65"/>
      <c r="M1004" s="20"/>
      <c r="N1004" s="66"/>
    </row>
    <row r="1005" spans="2:14" x14ac:dyDescent="0.25">
      <c r="N1005" s="67"/>
    </row>
  </sheetData>
  <printOptions horizontalCentered="1"/>
  <pageMargins left="0.7" right="0.7" top="0.75" bottom="0.75" header="0.3" footer="0.3"/>
  <pageSetup scale="80" orientation="landscape" r:id="rId1"/>
  <headerFooter>
    <oddHeader>&amp;LM - Super Ancien&amp;CLes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ass_cate_actualisation">
                <anchor moveWithCells="1" sizeWithCells="1">
                  <from>
                    <xdr:col>14</xdr:col>
                    <xdr:colOff>304800</xdr:colOff>
                    <xdr:row>1</xdr:row>
                    <xdr:rowOff>0</xdr:rowOff>
                  </from>
                  <to>
                    <xdr:col>17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consulter_classement_caté">
                <anchor moveWithCells="1" sizeWithCells="1">
                  <from>
                    <xdr:col>14</xdr:col>
                    <xdr:colOff>304800</xdr:colOff>
                    <xdr:row>3</xdr:row>
                    <xdr:rowOff>47625</xdr:rowOff>
                  </from>
                  <to>
                    <xdr:col>17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Imprimer_classement_caté">
                <anchor moveWithCells="1" sizeWithCells="1">
                  <from>
                    <xdr:col>14</xdr:col>
                    <xdr:colOff>304800</xdr:colOff>
                    <xdr:row>6</xdr:row>
                    <xdr:rowOff>28575</xdr:rowOff>
                  </from>
                  <to>
                    <xdr:col>17</xdr:col>
                    <xdr:colOff>57150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7A6D8-7CC8-4CBD-A239-E162CBE687AD}">
  <sheetPr codeName="Feuil7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42B3B-F788-43E0-BF7E-05BA552FCC06}">
  <sheetPr codeName="Feuil6"/>
  <dimension ref="A1:M28"/>
  <sheetViews>
    <sheetView workbookViewId="0">
      <selection activeCell="E25" sqref="E25"/>
    </sheetView>
  </sheetViews>
  <sheetFormatPr baseColWidth="10" defaultRowHeight="15" x14ac:dyDescent="0.25"/>
  <cols>
    <col min="6" max="6" width="29" customWidth="1"/>
    <col min="7" max="7" width="17.140625" customWidth="1"/>
    <col min="8" max="8" width="30.85546875" bestFit="1" customWidth="1"/>
    <col min="9" max="9" width="26.5703125" bestFit="1" customWidth="1"/>
    <col min="10" max="10" width="28.85546875" customWidth="1"/>
  </cols>
  <sheetData>
    <row r="1" spans="1:13" ht="15.75" thickBot="1" x14ac:dyDescent="0.3">
      <c r="A1" s="84" t="s">
        <v>90</v>
      </c>
      <c r="B1" s="185" t="s">
        <v>84</v>
      </c>
      <c r="C1" s="185"/>
      <c r="D1" s="185" t="s">
        <v>3</v>
      </c>
      <c r="E1" s="185"/>
      <c r="F1" s="146" t="str">
        <f>"Inscriptions gratuites"</f>
        <v>Inscriptions gratuites</v>
      </c>
      <c r="G1" s="84" t="s">
        <v>91</v>
      </c>
      <c r="I1" t="s">
        <v>14</v>
      </c>
      <c r="J1" s="91"/>
      <c r="K1" s="91" t="s">
        <v>14</v>
      </c>
      <c r="L1" s="91" t="s">
        <v>11</v>
      </c>
      <c r="M1" s="91" t="s">
        <v>93</v>
      </c>
    </row>
    <row r="2" spans="1:13" x14ac:dyDescent="0.25">
      <c r="A2" s="184">
        <v>6</v>
      </c>
      <c r="B2" s="186" t="s">
        <v>86</v>
      </c>
      <c r="C2" s="186">
        <f>COUNTIF(Inscription!T2:T1000,"*"&amp;B2&amp;"*")+E2+E3</f>
        <v>0</v>
      </c>
      <c r="D2" s="75" t="s">
        <v>45</v>
      </c>
      <c r="E2" s="75">
        <f>COUNTIF(Inscription!T$2:T$1000,"*("&amp;D2&amp;"*")</f>
        <v>0</v>
      </c>
      <c r="F2" s="81"/>
      <c r="G2" s="82">
        <f>E2*A$2-F2*A$2</f>
        <v>0</v>
      </c>
      <c r="I2" s="183" t="str">
        <f>"Moins de 40 : "&amp;SUM(K2:K6)</f>
        <v>Moins de 40 : 0</v>
      </c>
      <c r="J2" s="95" t="str">
        <f>info_general!B3</f>
        <v>Minime</v>
      </c>
      <c r="K2" s="85">
        <f>COUNTIFS(Inscription!$D:$D,K$1,Inscription!$G:$G,Statistiques!$J2)</f>
        <v>0</v>
      </c>
      <c r="L2" s="85">
        <f>COUNTIFS(Inscription!$D:$D,L$1,Inscription!$G:$G,Statistiques!$J2)</f>
        <v>0</v>
      </c>
      <c r="M2" s="88">
        <f>K2+L2</f>
        <v>0</v>
      </c>
    </row>
    <row r="3" spans="1:13" x14ac:dyDescent="0.25">
      <c r="A3" s="184"/>
      <c r="B3" s="186"/>
      <c r="C3" s="186"/>
      <c r="D3" s="75" t="s">
        <v>46</v>
      </c>
      <c r="E3" s="75">
        <f>COUNTIF(Inscription!T$2:T$1000,"*("&amp;D3&amp;"*")</f>
        <v>0</v>
      </c>
      <c r="F3" s="81"/>
      <c r="G3" s="82">
        <f>E3*A$2-F3*A$2</f>
        <v>0</v>
      </c>
      <c r="I3" s="181"/>
      <c r="J3" s="95" t="str">
        <f>info_general!B4</f>
        <v>Cadet</v>
      </c>
      <c r="K3" s="85">
        <f>COUNTIFS(Inscription!$D:$D,K$1,Inscription!$G:$G,Statistiques!$J3)</f>
        <v>0</v>
      </c>
      <c r="L3" s="85">
        <f>COUNTIFS(Inscription!$D:$D,L$1,Inscription!$G:$G,Statistiques!$J3)</f>
        <v>0</v>
      </c>
      <c r="M3" s="88">
        <f t="shared" ref="M3:M12" si="0">K3+L3</f>
        <v>0</v>
      </c>
    </row>
    <row r="4" spans="1:13" x14ac:dyDescent="0.25">
      <c r="A4" s="184">
        <v>9</v>
      </c>
      <c r="B4" s="186"/>
      <c r="C4" s="186"/>
      <c r="D4" s="75" t="s">
        <v>47</v>
      </c>
      <c r="E4" s="75">
        <f>COUNTIF(Inscription!T$2:T$1000,"*"&amp;B$2&amp;"*"&amp;"*"&amp;D4&amp;"*")</f>
        <v>0</v>
      </c>
      <c r="F4" s="81"/>
      <c r="G4" s="82">
        <f>E4*A$4-F4*A$4</f>
        <v>0</v>
      </c>
      <c r="I4" s="181"/>
      <c r="J4" s="95" t="str">
        <f>info_general!B5</f>
        <v>Junior</v>
      </c>
      <c r="K4" s="85">
        <f>COUNTIFS(Inscription!$D:$D,K$1,Inscription!$G:$G,Statistiques!$J4)</f>
        <v>0</v>
      </c>
      <c r="L4" s="85">
        <f>COUNTIFS(Inscription!$D:$D,L$1,Inscription!$G:$G,Statistiques!$J4)</f>
        <v>0</v>
      </c>
      <c r="M4" s="88">
        <f t="shared" si="0"/>
        <v>0</v>
      </c>
    </row>
    <row r="5" spans="1:13" x14ac:dyDescent="0.25">
      <c r="A5" s="184"/>
      <c r="B5" s="186"/>
      <c r="C5" s="186"/>
      <c r="D5" s="75" t="s">
        <v>85</v>
      </c>
      <c r="E5" s="75">
        <f>COUNTIF(Inscription!T$2:T$1000,"*"&amp;B$2&amp;"*"&amp;"*"&amp;D5&amp;"*")</f>
        <v>0</v>
      </c>
      <c r="F5" s="81"/>
      <c r="G5" s="82">
        <f t="shared" ref="G5:G7" si="1">E5*A$4-F5*A$4</f>
        <v>0</v>
      </c>
      <c r="I5" s="181"/>
      <c r="J5" s="95" t="str">
        <f>info_general!B6</f>
        <v>Espoir</v>
      </c>
      <c r="K5" s="85">
        <f>COUNTIFS(Inscription!$D:$D,K$1,Inscription!$G:$G,Statistiques!$J5)</f>
        <v>0</v>
      </c>
      <c r="L5" s="85">
        <f>COUNTIFS(Inscription!$D:$D,L$1,Inscription!$G:$G,Statistiques!$J5)</f>
        <v>0</v>
      </c>
      <c r="M5" s="88">
        <f t="shared" si="0"/>
        <v>0</v>
      </c>
    </row>
    <row r="6" spans="1:13" ht="15.75" thickBot="1" x14ac:dyDescent="0.3">
      <c r="A6" s="184"/>
      <c r="B6" s="186"/>
      <c r="C6" s="186"/>
      <c r="D6" s="75">
        <v>3</v>
      </c>
      <c r="E6" s="75">
        <f>COUNTIF(Inscription!T$2:T$1000,"*"&amp;B$2&amp;"*"&amp;"*"&amp;D6&amp;"*")</f>
        <v>0</v>
      </c>
      <c r="F6" s="81"/>
      <c r="G6" s="82">
        <f t="shared" si="1"/>
        <v>0</v>
      </c>
      <c r="I6" s="182"/>
      <c r="J6" s="95" t="str">
        <f>info_general!B7</f>
        <v>Senior</v>
      </c>
      <c r="K6" s="85">
        <f>COUNTIFS(Inscription!$D:$D,K$1,Inscription!$G:$G,Statistiques!$J6)</f>
        <v>0</v>
      </c>
      <c r="L6" s="85">
        <f>COUNTIFS(Inscription!$D:$D,L$1,Inscription!$G:$G,Statistiques!$J6)</f>
        <v>0</v>
      </c>
      <c r="M6" s="88">
        <f t="shared" si="0"/>
        <v>0</v>
      </c>
    </row>
    <row r="7" spans="1:13" x14ac:dyDescent="0.25">
      <c r="A7" s="184"/>
      <c r="B7" s="186"/>
      <c r="C7" s="186"/>
      <c r="D7" s="75">
        <v>2</v>
      </c>
      <c r="E7" s="75">
        <f>COUNTIF(Inscription!T$2:T$1000,"*"&amp;B$2&amp;"*"&amp;"*"&amp;D7&amp;"*")</f>
        <v>0</v>
      </c>
      <c r="F7" s="81"/>
      <c r="G7" s="82">
        <f t="shared" si="1"/>
        <v>0</v>
      </c>
      <c r="I7" s="181" t="str">
        <f>"Plus de 40 : "&amp;SUM(K7:K10)</f>
        <v>Plus de 40 : 0</v>
      </c>
      <c r="J7" s="95" t="str">
        <f>info_general!B8</f>
        <v>Vétéran</v>
      </c>
      <c r="K7" s="85">
        <f>COUNTIFS(Inscription!$D:$D,K$1,Inscription!$G:$G,Statistiques!$J7)</f>
        <v>0</v>
      </c>
      <c r="L7" s="85">
        <f>COUNTIFS(Inscription!$D:$D,L$1,Inscription!$G:$G,Statistiques!$J7)</f>
        <v>0</v>
      </c>
      <c r="M7" s="88">
        <f t="shared" si="0"/>
        <v>0</v>
      </c>
    </row>
    <row r="8" spans="1:13" x14ac:dyDescent="0.25">
      <c r="A8" s="184"/>
      <c r="B8" s="186"/>
      <c r="C8" s="186"/>
      <c r="D8" s="75">
        <v>1</v>
      </c>
      <c r="E8" s="75">
        <f>COUNTIF(Inscription!T$2:T$1000,"*"&amp;B$2&amp;"*"&amp;"*"&amp;D8&amp;"*")</f>
        <v>0</v>
      </c>
      <c r="F8" s="81"/>
      <c r="G8" s="82">
        <f>E8*A$4-F8*A$4</f>
        <v>0</v>
      </c>
      <c r="I8" s="181"/>
      <c r="J8" s="95" t="str">
        <f>info_general!B9</f>
        <v>Super Vétéran</v>
      </c>
      <c r="K8" s="85">
        <f>COUNTIFS(Inscription!$D:$D,K$1,Inscription!$G:$G,Statistiques!$J8)</f>
        <v>0</v>
      </c>
      <c r="L8" s="85">
        <f>COUNTIFS(Inscription!$D:$D,L$1,Inscription!$G:$G,Statistiques!$J8)</f>
        <v>0</v>
      </c>
      <c r="M8" s="88">
        <f t="shared" si="0"/>
        <v>0</v>
      </c>
    </row>
    <row r="9" spans="1:13" x14ac:dyDescent="0.25">
      <c r="A9" s="184">
        <v>8</v>
      </c>
      <c r="B9" s="186" t="s">
        <v>87</v>
      </c>
      <c r="C9" s="186">
        <f>COUNTIF(Inscription!T2:T1000,"*"&amp;B9&amp;"*")</f>
        <v>0</v>
      </c>
      <c r="D9" s="75">
        <v>5</v>
      </c>
      <c r="E9" s="75">
        <f>COUNTIF(Inscription!T$2:T$1000,"*"&amp;B$9&amp;"*"&amp;"*"&amp;D9&amp;"*")</f>
        <v>0</v>
      </c>
      <c r="F9" s="81"/>
      <c r="G9" s="82">
        <f>E9*A$9-F9*A$9</f>
        <v>0</v>
      </c>
      <c r="I9" s="181"/>
      <c r="J9" s="95" t="str">
        <f>info_general!B10</f>
        <v>Ancien</v>
      </c>
      <c r="K9" s="85">
        <f>COUNTIFS(Inscription!$D:$D,K$1,Inscription!$G:$G,Statistiques!$J9)</f>
        <v>0</v>
      </c>
      <c r="L9" s="85">
        <f>COUNTIFS(Inscription!$D:$D,L$1,Inscription!$G:$G,Statistiques!$J9)</f>
        <v>0</v>
      </c>
      <c r="M9" s="88">
        <f t="shared" si="0"/>
        <v>0</v>
      </c>
    </row>
    <row r="10" spans="1:13" ht="15.75" thickBot="1" x14ac:dyDescent="0.3">
      <c r="A10" s="184"/>
      <c r="B10" s="186"/>
      <c r="C10" s="186"/>
      <c r="D10" s="75">
        <v>4</v>
      </c>
      <c r="E10" s="75">
        <f>COUNTIF(Inscription!T$2:T$1000,"*"&amp;B$9&amp;"*"&amp;"*"&amp;D10&amp;"*")</f>
        <v>0</v>
      </c>
      <c r="F10" s="81"/>
      <c r="G10" s="82">
        <f t="shared" ref="G10:G13" si="2">E10*A$9-F10*A$9</f>
        <v>0</v>
      </c>
      <c r="I10" s="182"/>
      <c r="J10" s="95" t="str">
        <f>info_general!B11</f>
        <v>Super Ancien</v>
      </c>
      <c r="K10" s="85">
        <f>COUNTIFS(Inscription!$D:$D,K$1,Inscription!$G:$G,Statistiques!$J10)</f>
        <v>0</v>
      </c>
      <c r="L10" s="85">
        <f>COUNTIFS(Inscription!$D:$D,L$1,Inscription!$G:$G,Statistiques!$J10)</f>
        <v>0</v>
      </c>
      <c r="M10" s="88">
        <f t="shared" si="0"/>
        <v>0</v>
      </c>
    </row>
    <row r="11" spans="1:13" ht="15.75" thickBot="1" x14ac:dyDescent="0.3">
      <c r="A11" s="184"/>
      <c r="B11" s="186"/>
      <c r="C11" s="186"/>
      <c r="D11" s="75">
        <v>3</v>
      </c>
      <c r="E11" s="75">
        <f>COUNTIF(Inscription!T$2:T$1000,"*"&amp;B$9&amp;"*"&amp;"*"&amp;D11&amp;"*")</f>
        <v>0</v>
      </c>
      <c r="F11" s="81"/>
      <c r="G11" s="82">
        <f t="shared" si="2"/>
        <v>0</v>
      </c>
      <c r="I11" s="94"/>
      <c r="J11" s="92" t="str">
        <f>info_general!B12</f>
        <v>Handisport</v>
      </c>
      <c r="K11" s="86">
        <f>COUNTIFS(Inscription!$D:$D,K$1,Inscription!$G:$G,Statistiques!$J11)</f>
        <v>0</v>
      </c>
      <c r="L11" s="86">
        <f>COUNTIFS(Inscription!$D:$D,L$1,Inscription!$G:$G,Statistiques!$J11)</f>
        <v>0</v>
      </c>
      <c r="M11" s="89">
        <f t="shared" si="0"/>
        <v>0</v>
      </c>
    </row>
    <row r="12" spans="1:13" ht="15.75" thickTop="1" x14ac:dyDescent="0.25">
      <c r="A12" s="184"/>
      <c r="B12" s="186"/>
      <c r="C12" s="186"/>
      <c r="D12" s="75">
        <v>2</v>
      </c>
      <c r="E12" s="75">
        <f>COUNTIF(Inscription!T$2:T$1000,"*"&amp;B$9&amp;"*"&amp;"*"&amp;D12&amp;"*")</f>
        <v>0</v>
      </c>
      <c r="F12" s="81"/>
      <c r="G12" s="82">
        <f>E12*A$9-F12*A$9</f>
        <v>0</v>
      </c>
      <c r="J12" s="93" t="s">
        <v>93</v>
      </c>
      <c r="K12" s="87">
        <f>COUNTIFS(Inscription!$D:$D,K$1)</f>
        <v>0</v>
      </c>
      <c r="L12" s="87">
        <f>COUNTIFS(Inscription!$D:$D,L$1)</f>
        <v>0</v>
      </c>
      <c r="M12" s="90">
        <f t="shared" si="0"/>
        <v>0</v>
      </c>
    </row>
    <row r="13" spans="1:13" x14ac:dyDescent="0.25">
      <c r="A13" s="184"/>
      <c r="B13" s="186"/>
      <c r="C13" s="186"/>
      <c r="D13" s="75">
        <v>1</v>
      </c>
      <c r="E13" s="75">
        <f>COUNTIF(Inscription!T$2:T$1000,"*"&amp;B$9&amp;"*"&amp;"*"&amp;D13&amp;"*")</f>
        <v>0</v>
      </c>
      <c r="F13" s="81"/>
      <c r="G13" s="82">
        <f t="shared" si="2"/>
        <v>0</v>
      </c>
    </row>
    <row r="14" spans="1:13" x14ac:dyDescent="0.25">
      <c r="A14" s="175">
        <v>12</v>
      </c>
      <c r="B14" s="178" t="s">
        <v>88</v>
      </c>
      <c r="C14" s="178">
        <f>COUNTIF(Inscription!T2:T1000,"*("&amp;B14&amp;"*")</f>
        <v>0</v>
      </c>
      <c r="D14" s="158">
        <v>5</v>
      </c>
      <c r="E14" s="158">
        <f>COUNTIF(Inscription!T$2:T$1000,"*"&amp;B$14&amp;"*"&amp;"*"&amp;D14&amp;"*")</f>
        <v>0</v>
      </c>
      <c r="F14" s="81"/>
      <c r="G14" s="82">
        <f>E14*A$14-F14*A$14</f>
        <v>0</v>
      </c>
    </row>
    <row r="15" spans="1:13" x14ac:dyDescent="0.25">
      <c r="A15" s="176"/>
      <c r="B15" s="179"/>
      <c r="C15" s="179"/>
      <c r="D15" s="75">
        <v>4</v>
      </c>
      <c r="E15" s="75">
        <f>COUNTIF(Inscription!T$2:T$1000,"*"&amp;B$14&amp;"*"&amp;"*"&amp;D15&amp;"*")</f>
        <v>0</v>
      </c>
      <c r="F15" s="81"/>
      <c r="G15" s="82">
        <f>E15*A$14-F15*A$14</f>
        <v>0</v>
      </c>
    </row>
    <row r="16" spans="1:13" x14ac:dyDescent="0.25">
      <c r="A16" s="176"/>
      <c r="B16" s="179"/>
      <c r="C16" s="179"/>
      <c r="D16" s="75">
        <v>3</v>
      </c>
      <c r="E16" s="75">
        <f>COUNTIF(Inscription!T$2:T$1000,"*"&amp;B$14&amp;"*"&amp;"*"&amp;D16&amp;"*")</f>
        <v>0</v>
      </c>
      <c r="F16" s="81"/>
      <c r="G16" s="82">
        <f>E16*A$14-F16*A$14</f>
        <v>0</v>
      </c>
    </row>
    <row r="17" spans="1:10" x14ac:dyDescent="0.25">
      <c r="A17" s="176"/>
      <c r="B17" s="179"/>
      <c r="C17" s="179"/>
      <c r="D17" s="75">
        <v>2</v>
      </c>
      <c r="E17" s="75">
        <f>COUNTIF(Inscription!T$2:T$1000,"*"&amp;B$14&amp;"*"&amp;"*"&amp;D17&amp;"*")</f>
        <v>0</v>
      </c>
      <c r="F17" s="81"/>
      <c r="G17" s="82">
        <f>E17*A$14-F17*A$14</f>
        <v>0</v>
      </c>
      <c r="I17" s="155" t="s">
        <v>105</v>
      </c>
      <c r="J17" s="155">
        <f>COUNTIFS(Inscription!B2:B500,"&gt;&lt;",Inscription!I2:I500,"")</f>
        <v>0</v>
      </c>
    </row>
    <row r="18" spans="1:10" x14ac:dyDescent="0.25">
      <c r="A18" s="176"/>
      <c r="B18" s="180"/>
      <c r="C18" s="180"/>
      <c r="D18" s="75">
        <v>1</v>
      </c>
      <c r="E18" s="75">
        <f>COUNTIF(Inscription!T$2:T$1000,"*"&amp;B$14&amp;"*"&amp;"*"&amp;D18&amp;"*")</f>
        <v>0</v>
      </c>
      <c r="F18" s="81"/>
      <c r="G18" s="82">
        <f>E18*A$14-F18*A$14</f>
        <v>0</v>
      </c>
    </row>
    <row r="19" spans="1:10" x14ac:dyDescent="0.25">
      <c r="A19" s="177"/>
      <c r="B19" s="75" t="s">
        <v>89</v>
      </c>
      <c r="C19" s="75">
        <f>COUNTIF(Inscription!T2:T1000,"*("&amp;B19&amp;"*")</f>
        <v>0</v>
      </c>
      <c r="D19" s="77"/>
      <c r="E19" s="77"/>
      <c r="F19" s="81"/>
      <c r="G19" s="82">
        <f>C19*A$14-F19*A$14</f>
        <v>0</v>
      </c>
    </row>
    <row r="20" spans="1:10" x14ac:dyDescent="0.25">
      <c r="A20" s="83">
        <v>9</v>
      </c>
      <c r="B20" s="76" t="s">
        <v>67</v>
      </c>
      <c r="C20" s="76">
        <f>COUNTIF(Inscription!T2:T1000,"*"&amp;B20&amp;"*")</f>
        <v>0</v>
      </c>
      <c r="D20" s="78"/>
      <c r="E20" s="78"/>
      <c r="F20" s="81"/>
      <c r="G20" s="82">
        <f>C20*A$20-F20*A$20</f>
        <v>0</v>
      </c>
    </row>
    <row r="21" spans="1:10" x14ac:dyDescent="0.25">
      <c r="A21" s="79" t="s">
        <v>92</v>
      </c>
      <c r="B21" s="79"/>
      <c r="C21" s="79">
        <f>SUM(C2:C20)</f>
        <v>0</v>
      </c>
      <c r="D21" s="79"/>
      <c r="E21" s="79">
        <f>SUM(E2:E18)+C19+C20</f>
        <v>0</v>
      </c>
      <c r="F21" s="79">
        <f>SUM(F2:F20)</f>
        <v>0</v>
      </c>
      <c r="G21" s="80">
        <f>SUM(G2:G20)</f>
        <v>0</v>
      </c>
    </row>
    <row r="22" spans="1:10" ht="15.75" thickBot="1" x14ac:dyDescent="0.3"/>
    <row r="23" spans="1:10" x14ac:dyDescent="0.25">
      <c r="A23" s="197" t="s">
        <v>104</v>
      </c>
      <c r="B23" s="197"/>
      <c r="C23" s="153"/>
      <c r="D23" s="154"/>
      <c r="F23" s="187" t="s">
        <v>102</v>
      </c>
      <c r="G23" s="189">
        <f>G21+D23</f>
        <v>0</v>
      </c>
    </row>
    <row r="24" spans="1:10" ht="15.75" thickBot="1" x14ac:dyDescent="0.3">
      <c r="F24" s="188"/>
      <c r="G24" s="190"/>
    </row>
    <row r="25" spans="1:10" ht="15.75" thickBot="1" x14ac:dyDescent="0.3"/>
    <row r="26" spans="1:10" x14ac:dyDescent="0.25">
      <c r="A26" s="191" t="s">
        <v>27</v>
      </c>
      <c r="B26" s="147" t="s">
        <v>103</v>
      </c>
      <c r="C26" s="148">
        <f>G21-C27-C28+D23</f>
        <v>0</v>
      </c>
      <c r="D26" s="193">
        <f>C26+C27</f>
        <v>0</v>
      </c>
    </row>
    <row r="27" spans="1:10" x14ac:dyDescent="0.25">
      <c r="A27" s="192"/>
      <c r="B27" s="149" t="s">
        <v>26</v>
      </c>
      <c r="C27" s="150">
        <v>0</v>
      </c>
      <c r="D27" s="194"/>
    </row>
    <row r="28" spans="1:10" ht="15.75" thickBot="1" x14ac:dyDescent="0.3">
      <c r="A28" s="195" t="s">
        <v>114</v>
      </c>
      <c r="B28" s="196"/>
      <c r="C28" s="151"/>
      <c r="D28" s="152">
        <f>C28</f>
        <v>0</v>
      </c>
    </row>
  </sheetData>
  <mergeCells count="20">
    <mergeCell ref="F23:F24"/>
    <mergeCell ref="G23:G24"/>
    <mergeCell ref="A26:A27"/>
    <mergeCell ref="D26:D27"/>
    <mergeCell ref="A28:B28"/>
    <mergeCell ref="A23:B23"/>
    <mergeCell ref="B1:C1"/>
    <mergeCell ref="D1:E1"/>
    <mergeCell ref="B2:B8"/>
    <mergeCell ref="C2:C8"/>
    <mergeCell ref="C9:C13"/>
    <mergeCell ref="B9:B13"/>
    <mergeCell ref="A14:A19"/>
    <mergeCell ref="B14:B18"/>
    <mergeCell ref="C14:C18"/>
    <mergeCell ref="I7:I10"/>
    <mergeCell ref="I2:I6"/>
    <mergeCell ref="A2:A3"/>
    <mergeCell ref="A4:A8"/>
    <mergeCell ref="A9:A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Accueil</vt:lpstr>
      <vt:lpstr>Inscription</vt:lpstr>
      <vt:lpstr>classement</vt:lpstr>
      <vt:lpstr>info_general</vt:lpstr>
      <vt:lpstr>classement_catégorie</vt:lpstr>
      <vt:lpstr>Stat</vt:lpstr>
      <vt:lpstr>Statistiques</vt:lpstr>
      <vt:lpstr>certif</vt:lpstr>
      <vt:lpstr>club</vt:lpstr>
      <vt:lpstr>Distance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Peyron</dc:creator>
  <cp:lastModifiedBy>Thomas Peyron</cp:lastModifiedBy>
  <cp:lastPrinted>2022-09-04T13:21:42Z</cp:lastPrinted>
  <dcterms:created xsi:type="dcterms:W3CDTF">2019-09-24T15:51:17Z</dcterms:created>
  <dcterms:modified xsi:type="dcterms:W3CDTF">2022-09-08T14:41:25Z</dcterms:modified>
</cp:coreProperties>
</file>